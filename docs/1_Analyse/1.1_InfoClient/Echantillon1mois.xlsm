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4.xml" ContentType="application/vnd.ms-excel.controlproperties+xml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trlProps/ctrlProp5.xml" ContentType="application/vnd.ms-excel.controlproperties+xml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6.xml" ContentType="application/vnd.ms-excel.controlproperties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trlProps/ctrlProp7.xml" ContentType="application/vnd.ms-excel.controlproperties+xml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8.xml" ContentType="application/vnd.ms-excel.controlproperties+xml"/>
  <Override PartName="/xl/drawings/drawing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trlProps/ctrlProp9.xml" ContentType="application/vnd.ms-excel.controlproperties+xml"/>
  <Override PartName="/xl/drawings/drawing10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trlProps/ctrlProp10.xml" ContentType="application/vnd.ms-excel.controlproperties+xml"/>
  <Override PartName="/xl/drawings/drawing11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trlProps/ctrlProp11.xml" ContentType="application/vnd.ms-excel.controlproperties+xml"/>
  <Override PartName="/xl/drawings/drawing12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trlProps/ctrlProp12.xml" ContentType="application/vnd.ms-excel.controlproperties+xml"/>
  <Override PartName="/xl/drawings/drawing13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trlProps/ctrlProp13.xml" ContentType="application/vnd.ms-excel.controlproperties+xml"/>
  <Override PartName="/xl/drawings/drawing14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ctrlProps/ctrlProp14.xml" ContentType="application/vnd.ms-excel.controlproperties+xml"/>
  <Override PartName="/xl/drawings/drawing15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trlProps/ctrlProp15.xml" ContentType="application/vnd.ms-excel.controlproperties+xml"/>
  <Override PartName="/xl/drawings/drawing16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trlProps/ctrlProp16.xml" ContentType="application/vnd.ms-excel.controlproperties+xml"/>
  <Override PartName="/xl/drawings/drawing17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7.xml" ContentType="application/vnd.ms-excel.controlproperties+xml"/>
  <Override PartName="/xl/drawings/drawing18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trlProps/ctrlProp18.xml" ContentType="application/vnd.ms-excel.controlproperties+xml"/>
  <Override PartName="/xl/drawings/drawing19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ctrlProps/ctrlProp19.xml" ContentType="application/vnd.ms-excel.controlproperties+xml"/>
  <Override PartName="/xl/drawings/drawing20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ctrlProps/ctrlProp20.xml" ContentType="application/vnd.ms-excel.controlproperties+xml"/>
  <Override PartName="/xl/drawings/drawing21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trlProps/ctrlProp21.xml" ContentType="application/vnd.ms-excel.controlproperties+xml"/>
  <Override PartName="/xl/drawings/drawing2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trlProps/ctrlProp22.xml" ContentType="application/vnd.ms-excel.controlproperties+xml"/>
  <Override PartName="/xl/drawings/drawing2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ctrlProps/ctrlProp23.xml" ContentType="application/vnd.ms-excel.controlproperties+xml"/>
  <Override PartName="/xl/drawings/drawing24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ctrlProps/ctrlProp24.xml" ContentType="application/vnd.ms-excel.controlproperties+xml"/>
  <Override PartName="/xl/drawings/drawing25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trlProps/ctrlProp25.xml" ContentType="application/vnd.ms-excel.controlproperties+xml"/>
  <Override PartName="/xl/drawings/drawing26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ctrlProps/ctrlProp26.xml" ContentType="application/vnd.ms-excel.controlproperties+xml"/>
  <Override PartName="/xl/drawings/drawing27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ctrlProps/ctrlProp27.xml" ContentType="application/vnd.ms-excel.controlproperties+xml"/>
  <Override PartName="/xl/drawings/drawing28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trlProps/ctrlProp28.xml" ContentType="application/vnd.ms-excel.controlproperties+xml"/>
  <Override PartName="/xl/drawings/drawing29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ctrlProps/ctrlProp29.xml" ContentType="application/vnd.ms-excel.controlproperties+xml"/>
  <Override PartName="/xl/drawings/drawing30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trlProps/ctrlProp30.xml" ContentType="application/vnd.ms-excel.controlproperties+xml"/>
  <Override PartName="/xl/drawings/drawing31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ctrlProps/ctrlProp3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@cegepsth.qc.ca\3DG\_Template-TP2-A2022\docs\1_Analyse\1.1_InfoClient\"/>
    </mc:Choice>
  </mc:AlternateContent>
  <xr:revisionPtr revIDLastSave="0" documentId="13_ncr:1_{DA3AC646-E7C4-4DBB-BD4A-EB55A1C601B8}" xr6:coauthVersionLast="47" xr6:coauthVersionMax="47" xr10:uidLastSave="{00000000-0000-0000-0000-000000000000}"/>
  <bookViews>
    <workbookView xWindow="14685" yWindow="-18120" windowWidth="29040" windowHeight="18240" tabRatio="927" activeTab="19" xr2:uid="{00000000-000D-0000-FFFF-FFFF00000000}"/>
  </bookViews>
  <sheets>
    <sheet name="01" sheetId="44" r:id="rId1"/>
    <sheet name="02" sheetId="45" r:id="rId2"/>
    <sheet name="03" sheetId="46" r:id="rId3"/>
    <sheet name="04" sheetId="47" r:id="rId4"/>
    <sheet name="05" sheetId="48" r:id="rId5"/>
    <sheet name="06" sheetId="49" r:id="rId6"/>
    <sheet name="07" sheetId="50" r:id="rId7"/>
    <sheet name="08" sheetId="51" r:id="rId8"/>
    <sheet name="09" sheetId="52" r:id="rId9"/>
    <sheet name="10" sheetId="53" r:id="rId10"/>
    <sheet name="11" sheetId="54" r:id="rId11"/>
    <sheet name="12" sheetId="55" r:id="rId12"/>
    <sheet name="13" sheetId="56" r:id="rId13"/>
    <sheet name="14" sheetId="57" r:id="rId14"/>
    <sheet name="15" sheetId="58" r:id="rId15"/>
    <sheet name="16" sheetId="59" r:id="rId16"/>
    <sheet name="17" sheetId="60" r:id="rId17"/>
    <sheet name="18" sheetId="61" r:id="rId18"/>
    <sheet name="19" sheetId="62" r:id="rId19"/>
    <sheet name="20" sheetId="63" r:id="rId20"/>
    <sheet name="21" sheetId="64" r:id="rId21"/>
    <sheet name="22" sheetId="65" r:id="rId22"/>
    <sheet name="23" sheetId="66" r:id="rId23"/>
    <sheet name="24" sheetId="67" r:id="rId24"/>
    <sheet name="25" sheetId="68" r:id="rId25"/>
    <sheet name="26" sheetId="69" r:id="rId26"/>
    <sheet name="27" sheetId="70" r:id="rId27"/>
    <sheet name="28" sheetId="71" r:id="rId28"/>
    <sheet name="29" sheetId="72" r:id="rId29"/>
    <sheet name="30" sheetId="73" r:id="rId30"/>
    <sheet name="31" sheetId="74" r:id="rId31"/>
    <sheet name="Employés" sheetId="31" r:id="rId32"/>
    <sheet name="Codes" sheetId="32" r:id="rId33"/>
    <sheet name="BD" sheetId="33" r:id="rId34"/>
    <sheet name="Municipalités" sheetId="34" r:id="rId35"/>
    <sheet name="statistique" sheetId="75" r:id="rId36"/>
  </sheets>
  <definedNames>
    <definedName name="Codes">Codes!$A$2:$A$500</definedName>
    <definedName name="CodesMip">Codes!$A$2:$B$500</definedName>
    <definedName name="_xlnm.Print_Titles" localSheetId="0">'01'!$1:$7</definedName>
    <definedName name="_xlnm.Print_Titles" localSheetId="1">'02'!$1:$7</definedName>
    <definedName name="_xlnm.Print_Titles" localSheetId="2">'03'!$1:$7</definedName>
    <definedName name="_xlnm.Print_Titles" localSheetId="3">'04'!$1:$7</definedName>
    <definedName name="_xlnm.Print_Titles" localSheetId="4">'05'!$1:$7</definedName>
    <definedName name="_xlnm.Print_Titles" localSheetId="5">'06'!$1:$7</definedName>
    <definedName name="_xlnm.Print_Titles" localSheetId="6">'07'!$1:$7</definedName>
    <definedName name="_xlnm.Print_Titles" localSheetId="7">'08'!$1:$7</definedName>
    <definedName name="_xlnm.Print_Titles" localSheetId="8">'09'!$1:$7</definedName>
    <definedName name="_xlnm.Print_Titles" localSheetId="9">'10'!$1:$7</definedName>
    <definedName name="_xlnm.Print_Titles" localSheetId="10">'11'!$1:$7</definedName>
    <definedName name="_xlnm.Print_Titles" localSheetId="11">'12'!$1:$7</definedName>
    <definedName name="_xlnm.Print_Titles" localSheetId="12">'13'!$1:$7</definedName>
    <definedName name="_xlnm.Print_Titles" localSheetId="13">'14'!$1:$7</definedName>
    <definedName name="_xlnm.Print_Titles" localSheetId="14">'15'!$1:$7</definedName>
    <definedName name="_xlnm.Print_Titles" localSheetId="15">'16'!$1:$7</definedName>
    <definedName name="_xlnm.Print_Titles" localSheetId="16">'17'!$1:$7</definedName>
    <definedName name="_xlnm.Print_Titles" localSheetId="17">'18'!$1:$7</definedName>
    <definedName name="_xlnm.Print_Titles" localSheetId="18">'19'!$1:$7</definedName>
    <definedName name="_xlnm.Print_Titles" localSheetId="19">'20'!$1:$7</definedName>
    <definedName name="_xlnm.Print_Titles" localSheetId="20">'21'!$1:$7</definedName>
    <definedName name="_xlnm.Print_Titles" localSheetId="21">'22'!$1:$7</definedName>
    <definedName name="_xlnm.Print_Titles" localSheetId="22">'23'!$1:$7</definedName>
    <definedName name="_xlnm.Print_Titles" localSheetId="23">'24'!$1:$7</definedName>
    <definedName name="_xlnm.Print_Titles" localSheetId="24">'25'!$1:$7</definedName>
    <definedName name="_xlnm.Print_Titles" localSheetId="25">'26'!$1:$7</definedName>
    <definedName name="_xlnm.Print_Titles" localSheetId="26">'27'!$1:$7</definedName>
    <definedName name="_xlnm.Print_Titles" localSheetId="27">'28'!$1:$7</definedName>
    <definedName name="_xlnm.Print_Titles" localSheetId="28">'29'!$1:$7</definedName>
    <definedName name="_xlnm.Print_Titles" localSheetId="29">'30'!$1:$7</definedName>
    <definedName name="_xlnm.Print_Titles" localSheetId="30">'31'!$1:$7</definedName>
    <definedName name="LibellesCodes">Codes!$B$2:$B$500</definedName>
    <definedName name="liste">BD!$A$1:$A$994</definedName>
    <definedName name="Z_365A4B53_0F9B_4E16_872D_B4CE741B671E_.wvu.Cols" localSheetId="0" hidden="1">'01'!$H:$H</definedName>
    <definedName name="Z_365A4B53_0F9B_4E16_872D_B4CE741B671E_.wvu.Cols" localSheetId="1" hidden="1">'02'!$H:$H</definedName>
    <definedName name="Z_365A4B53_0F9B_4E16_872D_B4CE741B671E_.wvu.Cols" localSheetId="2" hidden="1">'03'!$H:$H</definedName>
    <definedName name="Z_365A4B53_0F9B_4E16_872D_B4CE741B671E_.wvu.Cols" localSheetId="3" hidden="1">'04'!$H:$H</definedName>
    <definedName name="Z_365A4B53_0F9B_4E16_872D_B4CE741B671E_.wvu.Cols" localSheetId="4" hidden="1">'05'!$H:$H</definedName>
    <definedName name="Z_365A4B53_0F9B_4E16_872D_B4CE741B671E_.wvu.Cols" localSheetId="5" hidden="1">'06'!$H:$H</definedName>
    <definedName name="Z_365A4B53_0F9B_4E16_872D_B4CE741B671E_.wvu.Cols" localSheetId="6" hidden="1">'07'!$H:$H</definedName>
    <definedName name="Z_365A4B53_0F9B_4E16_872D_B4CE741B671E_.wvu.Cols" localSheetId="7" hidden="1">'08'!$H:$H</definedName>
    <definedName name="Z_365A4B53_0F9B_4E16_872D_B4CE741B671E_.wvu.Cols" localSheetId="8" hidden="1">'09'!$H:$H</definedName>
    <definedName name="Z_365A4B53_0F9B_4E16_872D_B4CE741B671E_.wvu.Cols" localSheetId="9" hidden="1">'10'!$H:$H</definedName>
    <definedName name="Z_365A4B53_0F9B_4E16_872D_B4CE741B671E_.wvu.Cols" localSheetId="10" hidden="1">'11'!$H:$H</definedName>
    <definedName name="Z_365A4B53_0F9B_4E16_872D_B4CE741B671E_.wvu.Cols" localSheetId="11" hidden="1">'12'!$H:$H</definedName>
    <definedName name="Z_365A4B53_0F9B_4E16_872D_B4CE741B671E_.wvu.Cols" localSheetId="12" hidden="1">'13'!$H:$H</definedName>
    <definedName name="Z_365A4B53_0F9B_4E16_872D_B4CE741B671E_.wvu.Cols" localSheetId="13" hidden="1">'14'!$H:$H</definedName>
    <definedName name="Z_365A4B53_0F9B_4E16_872D_B4CE741B671E_.wvu.Cols" localSheetId="14" hidden="1">'15'!$H:$H</definedName>
    <definedName name="Z_365A4B53_0F9B_4E16_872D_B4CE741B671E_.wvu.Cols" localSheetId="15" hidden="1">'16'!$H:$H</definedName>
    <definedName name="Z_365A4B53_0F9B_4E16_872D_B4CE741B671E_.wvu.Cols" localSheetId="16" hidden="1">'17'!$H:$H</definedName>
    <definedName name="Z_365A4B53_0F9B_4E16_872D_B4CE741B671E_.wvu.Cols" localSheetId="17" hidden="1">'18'!$H:$H</definedName>
    <definedName name="Z_365A4B53_0F9B_4E16_872D_B4CE741B671E_.wvu.Cols" localSheetId="18" hidden="1">'19'!$H:$H</definedName>
    <definedName name="Z_365A4B53_0F9B_4E16_872D_B4CE741B671E_.wvu.Cols" localSheetId="19" hidden="1">'20'!$H:$H</definedName>
    <definedName name="Z_365A4B53_0F9B_4E16_872D_B4CE741B671E_.wvu.Cols" localSheetId="20" hidden="1">'21'!$H:$H</definedName>
    <definedName name="Z_365A4B53_0F9B_4E16_872D_B4CE741B671E_.wvu.Cols" localSheetId="21" hidden="1">'22'!$H:$H</definedName>
    <definedName name="Z_365A4B53_0F9B_4E16_872D_B4CE741B671E_.wvu.Cols" localSheetId="22" hidden="1">'23'!$H:$H</definedName>
    <definedName name="Z_365A4B53_0F9B_4E16_872D_B4CE741B671E_.wvu.Cols" localSheetId="23" hidden="1">'24'!$H:$H</definedName>
    <definedName name="Z_365A4B53_0F9B_4E16_872D_B4CE741B671E_.wvu.Cols" localSheetId="24" hidden="1">'25'!$H:$H</definedName>
    <definedName name="Z_365A4B53_0F9B_4E16_872D_B4CE741B671E_.wvu.Cols" localSheetId="25" hidden="1">'26'!$H:$H</definedName>
    <definedName name="Z_365A4B53_0F9B_4E16_872D_B4CE741B671E_.wvu.Cols" localSheetId="26" hidden="1">'27'!$H:$H</definedName>
    <definedName name="Z_365A4B53_0F9B_4E16_872D_B4CE741B671E_.wvu.Cols" localSheetId="27" hidden="1">'28'!$H:$H</definedName>
    <definedName name="Z_365A4B53_0F9B_4E16_872D_B4CE741B671E_.wvu.Cols" localSheetId="28" hidden="1">'29'!$H:$H</definedName>
    <definedName name="Z_365A4B53_0F9B_4E16_872D_B4CE741B671E_.wvu.Cols" localSheetId="29" hidden="1">'30'!$H:$H</definedName>
    <definedName name="Z_365A4B53_0F9B_4E16_872D_B4CE741B671E_.wvu.Cols" localSheetId="30" hidden="1">'31'!$H:$H</definedName>
    <definedName name="Z_365A4B53_0F9B_4E16_872D_B4CE741B671E_.wvu.PrintArea" localSheetId="0" hidden="1">'01'!$A$1:$M$45</definedName>
    <definedName name="Z_365A4B53_0F9B_4E16_872D_B4CE741B671E_.wvu.PrintArea" localSheetId="1" hidden="1">'02'!$A$1:$M$45</definedName>
    <definedName name="Z_365A4B53_0F9B_4E16_872D_B4CE741B671E_.wvu.PrintArea" localSheetId="2" hidden="1">'03'!$A$1:$M$45</definedName>
    <definedName name="Z_365A4B53_0F9B_4E16_872D_B4CE741B671E_.wvu.PrintArea" localSheetId="3" hidden="1">'04'!$A$1:$M$45</definedName>
    <definedName name="Z_365A4B53_0F9B_4E16_872D_B4CE741B671E_.wvu.PrintArea" localSheetId="4" hidden="1">'05'!$A$1:$M$45</definedName>
    <definedName name="Z_365A4B53_0F9B_4E16_872D_B4CE741B671E_.wvu.PrintArea" localSheetId="5" hidden="1">'06'!$A$1:$M$45</definedName>
    <definedName name="Z_365A4B53_0F9B_4E16_872D_B4CE741B671E_.wvu.PrintArea" localSheetId="6" hidden="1">'07'!$A$1:$M$45</definedName>
    <definedName name="Z_365A4B53_0F9B_4E16_872D_B4CE741B671E_.wvu.PrintArea" localSheetId="7" hidden="1">'08'!$A$1:$M$45</definedName>
    <definedName name="Z_365A4B53_0F9B_4E16_872D_B4CE741B671E_.wvu.PrintArea" localSheetId="8" hidden="1">'09'!$A$1:$M$45</definedName>
    <definedName name="Z_365A4B53_0F9B_4E16_872D_B4CE741B671E_.wvu.PrintArea" localSheetId="9" hidden="1">'10'!$A$1:$M$45</definedName>
    <definedName name="Z_365A4B53_0F9B_4E16_872D_B4CE741B671E_.wvu.PrintArea" localSheetId="10" hidden="1">'11'!$A$1:$M$45</definedName>
    <definedName name="Z_365A4B53_0F9B_4E16_872D_B4CE741B671E_.wvu.PrintArea" localSheetId="11" hidden="1">'12'!$A$1:$M$45</definedName>
    <definedName name="Z_365A4B53_0F9B_4E16_872D_B4CE741B671E_.wvu.PrintArea" localSheetId="12" hidden="1">'13'!$A$1:$M$45</definedName>
    <definedName name="Z_365A4B53_0F9B_4E16_872D_B4CE741B671E_.wvu.PrintArea" localSheetId="13" hidden="1">'14'!$A$1:$M$45</definedName>
    <definedName name="Z_365A4B53_0F9B_4E16_872D_B4CE741B671E_.wvu.PrintArea" localSheetId="14" hidden="1">'15'!$A$1:$M$45</definedName>
    <definedName name="Z_365A4B53_0F9B_4E16_872D_B4CE741B671E_.wvu.PrintArea" localSheetId="15" hidden="1">'16'!$A$1:$M$45</definedName>
    <definedName name="Z_365A4B53_0F9B_4E16_872D_B4CE741B671E_.wvu.PrintArea" localSheetId="16" hidden="1">'17'!$A$1:$M$45</definedName>
    <definedName name="Z_365A4B53_0F9B_4E16_872D_B4CE741B671E_.wvu.PrintArea" localSheetId="17" hidden="1">'18'!$A$1:$M$45</definedName>
    <definedName name="Z_365A4B53_0F9B_4E16_872D_B4CE741B671E_.wvu.PrintArea" localSheetId="18" hidden="1">'19'!$A$1:$M$45</definedName>
    <definedName name="Z_365A4B53_0F9B_4E16_872D_B4CE741B671E_.wvu.PrintArea" localSheetId="19" hidden="1">'20'!$A$1:$M$45</definedName>
    <definedName name="Z_365A4B53_0F9B_4E16_872D_B4CE741B671E_.wvu.PrintArea" localSheetId="20" hidden="1">'21'!$A$1:$M$45</definedName>
    <definedName name="Z_365A4B53_0F9B_4E16_872D_B4CE741B671E_.wvu.PrintArea" localSheetId="21" hidden="1">'22'!$A$1:$M$45</definedName>
    <definedName name="Z_365A4B53_0F9B_4E16_872D_B4CE741B671E_.wvu.PrintArea" localSheetId="22" hidden="1">'23'!$A$1:$M$45</definedName>
    <definedName name="Z_365A4B53_0F9B_4E16_872D_B4CE741B671E_.wvu.PrintArea" localSheetId="23" hidden="1">'24'!$A$1:$M$45</definedName>
    <definedName name="Z_365A4B53_0F9B_4E16_872D_B4CE741B671E_.wvu.PrintArea" localSheetId="24" hidden="1">'25'!$A$1:$M$45</definedName>
    <definedName name="Z_365A4B53_0F9B_4E16_872D_B4CE741B671E_.wvu.PrintArea" localSheetId="25" hidden="1">'26'!$A$1:$M$45</definedName>
    <definedName name="Z_365A4B53_0F9B_4E16_872D_B4CE741B671E_.wvu.PrintArea" localSheetId="26" hidden="1">'27'!$A$1:$M$45</definedName>
    <definedName name="Z_365A4B53_0F9B_4E16_872D_B4CE741B671E_.wvu.PrintArea" localSheetId="27" hidden="1">'28'!$A$1:$M$45</definedName>
    <definedName name="Z_365A4B53_0F9B_4E16_872D_B4CE741B671E_.wvu.PrintArea" localSheetId="28" hidden="1">'29'!$A$1:$M$45</definedName>
    <definedName name="Z_365A4B53_0F9B_4E16_872D_B4CE741B671E_.wvu.PrintArea" localSheetId="29" hidden="1">'30'!$A$1:$M$45</definedName>
    <definedName name="Z_365A4B53_0F9B_4E16_872D_B4CE741B671E_.wvu.PrintArea" localSheetId="30" hidden="1">'31'!$A$1:$M$45</definedName>
    <definedName name="Z_365A4B53_0F9B_4E16_872D_B4CE741B671E_.wvu.PrintTitles" localSheetId="0" hidden="1">'01'!$1:$7</definedName>
    <definedName name="Z_365A4B53_0F9B_4E16_872D_B4CE741B671E_.wvu.PrintTitles" localSheetId="1" hidden="1">'02'!$1:$7</definedName>
    <definedName name="Z_365A4B53_0F9B_4E16_872D_B4CE741B671E_.wvu.PrintTitles" localSheetId="2" hidden="1">'03'!$1:$7</definedName>
    <definedName name="Z_365A4B53_0F9B_4E16_872D_B4CE741B671E_.wvu.PrintTitles" localSheetId="3" hidden="1">'04'!$1:$7</definedName>
    <definedName name="Z_365A4B53_0F9B_4E16_872D_B4CE741B671E_.wvu.PrintTitles" localSheetId="4" hidden="1">'05'!$1:$7</definedName>
    <definedName name="Z_365A4B53_0F9B_4E16_872D_B4CE741B671E_.wvu.PrintTitles" localSheetId="5" hidden="1">'06'!$1:$7</definedName>
    <definedName name="Z_365A4B53_0F9B_4E16_872D_B4CE741B671E_.wvu.PrintTitles" localSheetId="6" hidden="1">'07'!$1:$7</definedName>
    <definedName name="Z_365A4B53_0F9B_4E16_872D_B4CE741B671E_.wvu.PrintTitles" localSheetId="7" hidden="1">'08'!$1:$7</definedName>
    <definedName name="Z_365A4B53_0F9B_4E16_872D_B4CE741B671E_.wvu.PrintTitles" localSheetId="8" hidden="1">'09'!$1:$7</definedName>
    <definedName name="Z_365A4B53_0F9B_4E16_872D_B4CE741B671E_.wvu.PrintTitles" localSheetId="9" hidden="1">'10'!$1:$7</definedName>
    <definedName name="Z_365A4B53_0F9B_4E16_872D_B4CE741B671E_.wvu.PrintTitles" localSheetId="10" hidden="1">'11'!$1:$7</definedName>
    <definedName name="Z_365A4B53_0F9B_4E16_872D_B4CE741B671E_.wvu.PrintTitles" localSheetId="11" hidden="1">'12'!$1:$7</definedName>
    <definedName name="Z_365A4B53_0F9B_4E16_872D_B4CE741B671E_.wvu.PrintTitles" localSheetId="12" hidden="1">'13'!$1:$7</definedName>
    <definedName name="Z_365A4B53_0F9B_4E16_872D_B4CE741B671E_.wvu.PrintTitles" localSheetId="13" hidden="1">'14'!$1:$7</definedName>
    <definedName name="Z_365A4B53_0F9B_4E16_872D_B4CE741B671E_.wvu.PrintTitles" localSheetId="14" hidden="1">'15'!$1:$7</definedName>
    <definedName name="Z_365A4B53_0F9B_4E16_872D_B4CE741B671E_.wvu.PrintTitles" localSheetId="15" hidden="1">'16'!$1:$7</definedName>
    <definedName name="Z_365A4B53_0F9B_4E16_872D_B4CE741B671E_.wvu.PrintTitles" localSheetId="16" hidden="1">'17'!$1:$7</definedName>
    <definedName name="Z_365A4B53_0F9B_4E16_872D_B4CE741B671E_.wvu.PrintTitles" localSheetId="17" hidden="1">'18'!$1:$7</definedName>
    <definedName name="Z_365A4B53_0F9B_4E16_872D_B4CE741B671E_.wvu.PrintTitles" localSheetId="18" hidden="1">'19'!$1:$7</definedName>
    <definedName name="Z_365A4B53_0F9B_4E16_872D_B4CE741B671E_.wvu.PrintTitles" localSheetId="19" hidden="1">'20'!$1:$7</definedName>
    <definedName name="Z_365A4B53_0F9B_4E16_872D_B4CE741B671E_.wvu.PrintTitles" localSheetId="20" hidden="1">'21'!$1:$7</definedName>
    <definedName name="Z_365A4B53_0F9B_4E16_872D_B4CE741B671E_.wvu.PrintTitles" localSheetId="21" hidden="1">'22'!$1:$7</definedName>
    <definedName name="Z_365A4B53_0F9B_4E16_872D_B4CE741B671E_.wvu.PrintTitles" localSheetId="22" hidden="1">'23'!$1:$7</definedName>
    <definedName name="Z_365A4B53_0F9B_4E16_872D_B4CE741B671E_.wvu.PrintTitles" localSheetId="23" hidden="1">'24'!$1:$7</definedName>
    <definedName name="Z_365A4B53_0F9B_4E16_872D_B4CE741B671E_.wvu.PrintTitles" localSheetId="24" hidden="1">'25'!$1:$7</definedName>
    <definedName name="Z_365A4B53_0F9B_4E16_872D_B4CE741B671E_.wvu.PrintTitles" localSheetId="25" hidden="1">'26'!$1:$7</definedName>
    <definedName name="Z_365A4B53_0F9B_4E16_872D_B4CE741B671E_.wvu.PrintTitles" localSheetId="26" hidden="1">'27'!$1:$7</definedName>
    <definedName name="Z_365A4B53_0F9B_4E16_872D_B4CE741B671E_.wvu.PrintTitles" localSheetId="27" hidden="1">'28'!$1:$7</definedName>
    <definedName name="Z_365A4B53_0F9B_4E16_872D_B4CE741B671E_.wvu.PrintTitles" localSheetId="28" hidden="1">'29'!$1:$7</definedName>
    <definedName name="Z_365A4B53_0F9B_4E16_872D_B4CE741B671E_.wvu.PrintTitles" localSheetId="29" hidden="1">'30'!$1:$7</definedName>
    <definedName name="Z_365A4B53_0F9B_4E16_872D_B4CE741B671E_.wvu.PrintTitles" localSheetId="30" hidden="1">'31'!$1:$7</definedName>
    <definedName name="_xlnm.Print_Area" localSheetId="0">'01'!$A$1:$M$25</definedName>
    <definedName name="_xlnm.Print_Area" localSheetId="1">'02'!$A$1:$M$41</definedName>
    <definedName name="_xlnm.Print_Area" localSheetId="2">'03'!$A$1:$M$24</definedName>
    <definedName name="_xlnm.Print_Area" localSheetId="3">'04'!$A$1:$M$41</definedName>
    <definedName name="_xlnm.Print_Area" localSheetId="4">'05'!$A$1:$M$41</definedName>
    <definedName name="_xlnm.Print_Area" localSheetId="5">'06'!$A$1:$M$41</definedName>
    <definedName name="_xlnm.Print_Area" localSheetId="6">'07'!$A$1:$M$41</definedName>
    <definedName name="_xlnm.Print_Area" localSheetId="7">'08'!$A$1:$M$41</definedName>
    <definedName name="_xlnm.Print_Area" localSheetId="8">'09'!$A$1:$M$41</definedName>
    <definedName name="_xlnm.Print_Area" localSheetId="9">'10'!$A$1:$M$41</definedName>
    <definedName name="_xlnm.Print_Area" localSheetId="10">'11'!$A$1:$M$41</definedName>
    <definedName name="_xlnm.Print_Area" localSheetId="11">'12'!$A$1:$M$41</definedName>
    <definedName name="_xlnm.Print_Area" localSheetId="12">'13'!$A$1:$M$41</definedName>
    <definedName name="_xlnm.Print_Area" localSheetId="13">'14'!$A$1:$M$41</definedName>
    <definedName name="_xlnm.Print_Area" localSheetId="14">'15'!$A$1:$M$41</definedName>
    <definedName name="_xlnm.Print_Area" localSheetId="15">'16'!$A$1:$M$41</definedName>
    <definedName name="_xlnm.Print_Area" localSheetId="16">'17'!$A$1:$M$41</definedName>
    <definedName name="_xlnm.Print_Area" localSheetId="17">'18'!$A$1:$M$41</definedName>
    <definedName name="_xlnm.Print_Area" localSheetId="18">'19'!$A$1:$M$41</definedName>
    <definedName name="_xlnm.Print_Area" localSheetId="19">'20'!$A$1:$M$41</definedName>
    <definedName name="_xlnm.Print_Area" localSheetId="20">'21'!$A$1:$M$41</definedName>
    <definedName name="_xlnm.Print_Area" localSheetId="21">'22'!$A$1:$M$41</definedName>
    <definedName name="_xlnm.Print_Area" localSheetId="22">'23'!$A$1:$M$41</definedName>
    <definedName name="_xlnm.Print_Area" localSheetId="23">'24'!$A$1:$M$41</definedName>
    <definedName name="_xlnm.Print_Area" localSheetId="24">'25'!$A$1:$M$41</definedName>
    <definedName name="_xlnm.Print_Area" localSheetId="25">'26'!$A$1:$M$41</definedName>
    <definedName name="_xlnm.Print_Area" localSheetId="26">'27'!$A$1:$M$41</definedName>
    <definedName name="_xlnm.Print_Area" localSheetId="27">'28'!$A$1:$M$41</definedName>
    <definedName name="_xlnm.Print_Area" localSheetId="28">'29'!$A$1:$M$41</definedName>
    <definedName name="_xlnm.Print_Area" localSheetId="29">'30'!$A$1:$M$41</definedName>
    <definedName name="_xlnm.Print_Area" localSheetId="30">'31'!$A$1:$M$41</definedName>
  </definedNames>
  <calcPr calcId="191029" iterateCount="10" iterateDelta="1E-4"/>
  <customWorkbookViews>
    <customWorkbookView name="Benoît Desjardins - Affichage personnalisé" guid="{365A4B53-0F9B-4E16-872D-B4CE741B671E}" mergeInterval="0" personalView="1" maximized="1" xWindow="-8" yWindow="-8" windowWidth="1696" windowHeight="1004" tabRatio="861" activeSheetId="1"/>
  </customWorkbookViews>
  <pivotCaches>
    <pivotCache cacheId="0" r:id="rId3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5" i="44" l="1"/>
  <c r="M61" i="74" l="1"/>
  <c r="G61" i="74"/>
  <c r="M60" i="74"/>
  <c r="G60" i="74"/>
  <c r="M59" i="74"/>
  <c r="G59" i="74"/>
  <c r="M58" i="74"/>
  <c r="G58" i="74"/>
  <c r="M57" i="74"/>
  <c r="G57" i="74"/>
  <c r="M56" i="74"/>
  <c r="G56" i="74"/>
  <c r="M55" i="74"/>
  <c r="G55" i="74"/>
  <c r="M54" i="74"/>
  <c r="G54" i="74"/>
  <c r="M53" i="74"/>
  <c r="G53" i="74"/>
  <c r="M52" i="74"/>
  <c r="G52" i="74"/>
  <c r="M51" i="74"/>
  <c r="G51" i="74"/>
  <c r="M50" i="74"/>
  <c r="G50" i="74"/>
  <c r="M49" i="74"/>
  <c r="G49" i="74"/>
  <c r="M48" i="74"/>
  <c r="G48" i="74"/>
  <c r="M47" i="74"/>
  <c r="G47" i="74"/>
  <c r="M46" i="74"/>
  <c r="G46" i="74"/>
  <c r="M45" i="74"/>
  <c r="G45" i="74"/>
  <c r="M44" i="74"/>
  <c r="G44" i="74"/>
  <c r="M43" i="74"/>
  <c r="G43" i="74"/>
  <c r="M42" i="74"/>
  <c r="G42" i="74"/>
  <c r="M41" i="74"/>
  <c r="G41" i="74"/>
  <c r="M40" i="74"/>
  <c r="G40" i="74"/>
  <c r="M39" i="74"/>
  <c r="G39" i="74"/>
  <c r="M38" i="74"/>
  <c r="G38" i="74"/>
  <c r="M37" i="74"/>
  <c r="G37" i="74"/>
  <c r="M36" i="74"/>
  <c r="G36" i="74"/>
  <c r="M35" i="74"/>
  <c r="G35" i="74"/>
  <c r="M34" i="74"/>
  <c r="G34" i="74"/>
  <c r="M33" i="74"/>
  <c r="G33" i="74"/>
  <c r="M32" i="74"/>
  <c r="G32" i="74"/>
  <c r="M31" i="74"/>
  <c r="G31" i="74"/>
  <c r="M30" i="74"/>
  <c r="G30" i="74"/>
  <c r="M29" i="74"/>
  <c r="G29" i="74"/>
  <c r="M28" i="74"/>
  <c r="G28" i="74"/>
  <c r="M27" i="74"/>
  <c r="G27" i="74"/>
  <c r="M26" i="74"/>
  <c r="G26" i="74"/>
  <c r="M25" i="74"/>
  <c r="G25" i="74"/>
  <c r="M24" i="74"/>
  <c r="G24" i="74"/>
  <c r="M23" i="74"/>
  <c r="G23" i="74"/>
  <c r="M22" i="74"/>
  <c r="G22" i="74"/>
  <c r="M21" i="74"/>
  <c r="G21" i="74"/>
  <c r="M20" i="74"/>
  <c r="G20" i="74"/>
  <c r="M19" i="74"/>
  <c r="G19" i="74"/>
  <c r="M18" i="74"/>
  <c r="G18" i="74"/>
  <c r="M17" i="74"/>
  <c r="G17" i="74"/>
  <c r="M16" i="74"/>
  <c r="G16" i="74"/>
  <c r="M15" i="74"/>
  <c r="G15" i="74"/>
  <c r="M14" i="74"/>
  <c r="G14" i="74"/>
  <c r="M13" i="74"/>
  <c r="G13" i="74"/>
  <c r="M12" i="74"/>
  <c r="G12" i="74"/>
  <c r="M11" i="74"/>
  <c r="G11" i="74"/>
  <c r="M10" i="74"/>
  <c r="G10" i="74"/>
  <c r="M9" i="74"/>
  <c r="G9" i="74"/>
  <c r="M8" i="74"/>
  <c r="G8" i="74"/>
  <c r="G9" i="45" l="1"/>
  <c r="M2" i="45" l="1"/>
  <c r="M61" i="73"/>
  <c r="G61" i="73"/>
  <c r="M60" i="73"/>
  <c r="G60" i="73"/>
  <c r="M59" i="73"/>
  <c r="G59" i="73"/>
  <c r="M58" i="73"/>
  <c r="G58" i="73"/>
  <c r="M57" i="73"/>
  <c r="G57" i="73"/>
  <c r="M56" i="73"/>
  <c r="G56" i="73"/>
  <c r="M55" i="73"/>
  <c r="G55" i="73"/>
  <c r="M54" i="73"/>
  <c r="G54" i="73"/>
  <c r="M53" i="73"/>
  <c r="G53" i="73"/>
  <c r="M52" i="73"/>
  <c r="G52" i="73"/>
  <c r="M51" i="73"/>
  <c r="G51" i="73"/>
  <c r="M50" i="73"/>
  <c r="G50" i="73"/>
  <c r="M49" i="73"/>
  <c r="G49" i="73"/>
  <c r="M48" i="73"/>
  <c r="G48" i="73"/>
  <c r="M47" i="73"/>
  <c r="G47" i="73"/>
  <c r="M46" i="73"/>
  <c r="G46" i="73"/>
  <c r="M45" i="73"/>
  <c r="G45" i="73"/>
  <c r="M44" i="73"/>
  <c r="G44" i="73"/>
  <c r="M43" i="73"/>
  <c r="G43" i="73"/>
  <c r="M42" i="73"/>
  <c r="G42" i="73"/>
  <c r="M41" i="73"/>
  <c r="G41" i="73"/>
  <c r="M40" i="73"/>
  <c r="G40" i="73"/>
  <c r="M39" i="73"/>
  <c r="G39" i="73"/>
  <c r="M38" i="73"/>
  <c r="G38" i="73"/>
  <c r="M37" i="73"/>
  <c r="G37" i="73"/>
  <c r="M36" i="73"/>
  <c r="G36" i="73"/>
  <c r="M35" i="73"/>
  <c r="G35" i="73"/>
  <c r="M34" i="73"/>
  <c r="G34" i="73"/>
  <c r="M33" i="73"/>
  <c r="G33" i="73"/>
  <c r="M32" i="73"/>
  <c r="G32" i="73"/>
  <c r="M31" i="73"/>
  <c r="G31" i="73"/>
  <c r="M30" i="73"/>
  <c r="G30" i="73"/>
  <c r="M29" i="73"/>
  <c r="G29" i="73"/>
  <c r="M28" i="73"/>
  <c r="G28" i="73"/>
  <c r="M27" i="73"/>
  <c r="G27" i="73"/>
  <c r="M26" i="73"/>
  <c r="G26" i="73"/>
  <c r="M25" i="73"/>
  <c r="G25" i="73"/>
  <c r="M24" i="73"/>
  <c r="G24" i="73"/>
  <c r="M23" i="73"/>
  <c r="G23" i="73"/>
  <c r="M22" i="73"/>
  <c r="G22" i="73"/>
  <c r="M21" i="73"/>
  <c r="G21" i="73"/>
  <c r="M20" i="73"/>
  <c r="G20" i="73"/>
  <c r="M19" i="73"/>
  <c r="G19" i="73"/>
  <c r="M18" i="73"/>
  <c r="G18" i="73"/>
  <c r="M17" i="73"/>
  <c r="G17" i="73"/>
  <c r="M16" i="73"/>
  <c r="G16" i="73"/>
  <c r="M15" i="73"/>
  <c r="G15" i="73"/>
  <c r="M14" i="73"/>
  <c r="G14" i="73"/>
  <c r="M13" i="73"/>
  <c r="G13" i="73"/>
  <c r="M12" i="73"/>
  <c r="G12" i="73"/>
  <c r="M11" i="73"/>
  <c r="G11" i="73"/>
  <c r="M10" i="73"/>
  <c r="G10" i="73"/>
  <c r="M9" i="73"/>
  <c r="G9" i="73"/>
  <c r="M8" i="73"/>
  <c r="G8" i="73"/>
  <c r="M61" i="72"/>
  <c r="G61" i="72"/>
  <c r="M60" i="72"/>
  <c r="G60" i="72"/>
  <c r="M59" i="72"/>
  <c r="G59" i="72"/>
  <c r="M58" i="72"/>
  <c r="G58" i="72"/>
  <c r="M57" i="72"/>
  <c r="G57" i="72"/>
  <c r="M56" i="72"/>
  <c r="G56" i="72"/>
  <c r="M55" i="72"/>
  <c r="G55" i="72"/>
  <c r="M54" i="72"/>
  <c r="G54" i="72"/>
  <c r="M53" i="72"/>
  <c r="G53" i="72"/>
  <c r="M52" i="72"/>
  <c r="G52" i="72"/>
  <c r="M51" i="72"/>
  <c r="G51" i="72"/>
  <c r="M50" i="72"/>
  <c r="G50" i="72"/>
  <c r="M49" i="72"/>
  <c r="G49" i="72"/>
  <c r="M48" i="72"/>
  <c r="G48" i="72"/>
  <c r="M47" i="72"/>
  <c r="G47" i="72"/>
  <c r="M46" i="72"/>
  <c r="G46" i="72"/>
  <c r="M45" i="72"/>
  <c r="G45" i="72"/>
  <c r="M44" i="72"/>
  <c r="G44" i="72"/>
  <c r="M43" i="72"/>
  <c r="G43" i="72"/>
  <c r="M42" i="72"/>
  <c r="G42" i="72"/>
  <c r="M41" i="72"/>
  <c r="G41" i="72"/>
  <c r="M40" i="72"/>
  <c r="G40" i="72"/>
  <c r="M39" i="72"/>
  <c r="G39" i="72"/>
  <c r="M38" i="72"/>
  <c r="G38" i="72"/>
  <c r="M37" i="72"/>
  <c r="G37" i="72"/>
  <c r="M36" i="72"/>
  <c r="G36" i="72"/>
  <c r="M35" i="72"/>
  <c r="G35" i="72"/>
  <c r="M34" i="72"/>
  <c r="G34" i="72"/>
  <c r="M33" i="72"/>
  <c r="G33" i="72"/>
  <c r="M32" i="72"/>
  <c r="G32" i="72"/>
  <c r="M31" i="72"/>
  <c r="G31" i="72"/>
  <c r="M30" i="72"/>
  <c r="G30" i="72"/>
  <c r="M29" i="72"/>
  <c r="G29" i="72"/>
  <c r="M28" i="72"/>
  <c r="G28" i="72"/>
  <c r="M27" i="72"/>
  <c r="G27" i="72"/>
  <c r="M26" i="72"/>
  <c r="G26" i="72"/>
  <c r="M25" i="72"/>
  <c r="G25" i="72"/>
  <c r="M24" i="72"/>
  <c r="G24" i="72"/>
  <c r="M23" i="72"/>
  <c r="G23" i="72"/>
  <c r="M22" i="72"/>
  <c r="G22" i="72"/>
  <c r="M21" i="72"/>
  <c r="G21" i="72"/>
  <c r="M20" i="72"/>
  <c r="G20" i="72"/>
  <c r="M19" i="72"/>
  <c r="G19" i="72"/>
  <c r="M18" i="72"/>
  <c r="G18" i="72"/>
  <c r="M17" i="72"/>
  <c r="G17" i="72"/>
  <c r="M16" i="72"/>
  <c r="G16" i="72"/>
  <c r="M15" i="72"/>
  <c r="G15" i="72"/>
  <c r="M14" i="72"/>
  <c r="G14" i="72"/>
  <c r="M13" i="72"/>
  <c r="G13" i="72"/>
  <c r="M12" i="72"/>
  <c r="G12" i="72"/>
  <c r="M11" i="72"/>
  <c r="G11" i="72"/>
  <c r="M10" i="72"/>
  <c r="G10" i="72"/>
  <c r="M9" i="72"/>
  <c r="G9" i="72"/>
  <c r="M8" i="72"/>
  <c r="G8" i="72"/>
  <c r="M61" i="71"/>
  <c r="G61" i="71"/>
  <c r="M60" i="71"/>
  <c r="G60" i="71"/>
  <c r="M59" i="71"/>
  <c r="G59" i="71"/>
  <c r="M58" i="71"/>
  <c r="G58" i="71"/>
  <c r="M57" i="71"/>
  <c r="G57" i="71"/>
  <c r="M56" i="71"/>
  <c r="G56" i="71"/>
  <c r="M55" i="71"/>
  <c r="G55" i="71"/>
  <c r="M54" i="71"/>
  <c r="G54" i="71"/>
  <c r="M53" i="71"/>
  <c r="G53" i="71"/>
  <c r="M52" i="71"/>
  <c r="G52" i="71"/>
  <c r="M51" i="71"/>
  <c r="G51" i="71"/>
  <c r="M50" i="71"/>
  <c r="G50" i="71"/>
  <c r="M49" i="71"/>
  <c r="G49" i="71"/>
  <c r="M48" i="71"/>
  <c r="G48" i="71"/>
  <c r="M47" i="71"/>
  <c r="G47" i="71"/>
  <c r="M46" i="71"/>
  <c r="G46" i="71"/>
  <c r="M45" i="71"/>
  <c r="G45" i="71"/>
  <c r="M44" i="71"/>
  <c r="G44" i="71"/>
  <c r="M43" i="71"/>
  <c r="G43" i="71"/>
  <c r="M42" i="71"/>
  <c r="G42" i="71"/>
  <c r="M41" i="71"/>
  <c r="G41" i="71"/>
  <c r="M40" i="71"/>
  <c r="G40" i="71"/>
  <c r="M39" i="71"/>
  <c r="G39" i="71"/>
  <c r="M38" i="71"/>
  <c r="G38" i="71"/>
  <c r="M37" i="71"/>
  <c r="G37" i="71"/>
  <c r="M36" i="71"/>
  <c r="G36" i="71"/>
  <c r="M35" i="71"/>
  <c r="G35" i="71"/>
  <c r="M34" i="71"/>
  <c r="G34" i="71"/>
  <c r="M33" i="71"/>
  <c r="G33" i="71"/>
  <c r="M32" i="71"/>
  <c r="G32" i="71"/>
  <c r="M31" i="71"/>
  <c r="G31" i="71"/>
  <c r="M30" i="71"/>
  <c r="G30" i="71"/>
  <c r="M29" i="71"/>
  <c r="G29" i="71"/>
  <c r="M28" i="71"/>
  <c r="G28" i="71"/>
  <c r="M27" i="71"/>
  <c r="G27" i="71"/>
  <c r="M26" i="71"/>
  <c r="G26" i="71"/>
  <c r="M25" i="71"/>
  <c r="G25" i="71"/>
  <c r="M24" i="71"/>
  <c r="G24" i="71"/>
  <c r="M23" i="71"/>
  <c r="G23" i="71"/>
  <c r="M22" i="71"/>
  <c r="G22" i="71"/>
  <c r="M21" i="71"/>
  <c r="G21" i="71"/>
  <c r="M20" i="71"/>
  <c r="G20" i="71"/>
  <c r="M19" i="71"/>
  <c r="G19" i="71"/>
  <c r="M18" i="71"/>
  <c r="G18" i="71"/>
  <c r="M17" i="71"/>
  <c r="G17" i="71"/>
  <c r="M16" i="71"/>
  <c r="G16" i="71"/>
  <c r="M15" i="71"/>
  <c r="G15" i="71"/>
  <c r="M14" i="71"/>
  <c r="G14" i="71"/>
  <c r="M13" i="71"/>
  <c r="G13" i="71"/>
  <c r="M12" i="71"/>
  <c r="G12" i="71"/>
  <c r="M11" i="71"/>
  <c r="G11" i="71"/>
  <c r="M10" i="71"/>
  <c r="G10" i="71"/>
  <c r="M9" i="71"/>
  <c r="G9" i="71"/>
  <c r="M8" i="71"/>
  <c r="G8" i="71"/>
  <c r="M61" i="70"/>
  <c r="G61" i="70"/>
  <c r="M60" i="70"/>
  <c r="G60" i="70"/>
  <c r="M59" i="70"/>
  <c r="G59" i="70"/>
  <c r="M58" i="70"/>
  <c r="G58" i="70"/>
  <c r="M57" i="70"/>
  <c r="G57" i="70"/>
  <c r="M56" i="70"/>
  <c r="G56" i="70"/>
  <c r="M55" i="70"/>
  <c r="G55" i="70"/>
  <c r="M54" i="70"/>
  <c r="G54" i="70"/>
  <c r="M53" i="70"/>
  <c r="G53" i="70"/>
  <c r="M52" i="70"/>
  <c r="G52" i="70"/>
  <c r="M51" i="70"/>
  <c r="G51" i="70"/>
  <c r="M50" i="70"/>
  <c r="G50" i="70"/>
  <c r="M49" i="70"/>
  <c r="G49" i="70"/>
  <c r="M48" i="70"/>
  <c r="G48" i="70"/>
  <c r="M47" i="70"/>
  <c r="G47" i="70"/>
  <c r="M46" i="70"/>
  <c r="G46" i="70"/>
  <c r="M45" i="70"/>
  <c r="G45" i="70"/>
  <c r="M44" i="70"/>
  <c r="G44" i="70"/>
  <c r="M43" i="70"/>
  <c r="G43" i="70"/>
  <c r="M42" i="70"/>
  <c r="G42" i="70"/>
  <c r="M41" i="70"/>
  <c r="G41" i="70"/>
  <c r="M40" i="70"/>
  <c r="G40" i="70"/>
  <c r="M39" i="70"/>
  <c r="G39" i="70"/>
  <c r="M38" i="70"/>
  <c r="G38" i="70"/>
  <c r="M37" i="70"/>
  <c r="G37" i="70"/>
  <c r="M36" i="70"/>
  <c r="G36" i="70"/>
  <c r="M35" i="70"/>
  <c r="G35" i="70"/>
  <c r="M34" i="70"/>
  <c r="G34" i="70"/>
  <c r="M33" i="70"/>
  <c r="G33" i="70"/>
  <c r="M32" i="70"/>
  <c r="G32" i="70"/>
  <c r="M31" i="70"/>
  <c r="G31" i="70"/>
  <c r="M30" i="70"/>
  <c r="G30" i="70"/>
  <c r="M29" i="70"/>
  <c r="G29" i="70"/>
  <c r="M28" i="70"/>
  <c r="G28" i="70"/>
  <c r="M27" i="70"/>
  <c r="G27" i="70"/>
  <c r="M26" i="70"/>
  <c r="G26" i="70"/>
  <c r="M25" i="70"/>
  <c r="G25" i="70"/>
  <c r="M24" i="70"/>
  <c r="G24" i="70"/>
  <c r="M23" i="70"/>
  <c r="G23" i="70"/>
  <c r="M22" i="70"/>
  <c r="G22" i="70"/>
  <c r="M21" i="70"/>
  <c r="G21" i="70"/>
  <c r="M20" i="70"/>
  <c r="G20" i="70"/>
  <c r="M19" i="70"/>
  <c r="G19" i="70"/>
  <c r="M18" i="70"/>
  <c r="G18" i="70"/>
  <c r="M17" i="70"/>
  <c r="G17" i="70"/>
  <c r="M16" i="70"/>
  <c r="G16" i="70"/>
  <c r="M15" i="70"/>
  <c r="G15" i="70"/>
  <c r="M14" i="70"/>
  <c r="G14" i="70"/>
  <c r="M13" i="70"/>
  <c r="G13" i="70"/>
  <c r="M12" i="70"/>
  <c r="G12" i="70"/>
  <c r="M11" i="70"/>
  <c r="G11" i="70"/>
  <c r="M10" i="70"/>
  <c r="G10" i="70"/>
  <c r="M9" i="70"/>
  <c r="G9" i="70"/>
  <c r="M8" i="70"/>
  <c r="G8" i="70"/>
  <c r="M61" i="69"/>
  <c r="G61" i="69"/>
  <c r="M60" i="69"/>
  <c r="G60" i="69"/>
  <c r="M59" i="69"/>
  <c r="G59" i="69"/>
  <c r="M58" i="69"/>
  <c r="G58" i="69"/>
  <c r="M57" i="69"/>
  <c r="G57" i="69"/>
  <c r="M56" i="69"/>
  <c r="G56" i="69"/>
  <c r="M55" i="69"/>
  <c r="G55" i="69"/>
  <c r="M54" i="69"/>
  <c r="G54" i="69"/>
  <c r="M53" i="69"/>
  <c r="G53" i="69"/>
  <c r="M52" i="69"/>
  <c r="G52" i="69"/>
  <c r="M51" i="69"/>
  <c r="G51" i="69"/>
  <c r="M50" i="69"/>
  <c r="G50" i="69"/>
  <c r="M49" i="69"/>
  <c r="G49" i="69"/>
  <c r="M48" i="69"/>
  <c r="G48" i="69"/>
  <c r="M47" i="69"/>
  <c r="G47" i="69"/>
  <c r="M46" i="69"/>
  <c r="G46" i="69"/>
  <c r="M45" i="69"/>
  <c r="G45" i="69"/>
  <c r="M44" i="69"/>
  <c r="G44" i="69"/>
  <c r="M43" i="69"/>
  <c r="G43" i="69"/>
  <c r="M42" i="69"/>
  <c r="G42" i="69"/>
  <c r="M41" i="69"/>
  <c r="G41" i="69"/>
  <c r="M40" i="69"/>
  <c r="G40" i="69"/>
  <c r="M39" i="69"/>
  <c r="G39" i="69"/>
  <c r="M38" i="69"/>
  <c r="G38" i="69"/>
  <c r="M37" i="69"/>
  <c r="G37" i="69"/>
  <c r="M36" i="69"/>
  <c r="G36" i="69"/>
  <c r="M35" i="69"/>
  <c r="G35" i="69"/>
  <c r="M34" i="69"/>
  <c r="G34" i="69"/>
  <c r="M33" i="69"/>
  <c r="G33" i="69"/>
  <c r="M32" i="69"/>
  <c r="G32" i="69"/>
  <c r="M31" i="69"/>
  <c r="G31" i="69"/>
  <c r="M30" i="69"/>
  <c r="G30" i="69"/>
  <c r="M29" i="69"/>
  <c r="G29" i="69"/>
  <c r="M28" i="69"/>
  <c r="G28" i="69"/>
  <c r="M27" i="69"/>
  <c r="G27" i="69"/>
  <c r="M26" i="69"/>
  <c r="G26" i="69"/>
  <c r="M25" i="69"/>
  <c r="G25" i="69"/>
  <c r="M24" i="69"/>
  <c r="G24" i="69"/>
  <c r="M23" i="69"/>
  <c r="G23" i="69"/>
  <c r="M22" i="69"/>
  <c r="G22" i="69"/>
  <c r="M21" i="69"/>
  <c r="G21" i="69"/>
  <c r="M20" i="69"/>
  <c r="G20" i="69"/>
  <c r="M19" i="69"/>
  <c r="G19" i="69"/>
  <c r="M18" i="69"/>
  <c r="G18" i="69"/>
  <c r="M17" i="69"/>
  <c r="G17" i="69"/>
  <c r="M16" i="69"/>
  <c r="G16" i="69"/>
  <c r="M15" i="69"/>
  <c r="G15" i="69"/>
  <c r="M14" i="69"/>
  <c r="G14" i="69"/>
  <c r="M13" i="69"/>
  <c r="G13" i="69"/>
  <c r="M12" i="69"/>
  <c r="G12" i="69"/>
  <c r="M11" i="69"/>
  <c r="G11" i="69"/>
  <c r="M10" i="69"/>
  <c r="G10" i="69"/>
  <c r="M9" i="69"/>
  <c r="G9" i="69"/>
  <c r="M8" i="69"/>
  <c r="G8" i="69"/>
  <c r="M61" i="68"/>
  <c r="G61" i="68"/>
  <c r="M60" i="68"/>
  <c r="G60" i="68"/>
  <c r="M59" i="68"/>
  <c r="G59" i="68"/>
  <c r="M58" i="68"/>
  <c r="G58" i="68"/>
  <c r="M57" i="68"/>
  <c r="G57" i="68"/>
  <c r="M56" i="68"/>
  <c r="G56" i="68"/>
  <c r="M55" i="68"/>
  <c r="G55" i="68"/>
  <c r="M54" i="68"/>
  <c r="G54" i="68"/>
  <c r="M53" i="68"/>
  <c r="G53" i="68"/>
  <c r="M52" i="68"/>
  <c r="G52" i="68"/>
  <c r="M51" i="68"/>
  <c r="G51" i="68"/>
  <c r="M50" i="68"/>
  <c r="G50" i="68"/>
  <c r="M49" i="68"/>
  <c r="G49" i="68"/>
  <c r="M48" i="68"/>
  <c r="G48" i="68"/>
  <c r="M47" i="68"/>
  <c r="G47" i="68"/>
  <c r="M46" i="68"/>
  <c r="G46" i="68"/>
  <c r="M45" i="68"/>
  <c r="G45" i="68"/>
  <c r="M44" i="68"/>
  <c r="G44" i="68"/>
  <c r="M43" i="68"/>
  <c r="G43" i="68"/>
  <c r="M42" i="68"/>
  <c r="G42" i="68"/>
  <c r="M41" i="68"/>
  <c r="G41" i="68"/>
  <c r="M40" i="68"/>
  <c r="G40" i="68"/>
  <c r="M39" i="68"/>
  <c r="G39" i="68"/>
  <c r="M38" i="68"/>
  <c r="G38" i="68"/>
  <c r="M37" i="68"/>
  <c r="G37" i="68"/>
  <c r="M36" i="68"/>
  <c r="G36" i="68"/>
  <c r="M35" i="68"/>
  <c r="G35" i="68"/>
  <c r="M34" i="68"/>
  <c r="G34" i="68"/>
  <c r="M33" i="68"/>
  <c r="G33" i="68"/>
  <c r="M32" i="68"/>
  <c r="G32" i="68"/>
  <c r="M31" i="68"/>
  <c r="G31" i="68"/>
  <c r="M30" i="68"/>
  <c r="G30" i="68"/>
  <c r="M29" i="68"/>
  <c r="G29" i="68"/>
  <c r="M28" i="68"/>
  <c r="G28" i="68"/>
  <c r="M27" i="68"/>
  <c r="G27" i="68"/>
  <c r="M26" i="68"/>
  <c r="G26" i="68"/>
  <c r="M25" i="68"/>
  <c r="G25" i="68"/>
  <c r="M24" i="68"/>
  <c r="G24" i="68"/>
  <c r="M23" i="68"/>
  <c r="G23" i="68"/>
  <c r="M22" i="68"/>
  <c r="G22" i="68"/>
  <c r="M21" i="68"/>
  <c r="G21" i="68"/>
  <c r="M20" i="68"/>
  <c r="G20" i="68"/>
  <c r="M19" i="68"/>
  <c r="G19" i="68"/>
  <c r="M18" i="68"/>
  <c r="G18" i="68"/>
  <c r="M17" i="68"/>
  <c r="G17" i="68"/>
  <c r="M16" i="68"/>
  <c r="G16" i="68"/>
  <c r="M15" i="68"/>
  <c r="G15" i="68"/>
  <c r="M14" i="68"/>
  <c r="G14" i="68"/>
  <c r="M13" i="68"/>
  <c r="G13" i="68"/>
  <c r="M12" i="68"/>
  <c r="G12" i="68"/>
  <c r="M11" i="68"/>
  <c r="G11" i="68"/>
  <c r="M10" i="68"/>
  <c r="G10" i="68"/>
  <c r="M9" i="68"/>
  <c r="G9" i="68"/>
  <c r="M8" i="68"/>
  <c r="G8" i="68"/>
  <c r="M61" i="67"/>
  <c r="G61" i="67"/>
  <c r="M60" i="67"/>
  <c r="G60" i="67"/>
  <c r="M59" i="67"/>
  <c r="G59" i="67"/>
  <c r="M58" i="67"/>
  <c r="G58" i="67"/>
  <c r="M57" i="67"/>
  <c r="G57" i="67"/>
  <c r="M56" i="67"/>
  <c r="G56" i="67"/>
  <c r="M55" i="67"/>
  <c r="G55" i="67"/>
  <c r="M54" i="67"/>
  <c r="G54" i="67"/>
  <c r="M53" i="67"/>
  <c r="G53" i="67"/>
  <c r="M52" i="67"/>
  <c r="G52" i="67"/>
  <c r="M51" i="67"/>
  <c r="G51" i="67"/>
  <c r="M50" i="67"/>
  <c r="G50" i="67"/>
  <c r="M49" i="67"/>
  <c r="G49" i="67"/>
  <c r="M48" i="67"/>
  <c r="G48" i="67"/>
  <c r="M47" i="67"/>
  <c r="G47" i="67"/>
  <c r="M46" i="67"/>
  <c r="G46" i="67"/>
  <c r="M45" i="67"/>
  <c r="G45" i="67"/>
  <c r="M44" i="67"/>
  <c r="G44" i="67"/>
  <c r="M43" i="67"/>
  <c r="G43" i="67"/>
  <c r="M42" i="67"/>
  <c r="G42" i="67"/>
  <c r="M41" i="67"/>
  <c r="G41" i="67"/>
  <c r="M40" i="67"/>
  <c r="G40" i="67"/>
  <c r="M39" i="67"/>
  <c r="G39" i="67"/>
  <c r="M38" i="67"/>
  <c r="G38" i="67"/>
  <c r="M37" i="67"/>
  <c r="G37" i="67"/>
  <c r="M36" i="67"/>
  <c r="G36" i="67"/>
  <c r="M35" i="67"/>
  <c r="G35" i="67"/>
  <c r="M34" i="67"/>
  <c r="G34" i="67"/>
  <c r="M33" i="67"/>
  <c r="G33" i="67"/>
  <c r="M32" i="67"/>
  <c r="G32" i="67"/>
  <c r="M31" i="67"/>
  <c r="G31" i="67"/>
  <c r="M30" i="67"/>
  <c r="G30" i="67"/>
  <c r="M29" i="67"/>
  <c r="G29" i="67"/>
  <c r="M28" i="67"/>
  <c r="G28" i="67"/>
  <c r="M27" i="67"/>
  <c r="G27" i="67"/>
  <c r="M26" i="67"/>
  <c r="G26" i="67"/>
  <c r="M25" i="67"/>
  <c r="G25" i="67"/>
  <c r="M24" i="67"/>
  <c r="G24" i="67"/>
  <c r="M23" i="67"/>
  <c r="G23" i="67"/>
  <c r="M22" i="67"/>
  <c r="G22" i="67"/>
  <c r="M21" i="67"/>
  <c r="G21" i="67"/>
  <c r="M20" i="67"/>
  <c r="G20" i="67"/>
  <c r="M19" i="67"/>
  <c r="G19" i="67"/>
  <c r="M18" i="67"/>
  <c r="G18" i="67"/>
  <c r="M17" i="67"/>
  <c r="G17" i="67"/>
  <c r="M16" i="67"/>
  <c r="G16" i="67"/>
  <c r="M15" i="67"/>
  <c r="G15" i="67"/>
  <c r="M14" i="67"/>
  <c r="G14" i="67"/>
  <c r="M13" i="67"/>
  <c r="G13" i="67"/>
  <c r="M12" i="67"/>
  <c r="G12" i="67"/>
  <c r="M11" i="67"/>
  <c r="G11" i="67"/>
  <c r="M10" i="67"/>
  <c r="G10" i="67"/>
  <c r="M9" i="67"/>
  <c r="G9" i="67"/>
  <c r="M8" i="67"/>
  <c r="G8" i="67"/>
  <c r="M61" i="66"/>
  <c r="G61" i="66"/>
  <c r="M60" i="66"/>
  <c r="G60" i="66"/>
  <c r="M59" i="66"/>
  <c r="G59" i="66"/>
  <c r="M58" i="66"/>
  <c r="G58" i="66"/>
  <c r="M57" i="66"/>
  <c r="G57" i="66"/>
  <c r="M56" i="66"/>
  <c r="G56" i="66"/>
  <c r="M55" i="66"/>
  <c r="G55" i="66"/>
  <c r="M54" i="66"/>
  <c r="G54" i="66"/>
  <c r="M53" i="66"/>
  <c r="G53" i="66"/>
  <c r="M52" i="66"/>
  <c r="G52" i="66"/>
  <c r="M51" i="66"/>
  <c r="G51" i="66"/>
  <c r="M50" i="66"/>
  <c r="G50" i="66"/>
  <c r="M49" i="66"/>
  <c r="G49" i="66"/>
  <c r="M48" i="66"/>
  <c r="G48" i="66"/>
  <c r="M47" i="66"/>
  <c r="G47" i="66"/>
  <c r="M46" i="66"/>
  <c r="G46" i="66"/>
  <c r="M45" i="66"/>
  <c r="G45" i="66"/>
  <c r="M44" i="66"/>
  <c r="G44" i="66"/>
  <c r="M43" i="66"/>
  <c r="G43" i="66"/>
  <c r="M42" i="66"/>
  <c r="G42" i="66"/>
  <c r="M41" i="66"/>
  <c r="G41" i="66"/>
  <c r="M40" i="66"/>
  <c r="G40" i="66"/>
  <c r="M39" i="66"/>
  <c r="G39" i="66"/>
  <c r="M38" i="66"/>
  <c r="G38" i="66"/>
  <c r="M37" i="66"/>
  <c r="G37" i="66"/>
  <c r="M36" i="66"/>
  <c r="G36" i="66"/>
  <c r="M35" i="66"/>
  <c r="G35" i="66"/>
  <c r="M34" i="66"/>
  <c r="G34" i="66"/>
  <c r="M33" i="66"/>
  <c r="G33" i="66"/>
  <c r="M32" i="66"/>
  <c r="G32" i="66"/>
  <c r="M31" i="66"/>
  <c r="G31" i="66"/>
  <c r="M30" i="66"/>
  <c r="G30" i="66"/>
  <c r="M29" i="66"/>
  <c r="G29" i="66"/>
  <c r="M28" i="66"/>
  <c r="G28" i="66"/>
  <c r="M27" i="66"/>
  <c r="G27" i="66"/>
  <c r="M26" i="66"/>
  <c r="G26" i="66"/>
  <c r="M25" i="66"/>
  <c r="G25" i="66"/>
  <c r="M24" i="66"/>
  <c r="G24" i="66"/>
  <c r="M23" i="66"/>
  <c r="G23" i="66"/>
  <c r="M22" i="66"/>
  <c r="G22" i="66"/>
  <c r="M21" i="66"/>
  <c r="G21" i="66"/>
  <c r="M20" i="66"/>
  <c r="G20" i="66"/>
  <c r="M19" i="66"/>
  <c r="G19" i="66"/>
  <c r="M18" i="66"/>
  <c r="G18" i="66"/>
  <c r="M17" i="66"/>
  <c r="G17" i="66"/>
  <c r="M16" i="66"/>
  <c r="G16" i="66"/>
  <c r="M15" i="66"/>
  <c r="G15" i="66"/>
  <c r="M14" i="66"/>
  <c r="G14" i="66"/>
  <c r="M13" i="66"/>
  <c r="G13" i="66"/>
  <c r="M12" i="66"/>
  <c r="G12" i="66"/>
  <c r="M11" i="66"/>
  <c r="G11" i="66"/>
  <c r="M10" i="66"/>
  <c r="G10" i="66"/>
  <c r="M9" i="66"/>
  <c r="G9" i="66"/>
  <c r="M8" i="66"/>
  <c r="G8" i="66"/>
  <c r="M61" i="65"/>
  <c r="G61" i="65"/>
  <c r="M60" i="65"/>
  <c r="G60" i="65"/>
  <c r="M59" i="65"/>
  <c r="G59" i="65"/>
  <c r="M58" i="65"/>
  <c r="G58" i="65"/>
  <c r="M57" i="65"/>
  <c r="G57" i="65"/>
  <c r="M56" i="65"/>
  <c r="G56" i="65"/>
  <c r="M55" i="65"/>
  <c r="G55" i="65"/>
  <c r="M54" i="65"/>
  <c r="G54" i="65"/>
  <c r="M53" i="65"/>
  <c r="G53" i="65"/>
  <c r="M52" i="65"/>
  <c r="G52" i="65"/>
  <c r="M51" i="65"/>
  <c r="G51" i="65"/>
  <c r="M50" i="65"/>
  <c r="G50" i="65"/>
  <c r="M49" i="65"/>
  <c r="G49" i="65"/>
  <c r="M48" i="65"/>
  <c r="G48" i="65"/>
  <c r="M47" i="65"/>
  <c r="G47" i="65"/>
  <c r="M46" i="65"/>
  <c r="G46" i="65"/>
  <c r="M45" i="65"/>
  <c r="G45" i="65"/>
  <c r="M44" i="65"/>
  <c r="G44" i="65"/>
  <c r="M43" i="65"/>
  <c r="G43" i="65"/>
  <c r="M42" i="65"/>
  <c r="G42" i="65"/>
  <c r="M41" i="65"/>
  <c r="G41" i="65"/>
  <c r="M40" i="65"/>
  <c r="G40" i="65"/>
  <c r="M39" i="65"/>
  <c r="G39" i="65"/>
  <c r="M38" i="65"/>
  <c r="G38" i="65"/>
  <c r="M37" i="65"/>
  <c r="G37" i="65"/>
  <c r="M36" i="65"/>
  <c r="G36" i="65"/>
  <c r="M35" i="65"/>
  <c r="G35" i="65"/>
  <c r="M34" i="65"/>
  <c r="G34" i="65"/>
  <c r="M33" i="65"/>
  <c r="G33" i="65"/>
  <c r="M32" i="65"/>
  <c r="G32" i="65"/>
  <c r="M31" i="65"/>
  <c r="G31" i="65"/>
  <c r="M30" i="65"/>
  <c r="G30" i="65"/>
  <c r="M29" i="65"/>
  <c r="G29" i="65"/>
  <c r="M28" i="65"/>
  <c r="G28" i="65"/>
  <c r="M27" i="65"/>
  <c r="G27" i="65"/>
  <c r="M26" i="65"/>
  <c r="G26" i="65"/>
  <c r="M25" i="65"/>
  <c r="G25" i="65"/>
  <c r="M24" i="65"/>
  <c r="G24" i="65"/>
  <c r="M23" i="65"/>
  <c r="G23" i="65"/>
  <c r="M22" i="65"/>
  <c r="G22" i="65"/>
  <c r="M21" i="65"/>
  <c r="G21" i="65"/>
  <c r="M20" i="65"/>
  <c r="G20" i="65"/>
  <c r="M19" i="65"/>
  <c r="G19" i="65"/>
  <c r="M18" i="65"/>
  <c r="G18" i="65"/>
  <c r="M17" i="65"/>
  <c r="G17" i="65"/>
  <c r="M16" i="65"/>
  <c r="G16" i="65"/>
  <c r="M15" i="65"/>
  <c r="G15" i="65"/>
  <c r="M14" i="65"/>
  <c r="G14" i="65"/>
  <c r="M13" i="65"/>
  <c r="G13" i="65"/>
  <c r="M12" i="65"/>
  <c r="G12" i="65"/>
  <c r="M11" i="65"/>
  <c r="G11" i="65"/>
  <c r="M10" i="65"/>
  <c r="G10" i="65"/>
  <c r="M9" i="65"/>
  <c r="G9" i="65"/>
  <c r="M8" i="65"/>
  <c r="G8" i="65"/>
  <c r="M61" i="64"/>
  <c r="G61" i="64"/>
  <c r="M60" i="64"/>
  <c r="G60" i="64"/>
  <c r="M59" i="64"/>
  <c r="G59" i="64"/>
  <c r="M58" i="64"/>
  <c r="G58" i="64"/>
  <c r="M57" i="64"/>
  <c r="G57" i="64"/>
  <c r="M56" i="64"/>
  <c r="G56" i="64"/>
  <c r="M55" i="64"/>
  <c r="G55" i="64"/>
  <c r="M54" i="64"/>
  <c r="G54" i="64"/>
  <c r="M53" i="64"/>
  <c r="G53" i="64"/>
  <c r="M52" i="64"/>
  <c r="G52" i="64"/>
  <c r="M51" i="64"/>
  <c r="G51" i="64"/>
  <c r="M50" i="64"/>
  <c r="G50" i="64"/>
  <c r="M49" i="64"/>
  <c r="G49" i="64"/>
  <c r="M48" i="64"/>
  <c r="G48" i="64"/>
  <c r="M47" i="64"/>
  <c r="G47" i="64"/>
  <c r="M46" i="64"/>
  <c r="G46" i="64"/>
  <c r="M45" i="64"/>
  <c r="G45" i="64"/>
  <c r="M44" i="64"/>
  <c r="G44" i="64"/>
  <c r="M43" i="64"/>
  <c r="G43" i="64"/>
  <c r="M42" i="64"/>
  <c r="G42" i="64"/>
  <c r="M41" i="64"/>
  <c r="G41" i="64"/>
  <c r="M40" i="64"/>
  <c r="G40" i="64"/>
  <c r="M39" i="64"/>
  <c r="G39" i="64"/>
  <c r="M38" i="64"/>
  <c r="G38" i="64"/>
  <c r="M37" i="64"/>
  <c r="G37" i="64"/>
  <c r="M36" i="64"/>
  <c r="G36" i="64"/>
  <c r="M35" i="64"/>
  <c r="G35" i="64"/>
  <c r="M34" i="64"/>
  <c r="G34" i="64"/>
  <c r="M33" i="64"/>
  <c r="G33" i="64"/>
  <c r="M32" i="64"/>
  <c r="G32" i="64"/>
  <c r="M31" i="64"/>
  <c r="G31" i="64"/>
  <c r="M30" i="64"/>
  <c r="G30" i="64"/>
  <c r="M29" i="64"/>
  <c r="G29" i="64"/>
  <c r="M28" i="64"/>
  <c r="G28" i="64"/>
  <c r="M27" i="64"/>
  <c r="G27" i="64"/>
  <c r="M26" i="64"/>
  <c r="G26" i="64"/>
  <c r="M25" i="64"/>
  <c r="G25" i="64"/>
  <c r="M24" i="64"/>
  <c r="G24" i="64"/>
  <c r="M23" i="64"/>
  <c r="G23" i="64"/>
  <c r="M22" i="64"/>
  <c r="G22" i="64"/>
  <c r="M21" i="64"/>
  <c r="G21" i="64"/>
  <c r="M20" i="64"/>
  <c r="G20" i="64"/>
  <c r="M19" i="64"/>
  <c r="G19" i="64"/>
  <c r="M18" i="64"/>
  <c r="G18" i="64"/>
  <c r="M17" i="64"/>
  <c r="G17" i="64"/>
  <c r="M16" i="64"/>
  <c r="G16" i="64"/>
  <c r="M15" i="64"/>
  <c r="G15" i="64"/>
  <c r="M14" i="64"/>
  <c r="G14" i="64"/>
  <c r="M13" i="64"/>
  <c r="G13" i="64"/>
  <c r="M12" i="64"/>
  <c r="G12" i="64"/>
  <c r="M11" i="64"/>
  <c r="G11" i="64"/>
  <c r="M10" i="64"/>
  <c r="G10" i="64"/>
  <c r="M9" i="64"/>
  <c r="G9" i="64"/>
  <c r="M8" i="64"/>
  <c r="G8" i="64"/>
  <c r="M61" i="63"/>
  <c r="G61" i="63"/>
  <c r="M60" i="63"/>
  <c r="G60" i="63"/>
  <c r="M59" i="63"/>
  <c r="G59" i="63"/>
  <c r="M58" i="63"/>
  <c r="G58" i="63"/>
  <c r="M57" i="63"/>
  <c r="G57" i="63"/>
  <c r="M56" i="63"/>
  <c r="G56" i="63"/>
  <c r="M55" i="63"/>
  <c r="G55" i="63"/>
  <c r="M54" i="63"/>
  <c r="G54" i="63"/>
  <c r="M53" i="63"/>
  <c r="G53" i="63"/>
  <c r="M52" i="63"/>
  <c r="G52" i="63"/>
  <c r="M51" i="63"/>
  <c r="G51" i="63"/>
  <c r="M50" i="63"/>
  <c r="G50" i="63"/>
  <c r="M49" i="63"/>
  <c r="G49" i="63"/>
  <c r="M48" i="63"/>
  <c r="G48" i="63"/>
  <c r="M47" i="63"/>
  <c r="G47" i="63"/>
  <c r="M46" i="63"/>
  <c r="G46" i="63"/>
  <c r="M45" i="63"/>
  <c r="G45" i="63"/>
  <c r="M44" i="63"/>
  <c r="G44" i="63"/>
  <c r="M43" i="63"/>
  <c r="G43" i="63"/>
  <c r="M42" i="63"/>
  <c r="G42" i="63"/>
  <c r="M41" i="63"/>
  <c r="G41" i="63"/>
  <c r="M40" i="63"/>
  <c r="G40" i="63"/>
  <c r="M39" i="63"/>
  <c r="G39" i="63"/>
  <c r="M38" i="63"/>
  <c r="G38" i="63"/>
  <c r="M37" i="63"/>
  <c r="G37" i="63"/>
  <c r="M36" i="63"/>
  <c r="G36" i="63"/>
  <c r="M35" i="63"/>
  <c r="G35" i="63"/>
  <c r="M34" i="63"/>
  <c r="G34" i="63"/>
  <c r="M33" i="63"/>
  <c r="G33" i="63"/>
  <c r="M32" i="63"/>
  <c r="G32" i="63"/>
  <c r="M31" i="63"/>
  <c r="G31" i="63"/>
  <c r="M30" i="63"/>
  <c r="G30" i="63"/>
  <c r="M29" i="63"/>
  <c r="G29" i="63"/>
  <c r="M28" i="63"/>
  <c r="G28" i="63"/>
  <c r="M27" i="63"/>
  <c r="G27" i="63"/>
  <c r="M26" i="63"/>
  <c r="G26" i="63"/>
  <c r="M25" i="63"/>
  <c r="G25" i="63"/>
  <c r="M24" i="63"/>
  <c r="G24" i="63"/>
  <c r="M23" i="63"/>
  <c r="G23" i="63"/>
  <c r="M22" i="63"/>
  <c r="G22" i="63"/>
  <c r="M21" i="63"/>
  <c r="G21" i="63"/>
  <c r="M20" i="63"/>
  <c r="G20" i="63"/>
  <c r="M19" i="63"/>
  <c r="G19" i="63"/>
  <c r="M18" i="63"/>
  <c r="G18" i="63"/>
  <c r="M17" i="63"/>
  <c r="G17" i="63"/>
  <c r="M16" i="63"/>
  <c r="G16" i="63"/>
  <c r="M15" i="63"/>
  <c r="G15" i="63"/>
  <c r="M14" i="63"/>
  <c r="G14" i="63"/>
  <c r="M13" i="63"/>
  <c r="G13" i="63"/>
  <c r="M12" i="63"/>
  <c r="G12" i="63"/>
  <c r="M11" i="63"/>
  <c r="G11" i="63"/>
  <c r="M10" i="63"/>
  <c r="G10" i="63"/>
  <c r="M9" i="63"/>
  <c r="G9" i="63"/>
  <c r="M8" i="63"/>
  <c r="G8" i="63"/>
  <c r="M61" i="62"/>
  <c r="G61" i="62"/>
  <c r="M60" i="62"/>
  <c r="G60" i="62"/>
  <c r="M59" i="62"/>
  <c r="G59" i="62"/>
  <c r="M58" i="62"/>
  <c r="G58" i="62"/>
  <c r="M57" i="62"/>
  <c r="G57" i="62"/>
  <c r="M56" i="62"/>
  <c r="G56" i="62"/>
  <c r="M55" i="62"/>
  <c r="G55" i="62"/>
  <c r="M54" i="62"/>
  <c r="G54" i="62"/>
  <c r="M53" i="62"/>
  <c r="G53" i="62"/>
  <c r="M52" i="62"/>
  <c r="G52" i="62"/>
  <c r="M51" i="62"/>
  <c r="G51" i="62"/>
  <c r="M50" i="62"/>
  <c r="G50" i="62"/>
  <c r="M49" i="62"/>
  <c r="G49" i="62"/>
  <c r="M48" i="62"/>
  <c r="G48" i="62"/>
  <c r="M47" i="62"/>
  <c r="G47" i="62"/>
  <c r="M46" i="62"/>
  <c r="G46" i="62"/>
  <c r="M45" i="62"/>
  <c r="G45" i="62"/>
  <c r="M44" i="62"/>
  <c r="G44" i="62"/>
  <c r="M43" i="62"/>
  <c r="G43" i="62"/>
  <c r="M42" i="62"/>
  <c r="G42" i="62"/>
  <c r="M41" i="62"/>
  <c r="G41" i="62"/>
  <c r="M40" i="62"/>
  <c r="G40" i="62"/>
  <c r="M39" i="62"/>
  <c r="G39" i="62"/>
  <c r="M38" i="62"/>
  <c r="G38" i="62"/>
  <c r="M37" i="62"/>
  <c r="G37" i="62"/>
  <c r="M36" i="62"/>
  <c r="G36" i="62"/>
  <c r="M35" i="62"/>
  <c r="G35" i="62"/>
  <c r="M34" i="62"/>
  <c r="G34" i="62"/>
  <c r="M33" i="62"/>
  <c r="G33" i="62"/>
  <c r="M32" i="62"/>
  <c r="G32" i="62"/>
  <c r="M31" i="62"/>
  <c r="G31" i="62"/>
  <c r="M30" i="62"/>
  <c r="G30" i="62"/>
  <c r="M29" i="62"/>
  <c r="G29" i="62"/>
  <c r="M28" i="62"/>
  <c r="G28" i="62"/>
  <c r="M27" i="62"/>
  <c r="G27" i="62"/>
  <c r="M26" i="62"/>
  <c r="G26" i="62"/>
  <c r="M25" i="62"/>
  <c r="G25" i="62"/>
  <c r="M24" i="62"/>
  <c r="G24" i="62"/>
  <c r="M23" i="62"/>
  <c r="G23" i="62"/>
  <c r="M22" i="62"/>
  <c r="G22" i="62"/>
  <c r="M21" i="62"/>
  <c r="G21" i="62"/>
  <c r="M20" i="62"/>
  <c r="G20" i="62"/>
  <c r="M19" i="62"/>
  <c r="G19" i="62"/>
  <c r="M18" i="62"/>
  <c r="G18" i="62"/>
  <c r="M17" i="62"/>
  <c r="G17" i="62"/>
  <c r="M16" i="62"/>
  <c r="G16" i="62"/>
  <c r="M15" i="62"/>
  <c r="G15" i="62"/>
  <c r="M14" i="62"/>
  <c r="G14" i="62"/>
  <c r="M13" i="62"/>
  <c r="G13" i="62"/>
  <c r="M12" i="62"/>
  <c r="G12" i="62"/>
  <c r="M11" i="62"/>
  <c r="G11" i="62"/>
  <c r="M10" i="62"/>
  <c r="G10" i="62"/>
  <c r="M9" i="62"/>
  <c r="G9" i="62"/>
  <c r="M8" i="62"/>
  <c r="G8" i="62"/>
  <c r="M61" i="61"/>
  <c r="G61" i="61"/>
  <c r="M60" i="61"/>
  <c r="G60" i="61"/>
  <c r="M59" i="61"/>
  <c r="G59" i="61"/>
  <c r="M58" i="61"/>
  <c r="G58" i="61"/>
  <c r="M57" i="61"/>
  <c r="G57" i="61"/>
  <c r="M56" i="61"/>
  <c r="G56" i="61"/>
  <c r="M55" i="61"/>
  <c r="G55" i="61"/>
  <c r="M54" i="61"/>
  <c r="G54" i="61"/>
  <c r="M53" i="61"/>
  <c r="G53" i="61"/>
  <c r="M52" i="61"/>
  <c r="G52" i="61"/>
  <c r="M51" i="61"/>
  <c r="G51" i="61"/>
  <c r="M50" i="61"/>
  <c r="G50" i="61"/>
  <c r="M49" i="61"/>
  <c r="G49" i="61"/>
  <c r="M48" i="61"/>
  <c r="G48" i="61"/>
  <c r="M47" i="61"/>
  <c r="G47" i="61"/>
  <c r="M46" i="61"/>
  <c r="G46" i="61"/>
  <c r="M45" i="61"/>
  <c r="G45" i="61"/>
  <c r="M44" i="61"/>
  <c r="G44" i="61"/>
  <c r="M43" i="61"/>
  <c r="G43" i="61"/>
  <c r="M42" i="61"/>
  <c r="G42" i="61"/>
  <c r="M41" i="61"/>
  <c r="G41" i="61"/>
  <c r="M40" i="61"/>
  <c r="G40" i="61"/>
  <c r="M39" i="61"/>
  <c r="G39" i="61"/>
  <c r="M38" i="61"/>
  <c r="G38" i="61"/>
  <c r="M37" i="61"/>
  <c r="G37" i="61"/>
  <c r="M36" i="61"/>
  <c r="G36" i="61"/>
  <c r="M35" i="61"/>
  <c r="G35" i="61"/>
  <c r="M34" i="61"/>
  <c r="G34" i="61"/>
  <c r="M33" i="61"/>
  <c r="G33" i="61"/>
  <c r="M32" i="61"/>
  <c r="G32" i="61"/>
  <c r="M31" i="61"/>
  <c r="G31" i="61"/>
  <c r="M30" i="61"/>
  <c r="G30" i="61"/>
  <c r="M29" i="61"/>
  <c r="G29" i="61"/>
  <c r="M28" i="61"/>
  <c r="G28" i="61"/>
  <c r="M27" i="61"/>
  <c r="G27" i="61"/>
  <c r="M26" i="61"/>
  <c r="G26" i="61"/>
  <c r="M25" i="61"/>
  <c r="G25" i="61"/>
  <c r="M24" i="61"/>
  <c r="G24" i="61"/>
  <c r="M23" i="61"/>
  <c r="G23" i="61"/>
  <c r="M22" i="61"/>
  <c r="G22" i="61"/>
  <c r="M21" i="61"/>
  <c r="G21" i="61"/>
  <c r="M20" i="61"/>
  <c r="G20" i="61"/>
  <c r="M19" i="61"/>
  <c r="G19" i="61"/>
  <c r="M18" i="61"/>
  <c r="G18" i="61"/>
  <c r="M17" i="61"/>
  <c r="G17" i="61"/>
  <c r="M16" i="61"/>
  <c r="G16" i="61"/>
  <c r="M15" i="61"/>
  <c r="G15" i="61"/>
  <c r="M14" i="61"/>
  <c r="G14" i="61"/>
  <c r="M13" i="61"/>
  <c r="G13" i="61"/>
  <c r="M12" i="61"/>
  <c r="G12" i="61"/>
  <c r="M11" i="61"/>
  <c r="G11" i="61"/>
  <c r="M10" i="61"/>
  <c r="G10" i="61"/>
  <c r="M9" i="61"/>
  <c r="G9" i="61"/>
  <c r="M8" i="61"/>
  <c r="G8" i="61"/>
  <c r="M61" i="60"/>
  <c r="G61" i="60"/>
  <c r="M60" i="60"/>
  <c r="G60" i="60"/>
  <c r="M59" i="60"/>
  <c r="G59" i="60"/>
  <c r="M58" i="60"/>
  <c r="G58" i="60"/>
  <c r="M57" i="60"/>
  <c r="G57" i="60"/>
  <c r="M56" i="60"/>
  <c r="G56" i="60"/>
  <c r="M55" i="60"/>
  <c r="G55" i="60"/>
  <c r="M54" i="60"/>
  <c r="G54" i="60"/>
  <c r="M53" i="60"/>
  <c r="G53" i="60"/>
  <c r="M52" i="60"/>
  <c r="G52" i="60"/>
  <c r="M51" i="60"/>
  <c r="G51" i="60"/>
  <c r="M50" i="60"/>
  <c r="G50" i="60"/>
  <c r="M49" i="60"/>
  <c r="G49" i="60"/>
  <c r="M48" i="60"/>
  <c r="G48" i="60"/>
  <c r="M47" i="60"/>
  <c r="G47" i="60"/>
  <c r="M46" i="60"/>
  <c r="G46" i="60"/>
  <c r="M45" i="60"/>
  <c r="G45" i="60"/>
  <c r="M44" i="60"/>
  <c r="G44" i="60"/>
  <c r="M43" i="60"/>
  <c r="G43" i="60"/>
  <c r="M42" i="60"/>
  <c r="G42" i="60"/>
  <c r="M41" i="60"/>
  <c r="G41" i="60"/>
  <c r="M40" i="60"/>
  <c r="G40" i="60"/>
  <c r="M39" i="60"/>
  <c r="G39" i="60"/>
  <c r="M38" i="60"/>
  <c r="G38" i="60"/>
  <c r="M37" i="60"/>
  <c r="G37" i="60"/>
  <c r="M36" i="60"/>
  <c r="G36" i="60"/>
  <c r="M35" i="60"/>
  <c r="G35" i="60"/>
  <c r="M34" i="60"/>
  <c r="G34" i="60"/>
  <c r="M33" i="60"/>
  <c r="G33" i="60"/>
  <c r="M32" i="60"/>
  <c r="G32" i="60"/>
  <c r="M31" i="60"/>
  <c r="G31" i="60"/>
  <c r="M30" i="60"/>
  <c r="G30" i="60"/>
  <c r="M29" i="60"/>
  <c r="G29" i="60"/>
  <c r="M28" i="60"/>
  <c r="G28" i="60"/>
  <c r="M27" i="60"/>
  <c r="G27" i="60"/>
  <c r="M26" i="60"/>
  <c r="G26" i="60"/>
  <c r="M25" i="60"/>
  <c r="G25" i="60"/>
  <c r="M24" i="60"/>
  <c r="G24" i="60"/>
  <c r="M23" i="60"/>
  <c r="G23" i="60"/>
  <c r="M22" i="60"/>
  <c r="G22" i="60"/>
  <c r="M21" i="60"/>
  <c r="G21" i="60"/>
  <c r="M20" i="60"/>
  <c r="G20" i="60"/>
  <c r="M19" i="60"/>
  <c r="G19" i="60"/>
  <c r="M18" i="60"/>
  <c r="G18" i="60"/>
  <c r="M17" i="60"/>
  <c r="G17" i="60"/>
  <c r="M16" i="60"/>
  <c r="G16" i="60"/>
  <c r="M15" i="60"/>
  <c r="G15" i="60"/>
  <c r="M14" i="60"/>
  <c r="G14" i="60"/>
  <c r="M13" i="60"/>
  <c r="G13" i="60"/>
  <c r="M12" i="60"/>
  <c r="G12" i="60"/>
  <c r="M11" i="60"/>
  <c r="G11" i="60"/>
  <c r="M61" i="59"/>
  <c r="G61" i="59"/>
  <c r="M60" i="59"/>
  <c r="G60" i="59"/>
  <c r="M59" i="59"/>
  <c r="G59" i="59"/>
  <c r="M58" i="59"/>
  <c r="G58" i="59"/>
  <c r="M57" i="59"/>
  <c r="G57" i="59"/>
  <c r="M56" i="59"/>
  <c r="G56" i="59"/>
  <c r="M55" i="59"/>
  <c r="G55" i="59"/>
  <c r="M54" i="59"/>
  <c r="G54" i="59"/>
  <c r="M53" i="59"/>
  <c r="G53" i="59"/>
  <c r="M52" i="59"/>
  <c r="G52" i="59"/>
  <c r="M51" i="59"/>
  <c r="G51" i="59"/>
  <c r="M50" i="59"/>
  <c r="G50" i="59"/>
  <c r="M49" i="59"/>
  <c r="G49" i="59"/>
  <c r="M48" i="59"/>
  <c r="G48" i="59"/>
  <c r="M47" i="59"/>
  <c r="G47" i="59"/>
  <c r="M46" i="59"/>
  <c r="G46" i="59"/>
  <c r="M45" i="59"/>
  <c r="G45" i="59"/>
  <c r="M44" i="59"/>
  <c r="G44" i="59"/>
  <c r="M43" i="59"/>
  <c r="G43" i="59"/>
  <c r="M42" i="59"/>
  <c r="G42" i="59"/>
  <c r="M41" i="59"/>
  <c r="G41" i="59"/>
  <c r="M40" i="59"/>
  <c r="G40" i="59"/>
  <c r="M39" i="59"/>
  <c r="G39" i="59"/>
  <c r="M38" i="59"/>
  <c r="G38" i="59"/>
  <c r="M37" i="59"/>
  <c r="G37" i="59"/>
  <c r="M36" i="59"/>
  <c r="G36" i="59"/>
  <c r="M35" i="59"/>
  <c r="G35" i="59"/>
  <c r="M34" i="59"/>
  <c r="G34" i="59"/>
  <c r="M33" i="59"/>
  <c r="G33" i="59"/>
  <c r="M32" i="59"/>
  <c r="G32" i="59"/>
  <c r="M31" i="59"/>
  <c r="G31" i="59"/>
  <c r="M30" i="59"/>
  <c r="G30" i="59"/>
  <c r="M29" i="59"/>
  <c r="G29" i="59"/>
  <c r="M28" i="59"/>
  <c r="G28" i="59"/>
  <c r="M27" i="59"/>
  <c r="G27" i="59"/>
  <c r="M26" i="59"/>
  <c r="G26" i="59"/>
  <c r="M25" i="59"/>
  <c r="G25" i="59"/>
  <c r="M24" i="59"/>
  <c r="G24" i="59"/>
  <c r="M23" i="59"/>
  <c r="G23" i="59"/>
  <c r="M22" i="59"/>
  <c r="G22" i="59"/>
  <c r="M21" i="59"/>
  <c r="G21" i="59"/>
  <c r="M20" i="59"/>
  <c r="G20" i="59"/>
  <c r="M19" i="59"/>
  <c r="G19" i="59"/>
  <c r="M18" i="59"/>
  <c r="G18" i="59"/>
  <c r="M17" i="59"/>
  <c r="G17" i="59"/>
  <c r="M16" i="59"/>
  <c r="G16" i="59"/>
  <c r="M15" i="59"/>
  <c r="G15" i="59"/>
  <c r="M14" i="59"/>
  <c r="G14" i="59"/>
  <c r="M13" i="59"/>
  <c r="G13" i="59"/>
  <c r="M12" i="59"/>
  <c r="G12" i="59"/>
  <c r="M11" i="59"/>
  <c r="G11" i="59"/>
  <c r="M10" i="59"/>
  <c r="G10" i="59"/>
  <c r="M9" i="59"/>
  <c r="G9" i="59"/>
  <c r="M8" i="59"/>
  <c r="G8" i="59"/>
  <c r="M61" i="58"/>
  <c r="G61" i="58"/>
  <c r="M60" i="58"/>
  <c r="G60" i="58"/>
  <c r="M59" i="58"/>
  <c r="G59" i="58"/>
  <c r="M58" i="58"/>
  <c r="G58" i="58"/>
  <c r="M57" i="58"/>
  <c r="G57" i="58"/>
  <c r="M56" i="58"/>
  <c r="G56" i="58"/>
  <c r="M55" i="58"/>
  <c r="G55" i="58"/>
  <c r="M54" i="58"/>
  <c r="G54" i="58"/>
  <c r="M53" i="58"/>
  <c r="G53" i="58"/>
  <c r="M52" i="58"/>
  <c r="G52" i="58"/>
  <c r="M51" i="58"/>
  <c r="G51" i="58"/>
  <c r="M50" i="58"/>
  <c r="G50" i="58"/>
  <c r="M49" i="58"/>
  <c r="G49" i="58"/>
  <c r="M48" i="58"/>
  <c r="G48" i="58"/>
  <c r="M47" i="58"/>
  <c r="G47" i="58"/>
  <c r="M46" i="58"/>
  <c r="G46" i="58"/>
  <c r="M45" i="58"/>
  <c r="G45" i="58"/>
  <c r="M44" i="58"/>
  <c r="G44" i="58"/>
  <c r="M43" i="58"/>
  <c r="G43" i="58"/>
  <c r="M42" i="58"/>
  <c r="G42" i="58"/>
  <c r="M41" i="58"/>
  <c r="G41" i="58"/>
  <c r="M40" i="58"/>
  <c r="G40" i="58"/>
  <c r="M39" i="58"/>
  <c r="G39" i="58"/>
  <c r="M38" i="58"/>
  <c r="G38" i="58"/>
  <c r="M37" i="58"/>
  <c r="G37" i="58"/>
  <c r="M36" i="58"/>
  <c r="G36" i="58"/>
  <c r="M35" i="58"/>
  <c r="G35" i="58"/>
  <c r="M34" i="58"/>
  <c r="G34" i="58"/>
  <c r="M33" i="58"/>
  <c r="G33" i="58"/>
  <c r="M32" i="58"/>
  <c r="G32" i="58"/>
  <c r="M31" i="58"/>
  <c r="G31" i="58"/>
  <c r="M30" i="58"/>
  <c r="G30" i="58"/>
  <c r="M29" i="58"/>
  <c r="G29" i="58"/>
  <c r="M28" i="58"/>
  <c r="G28" i="58"/>
  <c r="M27" i="58"/>
  <c r="G27" i="58"/>
  <c r="M26" i="58"/>
  <c r="G26" i="58"/>
  <c r="M25" i="58"/>
  <c r="G25" i="58"/>
  <c r="M24" i="58"/>
  <c r="G24" i="58"/>
  <c r="M23" i="58"/>
  <c r="G23" i="58"/>
  <c r="M22" i="58"/>
  <c r="G22" i="58"/>
  <c r="M21" i="58"/>
  <c r="G21" i="58"/>
  <c r="M20" i="58"/>
  <c r="G20" i="58"/>
  <c r="M19" i="58"/>
  <c r="G19" i="58"/>
  <c r="M18" i="58"/>
  <c r="G18" i="58"/>
  <c r="M17" i="58"/>
  <c r="G17" i="58"/>
  <c r="M16" i="58"/>
  <c r="G16" i="58"/>
  <c r="M15" i="58"/>
  <c r="G15" i="58"/>
  <c r="M14" i="58"/>
  <c r="G14" i="58"/>
  <c r="M13" i="58"/>
  <c r="G13" i="58"/>
  <c r="M12" i="58"/>
  <c r="G12" i="58"/>
  <c r="M11" i="58"/>
  <c r="G11" i="58"/>
  <c r="M10" i="58"/>
  <c r="G10" i="58"/>
  <c r="M9" i="58"/>
  <c r="G9" i="58"/>
  <c r="M8" i="58"/>
  <c r="G8" i="58"/>
  <c r="M61" i="57"/>
  <c r="G61" i="57"/>
  <c r="M60" i="57"/>
  <c r="G60" i="57"/>
  <c r="M59" i="57"/>
  <c r="G59" i="57"/>
  <c r="M58" i="57"/>
  <c r="G58" i="57"/>
  <c r="M57" i="57"/>
  <c r="G57" i="57"/>
  <c r="M56" i="57"/>
  <c r="G56" i="57"/>
  <c r="M55" i="57"/>
  <c r="G55" i="57"/>
  <c r="M54" i="57"/>
  <c r="G54" i="57"/>
  <c r="M53" i="57"/>
  <c r="G53" i="57"/>
  <c r="M52" i="57"/>
  <c r="G52" i="57"/>
  <c r="M51" i="57"/>
  <c r="G51" i="57"/>
  <c r="M50" i="57"/>
  <c r="G50" i="57"/>
  <c r="M49" i="57"/>
  <c r="G49" i="57"/>
  <c r="M48" i="57"/>
  <c r="G48" i="57"/>
  <c r="M47" i="57"/>
  <c r="G47" i="57"/>
  <c r="M46" i="57"/>
  <c r="G46" i="57"/>
  <c r="M45" i="57"/>
  <c r="G45" i="57"/>
  <c r="M44" i="57"/>
  <c r="G44" i="57"/>
  <c r="M43" i="57"/>
  <c r="G43" i="57"/>
  <c r="M42" i="57"/>
  <c r="G42" i="57"/>
  <c r="M41" i="57"/>
  <c r="G41" i="57"/>
  <c r="M40" i="57"/>
  <c r="G40" i="57"/>
  <c r="M39" i="57"/>
  <c r="G39" i="57"/>
  <c r="M38" i="57"/>
  <c r="G38" i="57"/>
  <c r="M37" i="57"/>
  <c r="G37" i="57"/>
  <c r="M36" i="57"/>
  <c r="G36" i="57"/>
  <c r="M35" i="57"/>
  <c r="G35" i="57"/>
  <c r="M34" i="57"/>
  <c r="G34" i="57"/>
  <c r="M33" i="57"/>
  <c r="G33" i="57"/>
  <c r="M32" i="57"/>
  <c r="G32" i="57"/>
  <c r="M31" i="57"/>
  <c r="G31" i="57"/>
  <c r="M30" i="57"/>
  <c r="G30" i="57"/>
  <c r="M29" i="57"/>
  <c r="G29" i="57"/>
  <c r="M28" i="57"/>
  <c r="G28" i="57"/>
  <c r="M27" i="57"/>
  <c r="G27" i="57"/>
  <c r="M26" i="57"/>
  <c r="G26" i="57"/>
  <c r="M25" i="57"/>
  <c r="G25" i="57"/>
  <c r="M24" i="57"/>
  <c r="G24" i="57"/>
  <c r="M23" i="57"/>
  <c r="G23" i="57"/>
  <c r="M22" i="57"/>
  <c r="G22" i="57"/>
  <c r="M21" i="57"/>
  <c r="G21" i="57"/>
  <c r="M20" i="57"/>
  <c r="G20" i="57"/>
  <c r="M19" i="57"/>
  <c r="G19" i="57"/>
  <c r="M18" i="57"/>
  <c r="G18" i="57"/>
  <c r="M17" i="57"/>
  <c r="G17" i="57"/>
  <c r="M16" i="57"/>
  <c r="G16" i="57"/>
  <c r="M15" i="57"/>
  <c r="G15" i="57"/>
  <c r="M14" i="57"/>
  <c r="G14" i="57"/>
  <c r="M13" i="57"/>
  <c r="G13" i="57"/>
  <c r="M12" i="57"/>
  <c r="G12" i="57"/>
  <c r="M11" i="57"/>
  <c r="G11" i="57"/>
  <c r="M10" i="57"/>
  <c r="G10" i="57"/>
  <c r="M9" i="57"/>
  <c r="G9" i="57"/>
  <c r="M8" i="57"/>
  <c r="G8" i="57"/>
  <c r="M61" i="56"/>
  <c r="G61" i="56"/>
  <c r="M60" i="56"/>
  <c r="G60" i="56"/>
  <c r="M59" i="56"/>
  <c r="G59" i="56"/>
  <c r="M58" i="56"/>
  <c r="G58" i="56"/>
  <c r="M57" i="56"/>
  <c r="G57" i="56"/>
  <c r="M56" i="56"/>
  <c r="G56" i="56"/>
  <c r="M55" i="56"/>
  <c r="G55" i="56"/>
  <c r="M54" i="56"/>
  <c r="G54" i="56"/>
  <c r="M53" i="56"/>
  <c r="G53" i="56"/>
  <c r="M52" i="56"/>
  <c r="G52" i="56"/>
  <c r="M51" i="56"/>
  <c r="G51" i="56"/>
  <c r="M50" i="56"/>
  <c r="G50" i="56"/>
  <c r="M49" i="56"/>
  <c r="G49" i="56"/>
  <c r="M48" i="56"/>
  <c r="G48" i="56"/>
  <c r="M47" i="56"/>
  <c r="G47" i="56"/>
  <c r="M46" i="56"/>
  <c r="G46" i="56"/>
  <c r="M45" i="56"/>
  <c r="G45" i="56"/>
  <c r="M44" i="56"/>
  <c r="G44" i="56"/>
  <c r="M43" i="56"/>
  <c r="G43" i="56"/>
  <c r="M42" i="56"/>
  <c r="G42" i="56"/>
  <c r="M41" i="56"/>
  <c r="G41" i="56"/>
  <c r="M40" i="56"/>
  <c r="G40" i="56"/>
  <c r="M39" i="56"/>
  <c r="G39" i="56"/>
  <c r="M38" i="56"/>
  <c r="G38" i="56"/>
  <c r="M37" i="56"/>
  <c r="G37" i="56"/>
  <c r="M36" i="56"/>
  <c r="G36" i="56"/>
  <c r="M35" i="56"/>
  <c r="G35" i="56"/>
  <c r="M34" i="56"/>
  <c r="G34" i="56"/>
  <c r="M33" i="56"/>
  <c r="G33" i="56"/>
  <c r="M32" i="56"/>
  <c r="G32" i="56"/>
  <c r="M31" i="56"/>
  <c r="G31" i="56"/>
  <c r="M30" i="56"/>
  <c r="G30" i="56"/>
  <c r="M29" i="56"/>
  <c r="G29" i="56"/>
  <c r="M28" i="56"/>
  <c r="G28" i="56"/>
  <c r="M27" i="56"/>
  <c r="G27" i="56"/>
  <c r="M26" i="56"/>
  <c r="G26" i="56"/>
  <c r="M25" i="56"/>
  <c r="G25" i="56"/>
  <c r="M24" i="56"/>
  <c r="G24" i="56"/>
  <c r="M23" i="56"/>
  <c r="G23" i="56"/>
  <c r="M22" i="56"/>
  <c r="G22" i="56"/>
  <c r="M21" i="56"/>
  <c r="G21" i="56"/>
  <c r="M20" i="56"/>
  <c r="G20" i="56"/>
  <c r="M19" i="56"/>
  <c r="G19" i="56"/>
  <c r="M18" i="56"/>
  <c r="G18" i="56"/>
  <c r="M17" i="56"/>
  <c r="G17" i="56"/>
  <c r="M16" i="56"/>
  <c r="G16" i="56"/>
  <c r="M15" i="56"/>
  <c r="G15" i="56"/>
  <c r="M14" i="56"/>
  <c r="G14" i="56"/>
  <c r="M13" i="56"/>
  <c r="G13" i="56"/>
  <c r="M12" i="56"/>
  <c r="G12" i="56"/>
  <c r="M11" i="56"/>
  <c r="G11" i="56"/>
  <c r="M10" i="56"/>
  <c r="G10" i="56"/>
  <c r="M9" i="56"/>
  <c r="G9" i="56"/>
  <c r="M8" i="56"/>
  <c r="G8" i="56"/>
  <c r="M61" i="55"/>
  <c r="G61" i="55"/>
  <c r="M60" i="55"/>
  <c r="G60" i="55"/>
  <c r="M59" i="55"/>
  <c r="G59" i="55"/>
  <c r="M58" i="55"/>
  <c r="G58" i="55"/>
  <c r="M57" i="55"/>
  <c r="G57" i="55"/>
  <c r="M56" i="55"/>
  <c r="G56" i="55"/>
  <c r="M55" i="55"/>
  <c r="G55" i="55"/>
  <c r="M54" i="55"/>
  <c r="G54" i="55"/>
  <c r="M53" i="55"/>
  <c r="G53" i="55"/>
  <c r="M52" i="55"/>
  <c r="G52" i="55"/>
  <c r="M51" i="55"/>
  <c r="G51" i="55"/>
  <c r="M50" i="55"/>
  <c r="G50" i="55"/>
  <c r="M49" i="55"/>
  <c r="G49" i="55"/>
  <c r="M48" i="55"/>
  <c r="G48" i="55"/>
  <c r="M47" i="55"/>
  <c r="G47" i="55"/>
  <c r="M46" i="55"/>
  <c r="G46" i="55"/>
  <c r="M45" i="55"/>
  <c r="G45" i="55"/>
  <c r="M44" i="55"/>
  <c r="G44" i="55"/>
  <c r="M43" i="55"/>
  <c r="G43" i="55"/>
  <c r="M42" i="55"/>
  <c r="G42" i="55"/>
  <c r="M41" i="55"/>
  <c r="G41" i="55"/>
  <c r="M40" i="55"/>
  <c r="G40" i="55"/>
  <c r="M39" i="55"/>
  <c r="G39" i="55"/>
  <c r="M38" i="55"/>
  <c r="G38" i="55"/>
  <c r="M37" i="55"/>
  <c r="G37" i="55"/>
  <c r="M36" i="55"/>
  <c r="G36" i="55"/>
  <c r="M35" i="55"/>
  <c r="G35" i="55"/>
  <c r="M34" i="55"/>
  <c r="G34" i="55"/>
  <c r="M33" i="55"/>
  <c r="G33" i="55"/>
  <c r="M32" i="55"/>
  <c r="G32" i="55"/>
  <c r="M31" i="55"/>
  <c r="G31" i="55"/>
  <c r="M30" i="55"/>
  <c r="G30" i="55"/>
  <c r="M29" i="55"/>
  <c r="G29" i="55"/>
  <c r="M28" i="55"/>
  <c r="G28" i="55"/>
  <c r="M27" i="55"/>
  <c r="G27" i="55"/>
  <c r="M26" i="55"/>
  <c r="G26" i="55"/>
  <c r="M25" i="55"/>
  <c r="G25" i="55"/>
  <c r="M24" i="55"/>
  <c r="G24" i="55"/>
  <c r="M23" i="55"/>
  <c r="G23" i="55"/>
  <c r="M22" i="55"/>
  <c r="G22" i="55"/>
  <c r="M21" i="55"/>
  <c r="G21" i="55"/>
  <c r="M20" i="55"/>
  <c r="G20" i="55"/>
  <c r="M19" i="55"/>
  <c r="G19" i="55"/>
  <c r="M18" i="55"/>
  <c r="G18" i="55"/>
  <c r="M17" i="55"/>
  <c r="G17" i="55"/>
  <c r="M16" i="55"/>
  <c r="G16" i="55"/>
  <c r="M15" i="55"/>
  <c r="G15" i="55"/>
  <c r="M14" i="55"/>
  <c r="G14" i="55"/>
  <c r="M13" i="55"/>
  <c r="G13" i="55"/>
  <c r="M12" i="55"/>
  <c r="G12" i="55"/>
  <c r="M11" i="55"/>
  <c r="G11" i="55"/>
  <c r="M10" i="55"/>
  <c r="G10" i="55"/>
  <c r="M9" i="55"/>
  <c r="G9" i="55"/>
  <c r="M8" i="55"/>
  <c r="G8" i="55"/>
  <c r="M61" i="54"/>
  <c r="G61" i="54"/>
  <c r="M60" i="54"/>
  <c r="G60" i="54"/>
  <c r="M59" i="54"/>
  <c r="G59" i="54"/>
  <c r="M58" i="54"/>
  <c r="G58" i="54"/>
  <c r="M57" i="54"/>
  <c r="G57" i="54"/>
  <c r="M56" i="54"/>
  <c r="G56" i="54"/>
  <c r="M55" i="54"/>
  <c r="G55" i="54"/>
  <c r="M54" i="54"/>
  <c r="G54" i="54"/>
  <c r="M53" i="54"/>
  <c r="G53" i="54"/>
  <c r="M52" i="54"/>
  <c r="G52" i="54"/>
  <c r="M51" i="54"/>
  <c r="G51" i="54"/>
  <c r="M50" i="54"/>
  <c r="G50" i="54"/>
  <c r="M49" i="54"/>
  <c r="G49" i="54"/>
  <c r="M48" i="54"/>
  <c r="G48" i="54"/>
  <c r="M47" i="54"/>
  <c r="G47" i="54"/>
  <c r="M46" i="54"/>
  <c r="G46" i="54"/>
  <c r="M45" i="54"/>
  <c r="G45" i="54"/>
  <c r="M44" i="54"/>
  <c r="G44" i="54"/>
  <c r="M43" i="54"/>
  <c r="G43" i="54"/>
  <c r="M42" i="54"/>
  <c r="G42" i="54"/>
  <c r="M41" i="54"/>
  <c r="G41" i="54"/>
  <c r="M40" i="54"/>
  <c r="G40" i="54"/>
  <c r="M39" i="54"/>
  <c r="G39" i="54"/>
  <c r="M38" i="54"/>
  <c r="G38" i="54"/>
  <c r="M37" i="54"/>
  <c r="G37" i="54"/>
  <c r="M36" i="54"/>
  <c r="G36" i="54"/>
  <c r="M35" i="54"/>
  <c r="G35" i="54"/>
  <c r="M34" i="54"/>
  <c r="G34" i="54"/>
  <c r="M33" i="54"/>
  <c r="G33" i="54"/>
  <c r="M32" i="54"/>
  <c r="G32" i="54"/>
  <c r="M31" i="54"/>
  <c r="G31" i="54"/>
  <c r="M30" i="54"/>
  <c r="G30" i="54"/>
  <c r="M29" i="54"/>
  <c r="G29" i="54"/>
  <c r="M28" i="54"/>
  <c r="G28" i="54"/>
  <c r="M27" i="54"/>
  <c r="G27" i="54"/>
  <c r="M26" i="54"/>
  <c r="G26" i="54"/>
  <c r="M25" i="54"/>
  <c r="G25" i="54"/>
  <c r="M24" i="54"/>
  <c r="G24" i="54"/>
  <c r="M23" i="54"/>
  <c r="G23" i="54"/>
  <c r="M22" i="54"/>
  <c r="G22" i="54"/>
  <c r="M21" i="54"/>
  <c r="G21" i="54"/>
  <c r="M20" i="54"/>
  <c r="G20" i="54"/>
  <c r="M19" i="54"/>
  <c r="G19" i="54"/>
  <c r="M18" i="54"/>
  <c r="G18" i="54"/>
  <c r="M17" i="54"/>
  <c r="G17" i="54"/>
  <c r="M16" i="54"/>
  <c r="G16" i="54"/>
  <c r="M15" i="54"/>
  <c r="G15" i="54"/>
  <c r="M14" i="54"/>
  <c r="G14" i="54"/>
  <c r="M13" i="54"/>
  <c r="G13" i="54"/>
  <c r="M12" i="54"/>
  <c r="G12" i="54"/>
  <c r="M11" i="54"/>
  <c r="G11" i="54"/>
  <c r="M10" i="54"/>
  <c r="G10" i="54"/>
  <c r="M9" i="54"/>
  <c r="G9" i="54"/>
  <c r="M8" i="54"/>
  <c r="G8" i="54"/>
  <c r="M61" i="53"/>
  <c r="G61" i="53"/>
  <c r="M60" i="53"/>
  <c r="G60" i="53"/>
  <c r="M59" i="53"/>
  <c r="G59" i="53"/>
  <c r="M58" i="53"/>
  <c r="G58" i="53"/>
  <c r="M57" i="53"/>
  <c r="G57" i="53"/>
  <c r="M56" i="53"/>
  <c r="G56" i="53"/>
  <c r="M55" i="53"/>
  <c r="G55" i="53"/>
  <c r="M54" i="53"/>
  <c r="G54" i="53"/>
  <c r="M53" i="53"/>
  <c r="G53" i="53"/>
  <c r="M52" i="53"/>
  <c r="G52" i="53"/>
  <c r="M51" i="53"/>
  <c r="G51" i="53"/>
  <c r="M50" i="53"/>
  <c r="G50" i="53"/>
  <c r="M49" i="53"/>
  <c r="G49" i="53"/>
  <c r="M48" i="53"/>
  <c r="G48" i="53"/>
  <c r="M47" i="53"/>
  <c r="G47" i="53"/>
  <c r="M46" i="53"/>
  <c r="G46" i="53"/>
  <c r="M45" i="53"/>
  <c r="G45" i="53"/>
  <c r="M44" i="53"/>
  <c r="G44" i="53"/>
  <c r="M43" i="53"/>
  <c r="G43" i="53"/>
  <c r="M42" i="53"/>
  <c r="G42" i="53"/>
  <c r="M41" i="53"/>
  <c r="G41" i="53"/>
  <c r="M40" i="53"/>
  <c r="G40" i="53"/>
  <c r="M39" i="53"/>
  <c r="G39" i="53"/>
  <c r="M38" i="53"/>
  <c r="G38" i="53"/>
  <c r="M37" i="53"/>
  <c r="G37" i="53"/>
  <c r="M36" i="53"/>
  <c r="G36" i="53"/>
  <c r="M35" i="53"/>
  <c r="G35" i="53"/>
  <c r="M34" i="53"/>
  <c r="G34" i="53"/>
  <c r="M33" i="53"/>
  <c r="G33" i="53"/>
  <c r="M32" i="53"/>
  <c r="G32" i="53"/>
  <c r="M31" i="53"/>
  <c r="G31" i="53"/>
  <c r="M30" i="53"/>
  <c r="G30" i="53"/>
  <c r="M29" i="53"/>
  <c r="G29" i="53"/>
  <c r="M28" i="53"/>
  <c r="G28" i="53"/>
  <c r="M27" i="53"/>
  <c r="G27" i="53"/>
  <c r="M26" i="53"/>
  <c r="G26" i="53"/>
  <c r="M25" i="53"/>
  <c r="G25" i="53"/>
  <c r="M24" i="53"/>
  <c r="G24" i="53"/>
  <c r="M23" i="53"/>
  <c r="G23" i="53"/>
  <c r="M22" i="53"/>
  <c r="G22" i="53"/>
  <c r="M21" i="53"/>
  <c r="G21" i="53"/>
  <c r="M20" i="53"/>
  <c r="G20" i="53"/>
  <c r="M19" i="53"/>
  <c r="G19" i="53"/>
  <c r="M18" i="53"/>
  <c r="G18" i="53"/>
  <c r="M17" i="53"/>
  <c r="G17" i="53"/>
  <c r="M16" i="53"/>
  <c r="G16" i="53"/>
  <c r="M15" i="53"/>
  <c r="G15" i="53"/>
  <c r="M14" i="53"/>
  <c r="G14" i="53"/>
  <c r="M13" i="53"/>
  <c r="G13" i="53"/>
  <c r="M12" i="53"/>
  <c r="G12" i="53"/>
  <c r="M11" i="53"/>
  <c r="G11" i="53"/>
  <c r="M10" i="53"/>
  <c r="G10" i="53"/>
  <c r="M9" i="53"/>
  <c r="G9" i="53"/>
  <c r="M8" i="53"/>
  <c r="G8" i="53"/>
  <c r="M61" i="52"/>
  <c r="G61" i="52"/>
  <c r="M60" i="52"/>
  <c r="G60" i="52"/>
  <c r="M59" i="52"/>
  <c r="G59" i="52"/>
  <c r="M58" i="52"/>
  <c r="G58" i="52"/>
  <c r="M57" i="52"/>
  <c r="G57" i="52"/>
  <c r="M56" i="52"/>
  <c r="G56" i="52"/>
  <c r="M55" i="52"/>
  <c r="G55" i="52"/>
  <c r="M54" i="52"/>
  <c r="G54" i="52"/>
  <c r="M53" i="52"/>
  <c r="G53" i="52"/>
  <c r="M52" i="52"/>
  <c r="G52" i="52"/>
  <c r="M51" i="52"/>
  <c r="G51" i="52"/>
  <c r="M50" i="52"/>
  <c r="G50" i="52"/>
  <c r="M49" i="52"/>
  <c r="G49" i="52"/>
  <c r="M48" i="52"/>
  <c r="G48" i="52"/>
  <c r="M47" i="52"/>
  <c r="G47" i="52"/>
  <c r="M46" i="52"/>
  <c r="G46" i="52"/>
  <c r="M45" i="52"/>
  <c r="G45" i="52"/>
  <c r="M44" i="52"/>
  <c r="G44" i="52"/>
  <c r="M43" i="52"/>
  <c r="G43" i="52"/>
  <c r="M42" i="52"/>
  <c r="G42" i="52"/>
  <c r="M41" i="52"/>
  <c r="G41" i="52"/>
  <c r="M40" i="52"/>
  <c r="G40" i="52"/>
  <c r="M39" i="52"/>
  <c r="G39" i="52"/>
  <c r="M38" i="52"/>
  <c r="G38" i="52"/>
  <c r="M37" i="52"/>
  <c r="G37" i="52"/>
  <c r="M36" i="52"/>
  <c r="G36" i="52"/>
  <c r="M35" i="52"/>
  <c r="G35" i="52"/>
  <c r="M34" i="52"/>
  <c r="G34" i="52"/>
  <c r="M33" i="52"/>
  <c r="G33" i="52"/>
  <c r="M32" i="52"/>
  <c r="G32" i="52"/>
  <c r="M31" i="52"/>
  <c r="G31" i="52"/>
  <c r="M30" i="52"/>
  <c r="G30" i="52"/>
  <c r="M29" i="52"/>
  <c r="G29" i="52"/>
  <c r="M28" i="52"/>
  <c r="G28" i="52"/>
  <c r="M27" i="52"/>
  <c r="G27" i="52"/>
  <c r="M26" i="52"/>
  <c r="G26" i="52"/>
  <c r="M25" i="52"/>
  <c r="G25" i="52"/>
  <c r="M24" i="52"/>
  <c r="G24" i="52"/>
  <c r="M23" i="52"/>
  <c r="G23" i="52"/>
  <c r="M22" i="52"/>
  <c r="G22" i="52"/>
  <c r="M21" i="52"/>
  <c r="G21" i="52"/>
  <c r="M20" i="52"/>
  <c r="G20" i="52"/>
  <c r="M19" i="52"/>
  <c r="G19" i="52"/>
  <c r="M18" i="52"/>
  <c r="G18" i="52"/>
  <c r="M17" i="52"/>
  <c r="G17" i="52"/>
  <c r="M16" i="52"/>
  <c r="G16" i="52"/>
  <c r="M15" i="52"/>
  <c r="G15" i="52"/>
  <c r="M14" i="52"/>
  <c r="G14" i="52"/>
  <c r="M13" i="52"/>
  <c r="G13" i="52"/>
  <c r="M12" i="52"/>
  <c r="G12" i="52"/>
  <c r="M11" i="52"/>
  <c r="G11" i="52"/>
  <c r="M10" i="52"/>
  <c r="G10" i="52"/>
  <c r="M9" i="52"/>
  <c r="G9" i="52"/>
  <c r="M8" i="52"/>
  <c r="G8" i="52"/>
  <c r="M61" i="51"/>
  <c r="G61" i="51"/>
  <c r="M60" i="51"/>
  <c r="G60" i="51"/>
  <c r="M59" i="51"/>
  <c r="G59" i="51"/>
  <c r="M58" i="51"/>
  <c r="G58" i="51"/>
  <c r="M57" i="51"/>
  <c r="G57" i="51"/>
  <c r="M56" i="51"/>
  <c r="G56" i="51"/>
  <c r="M55" i="51"/>
  <c r="G55" i="51"/>
  <c r="M54" i="51"/>
  <c r="G54" i="51"/>
  <c r="M53" i="51"/>
  <c r="G53" i="51"/>
  <c r="M52" i="51"/>
  <c r="G52" i="51"/>
  <c r="M51" i="51"/>
  <c r="G51" i="51"/>
  <c r="M50" i="51"/>
  <c r="G50" i="51"/>
  <c r="M49" i="51"/>
  <c r="G49" i="51"/>
  <c r="M48" i="51"/>
  <c r="G48" i="51"/>
  <c r="M47" i="51"/>
  <c r="G47" i="51"/>
  <c r="M46" i="51"/>
  <c r="G46" i="51"/>
  <c r="M45" i="51"/>
  <c r="G45" i="51"/>
  <c r="M44" i="51"/>
  <c r="G44" i="51"/>
  <c r="M43" i="51"/>
  <c r="G43" i="51"/>
  <c r="M42" i="51"/>
  <c r="G42" i="51"/>
  <c r="M41" i="51"/>
  <c r="G41" i="51"/>
  <c r="M40" i="51"/>
  <c r="G40" i="51"/>
  <c r="M39" i="51"/>
  <c r="G39" i="51"/>
  <c r="M38" i="51"/>
  <c r="G38" i="51"/>
  <c r="M37" i="51"/>
  <c r="G37" i="51"/>
  <c r="M36" i="51"/>
  <c r="G36" i="51"/>
  <c r="M35" i="51"/>
  <c r="G35" i="51"/>
  <c r="M34" i="51"/>
  <c r="G34" i="51"/>
  <c r="M33" i="51"/>
  <c r="G33" i="51"/>
  <c r="M32" i="51"/>
  <c r="G32" i="51"/>
  <c r="M31" i="51"/>
  <c r="G31" i="51"/>
  <c r="M30" i="51"/>
  <c r="G30" i="51"/>
  <c r="M29" i="51"/>
  <c r="G29" i="51"/>
  <c r="M28" i="51"/>
  <c r="G28" i="51"/>
  <c r="M27" i="51"/>
  <c r="G27" i="51"/>
  <c r="M26" i="51"/>
  <c r="G26" i="51"/>
  <c r="M25" i="51"/>
  <c r="G25" i="51"/>
  <c r="M24" i="51"/>
  <c r="G24" i="51"/>
  <c r="M23" i="51"/>
  <c r="G23" i="51"/>
  <c r="M22" i="51"/>
  <c r="G22" i="51"/>
  <c r="M21" i="51"/>
  <c r="G21" i="51"/>
  <c r="M20" i="51"/>
  <c r="G20" i="51"/>
  <c r="M19" i="51"/>
  <c r="G19" i="51"/>
  <c r="M18" i="51"/>
  <c r="G18" i="51"/>
  <c r="M17" i="51"/>
  <c r="G17" i="51"/>
  <c r="M16" i="51"/>
  <c r="G16" i="51"/>
  <c r="M15" i="51"/>
  <c r="G15" i="51"/>
  <c r="M14" i="51"/>
  <c r="G14" i="51"/>
  <c r="M13" i="51"/>
  <c r="G13" i="51"/>
  <c r="M12" i="51"/>
  <c r="G12" i="51"/>
  <c r="M11" i="51"/>
  <c r="G11" i="51"/>
  <c r="M10" i="51"/>
  <c r="G10" i="51"/>
  <c r="M9" i="51"/>
  <c r="G9" i="51"/>
  <c r="M8" i="51"/>
  <c r="G8" i="51"/>
  <c r="M61" i="50"/>
  <c r="G61" i="50"/>
  <c r="M60" i="50"/>
  <c r="G60" i="50"/>
  <c r="M59" i="50"/>
  <c r="G59" i="50"/>
  <c r="M58" i="50"/>
  <c r="G58" i="50"/>
  <c r="M57" i="50"/>
  <c r="G57" i="50"/>
  <c r="M56" i="50"/>
  <c r="G56" i="50"/>
  <c r="M55" i="50"/>
  <c r="G55" i="50"/>
  <c r="M54" i="50"/>
  <c r="G54" i="50"/>
  <c r="M53" i="50"/>
  <c r="G53" i="50"/>
  <c r="M52" i="50"/>
  <c r="G52" i="50"/>
  <c r="M51" i="50"/>
  <c r="G51" i="50"/>
  <c r="M50" i="50"/>
  <c r="G50" i="50"/>
  <c r="M49" i="50"/>
  <c r="G49" i="50"/>
  <c r="M48" i="50"/>
  <c r="G48" i="50"/>
  <c r="M47" i="50"/>
  <c r="G47" i="50"/>
  <c r="M46" i="50"/>
  <c r="G46" i="50"/>
  <c r="M45" i="50"/>
  <c r="G45" i="50"/>
  <c r="M44" i="50"/>
  <c r="G44" i="50"/>
  <c r="M43" i="50"/>
  <c r="G43" i="50"/>
  <c r="M42" i="50"/>
  <c r="G42" i="50"/>
  <c r="M41" i="50"/>
  <c r="G41" i="50"/>
  <c r="M40" i="50"/>
  <c r="G40" i="50"/>
  <c r="M39" i="50"/>
  <c r="G39" i="50"/>
  <c r="M38" i="50"/>
  <c r="G38" i="50"/>
  <c r="M37" i="50"/>
  <c r="G37" i="50"/>
  <c r="M36" i="50"/>
  <c r="G36" i="50"/>
  <c r="M35" i="50"/>
  <c r="G35" i="50"/>
  <c r="M34" i="50"/>
  <c r="G34" i="50"/>
  <c r="M33" i="50"/>
  <c r="G33" i="50"/>
  <c r="M32" i="50"/>
  <c r="G32" i="50"/>
  <c r="M31" i="50"/>
  <c r="G31" i="50"/>
  <c r="M30" i="50"/>
  <c r="G30" i="50"/>
  <c r="M29" i="50"/>
  <c r="G29" i="50"/>
  <c r="M28" i="50"/>
  <c r="G28" i="50"/>
  <c r="M27" i="50"/>
  <c r="G27" i="50"/>
  <c r="M26" i="50"/>
  <c r="G26" i="50"/>
  <c r="M25" i="50"/>
  <c r="G25" i="50"/>
  <c r="M24" i="50"/>
  <c r="G24" i="50"/>
  <c r="M23" i="50"/>
  <c r="G23" i="50"/>
  <c r="M22" i="50"/>
  <c r="G22" i="50"/>
  <c r="M21" i="50"/>
  <c r="G21" i="50"/>
  <c r="M20" i="50"/>
  <c r="G20" i="50"/>
  <c r="M19" i="50"/>
  <c r="G19" i="50"/>
  <c r="M18" i="50"/>
  <c r="G18" i="50"/>
  <c r="M17" i="50"/>
  <c r="G17" i="50"/>
  <c r="M16" i="50"/>
  <c r="G16" i="50"/>
  <c r="M15" i="50"/>
  <c r="G15" i="50"/>
  <c r="M14" i="50"/>
  <c r="G14" i="50"/>
  <c r="M13" i="50"/>
  <c r="G13" i="50"/>
  <c r="M12" i="50"/>
  <c r="G12" i="50"/>
  <c r="M11" i="50"/>
  <c r="G11" i="50"/>
  <c r="M10" i="50"/>
  <c r="G10" i="50"/>
  <c r="M9" i="50"/>
  <c r="G9" i="50"/>
  <c r="M8" i="50"/>
  <c r="G8" i="50"/>
  <c r="M61" i="49"/>
  <c r="G61" i="49"/>
  <c r="M60" i="49"/>
  <c r="G60" i="49"/>
  <c r="M59" i="49"/>
  <c r="G59" i="49"/>
  <c r="M58" i="49"/>
  <c r="G58" i="49"/>
  <c r="M57" i="49"/>
  <c r="G57" i="49"/>
  <c r="M56" i="49"/>
  <c r="G56" i="49"/>
  <c r="M55" i="49"/>
  <c r="G55" i="49"/>
  <c r="M54" i="49"/>
  <c r="G54" i="49"/>
  <c r="M53" i="49"/>
  <c r="G53" i="49"/>
  <c r="M52" i="49"/>
  <c r="G52" i="49"/>
  <c r="M51" i="49"/>
  <c r="G51" i="49"/>
  <c r="M50" i="49"/>
  <c r="G50" i="49"/>
  <c r="M49" i="49"/>
  <c r="G49" i="49"/>
  <c r="M48" i="49"/>
  <c r="G48" i="49"/>
  <c r="M47" i="49"/>
  <c r="G47" i="49"/>
  <c r="M46" i="49"/>
  <c r="G46" i="49"/>
  <c r="M45" i="49"/>
  <c r="G45" i="49"/>
  <c r="M44" i="49"/>
  <c r="G44" i="49"/>
  <c r="M43" i="49"/>
  <c r="G43" i="49"/>
  <c r="M42" i="49"/>
  <c r="G42" i="49"/>
  <c r="M41" i="49"/>
  <c r="G41" i="49"/>
  <c r="M40" i="49"/>
  <c r="G40" i="49"/>
  <c r="M39" i="49"/>
  <c r="G39" i="49"/>
  <c r="M38" i="49"/>
  <c r="G38" i="49"/>
  <c r="M37" i="49"/>
  <c r="G37" i="49"/>
  <c r="M36" i="49"/>
  <c r="G36" i="49"/>
  <c r="M35" i="49"/>
  <c r="G35" i="49"/>
  <c r="M34" i="49"/>
  <c r="G34" i="49"/>
  <c r="M33" i="49"/>
  <c r="G33" i="49"/>
  <c r="M32" i="49"/>
  <c r="G32" i="49"/>
  <c r="M31" i="49"/>
  <c r="G31" i="49"/>
  <c r="M30" i="49"/>
  <c r="G30" i="49"/>
  <c r="M29" i="49"/>
  <c r="G29" i="49"/>
  <c r="M28" i="49"/>
  <c r="G28" i="49"/>
  <c r="M27" i="49"/>
  <c r="G27" i="49"/>
  <c r="M26" i="49"/>
  <c r="G26" i="49"/>
  <c r="M25" i="49"/>
  <c r="G25" i="49"/>
  <c r="M24" i="49"/>
  <c r="G24" i="49"/>
  <c r="M23" i="49"/>
  <c r="G23" i="49"/>
  <c r="M22" i="49"/>
  <c r="G22" i="49"/>
  <c r="M21" i="49"/>
  <c r="G21" i="49"/>
  <c r="M20" i="49"/>
  <c r="G20" i="49"/>
  <c r="M19" i="49"/>
  <c r="G19" i="49"/>
  <c r="M18" i="49"/>
  <c r="G18" i="49"/>
  <c r="M17" i="49"/>
  <c r="G17" i="49"/>
  <c r="M16" i="49"/>
  <c r="G16" i="49"/>
  <c r="M15" i="49"/>
  <c r="G15" i="49"/>
  <c r="M14" i="49"/>
  <c r="G14" i="49"/>
  <c r="M13" i="49"/>
  <c r="G13" i="49"/>
  <c r="M12" i="49"/>
  <c r="G12" i="49"/>
  <c r="M11" i="49"/>
  <c r="G11" i="49"/>
  <c r="M10" i="49"/>
  <c r="G10" i="49"/>
  <c r="M9" i="49"/>
  <c r="G9" i="49"/>
  <c r="M8" i="49"/>
  <c r="G8" i="49"/>
  <c r="M61" i="48"/>
  <c r="G61" i="48"/>
  <c r="M60" i="48"/>
  <c r="G60" i="48"/>
  <c r="M59" i="48"/>
  <c r="G59" i="48"/>
  <c r="M58" i="48"/>
  <c r="G58" i="48"/>
  <c r="M57" i="48"/>
  <c r="G57" i="48"/>
  <c r="M56" i="48"/>
  <c r="G56" i="48"/>
  <c r="M55" i="48"/>
  <c r="G55" i="48"/>
  <c r="M54" i="48"/>
  <c r="G54" i="48"/>
  <c r="M53" i="48"/>
  <c r="G53" i="48"/>
  <c r="M52" i="48"/>
  <c r="G52" i="48"/>
  <c r="M51" i="48"/>
  <c r="G51" i="48"/>
  <c r="M50" i="48"/>
  <c r="G50" i="48"/>
  <c r="M49" i="48"/>
  <c r="G49" i="48"/>
  <c r="M48" i="48"/>
  <c r="G48" i="48"/>
  <c r="M47" i="48"/>
  <c r="G47" i="48"/>
  <c r="M46" i="48"/>
  <c r="G46" i="48"/>
  <c r="M45" i="48"/>
  <c r="G45" i="48"/>
  <c r="M44" i="48"/>
  <c r="G44" i="48"/>
  <c r="M43" i="48"/>
  <c r="G43" i="48"/>
  <c r="M42" i="48"/>
  <c r="G42" i="48"/>
  <c r="M41" i="48"/>
  <c r="G41" i="48"/>
  <c r="M40" i="48"/>
  <c r="G40" i="48"/>
  <c r="M39" i="48"/>
  <c r="G39" i="48"/>
  <c r="M38" i="48"/>
  <c r="G38" i="48"/>
  <c r="M37" i="48"/>
  <c r="G37" i="48"/>
  <c r="M36" i="48"/>
  <c r="G36" i="48"/>
  <c r="M35" i="48"/>
  <c r="G35" i="48"/>
  <c r="M34" i="48"/>
  <c r="G34" i="48"/>
  <c r="M33" i="48"/>
  <c r="G33" i="48"/>
  <c r="M32" i="48"/>
  <c r="G32" i="48"/>
  <c r="M31" i="48"/>
  <c r="G31" i="48"/>
  <c r="M30" i="48"/>
  <c r="G30" i="48"/>
  <c r="M29" i="48"/>
  <c r="G29" i="48"/>
  <c r="M28" i="48"/>
  <c r="G28" i="48"/>
  <c r="M27" i="48"/>
  <c r="G27" i="48"/>
  <c r="M26" i="48"/>
  <c r="G26" i="48"/>
  <c r="M25" i="48"/>
  <c r="G25" i="48"/>
  <c r="M24" i="48"/>
  <c r="G24" i="48"/>
  <c r="M23" i="48"/>
  <c r="G23" i="48"/>
  <c r="M22" i="48"/>
  <c r="G22" i="48"/>
  <c r="M21" i="48"/>
  <c r="G21" i="48"/>
  <c r="M20" i="48"/>
  <c r="G20" i="48"/>
  <c r="M19" i="48"/>
  <c r="G19" i="48"/>
  <c r="M18" i="48"/>
  <c r="G18" i="48"/>
  <c r="M17" i="48"/>
  <c r="G17" i="48"/>
  <c r="M16" i="48"/>
  <c r="G16" i="48"/>
  <c r="M15" i="48"/>
  <c r="G15" i="48"/>
  <c r="M14" i="48"/>
  <c r="G14" i="48"/>
  <c r="M13" i="48"/>
  <c r="G13" i="48"/>
  <c r="M12" i="48"/>
  <c r="G12" i="48"/>
  <c r="M11" i="48"/>
  <c r="G11" i="48"/>
  <c r="M10" i="48"/>
  <c r="G10" i="48"/>
  <c r="M9" i="48"/>
  <c r="G9" i="48"/>
  <c r="M8" i="48"/>
  <c r="G8" i="48"/>
  <c r="M61" i="47"/>
  <c r="G61" i="47"/>
  <c r="M60" i="47"/>
  <c r="G60" i="47"/>
  <c r="M59" i="47"/>
  <c r="G59" i="47"/>
  <c r="M58" i="47"/>
  <c r="G58" i="47"/>
  <c r="M57" i="47"/>
  <c r="G57" i="47"/>
  <c r="M56" i="47"/>
  <c r="G56" i="47"/>
  <c r="M55" i="47"/>
  <c r="G55" i="47"/>
  <c r="M54" i="47"/>
  <c r="G54" i="47"/>
  <c r="M53" i="47"/>
  <c r="G53" i="47"/>
  <c r="M52" i="47"/>
  <c r="G52" i="47"/>
  <c r="M51" i="47"/>
  <c r="G51" i="47"/>
  <c r="M50" i="47"/>
  <c r="G50" i="47"/>
  <c r="M49" i="47"/>
  <c r="G49" i="47"/>
  <c r="M48" i="47"/>
  <c r="G48" i="47"/>
  <c r="M47" i="47"/>
  <c r="G47" i="47"/>
  <c r="M46" i="47"/>
  <c r="G46" i="47"/>
  <c r="M45" i="47"/>
  <c r="G45" i="47"/>
  <c r="M44" i="47"/>
  <c r="G44" i="47"/>
  <c r="M43" i="47"/>
  <c r="G43" i="47"/>
  <c r="M42" i="47"/>
  <c r="G42" i="47"/>
  <c r="M41" i="47"/>
  <c r="G41" i="47"/>
  <c r="M40" i="47"/>
  <c r="G40" i="47"/>
  <c r="M39" i="47"/>
  <c r="G39" i="47"/>
  <c r="M38" i="47"/>
  <c r="G38" i="47"/>
  <c r="M37" i="47"/>
  <c r="G37" i="47"/>
  <c r="M36" i="47"/>
  <c r="G36" i="47"/>
  <c r="M35" i="47"/>
  <c r="G35" i="47"/>
  <c r="M34" i="47"/>
  <c r="G34" i="47"/>
  <c r="M33" i="47"/>
  <c r="G33" i="47"/>
  <c r="M32" i="47"/>
  <c r="G32" i="47"/>
  <c r="M31" i="47"/>
  <c r="G31" i="47"/>
  <c r="M30" i="47"/>
  <c r="G30" i="47"/>
  <c r="M29" i="47"/>
  <c r="G29" i="47"/>
  <c r="M28" i="47"/>
  <c r="G28" i="47"/>
  <c r="M27" i="47"/>
  <c r="G27" i="47"/>
  <c r="M26" i="47"/>
  <c r="G26" i="47"/>
  <c r="M25" i="47"/>
  <c r="G25" i="47"/>
  <c r="M24" i="47"/>
  <c r="G24" i="47"/>
  <c r="M23" i="47"/>
  <c r="G23" i="47"/>
  <c r="M22" i="47"/>
  <c r="G22" i="47"/>
  <c r="M21" i="47"/>
  <c r="G21" i="47"/>
  <c r="M20" i="47"/>
  <c r="G20" i="47"/>
  <c r="M19" i="47"/>
  <c r="G19" i="47"/>
  <c r="M18" i="47"/>
  <c r="G18" i="47"/>
  <c r="M17" i="47"/>
  <c r="G17" i="47"/>
  <c r="M16" i="47"/>
  <c r="G16" i="47"/>
  <c r="M15" i="47"/>
  <c r="G15" i="47"/>
  <c r="M14" i="47"/>
  <c r="G14" i="47"/>
  <c r="M13" i="47"/>
  <c r="G13" i="47"/>
  <c r="M12" i="47"/>
  <c r="G12" i="47"/>
  <c r="M11" i="47"/>
  <c r="G11" i="47"/>
  <c r="M10" i="47"/>
  <c r="G10" i="47"/>
  <c r="M9" i="47"/>
  <c r="G9" i="47"/>
  <c r="M8" i="47"/>
  <c r="G8" i="47"/>
  <c r="M61" i="46"/>
  <c r="G61" i="46"/>
  <c r="M60" i="46"/>
  <c r="G60" i="46"/>
  <c r="M59" i="46"/>
  <c r="G59" i="46"/>
  <c r="M58" i="46"/>
  <c r="G58" i="46"/>
  <c r="M57" i="46"/>
  <c r="G57" i="46"/>
  <c r="M56" i="46"/>
  <c r="G56" i="46"/>
  <c r="M55" i="46"/>
  <c r="G55" i="46"/>
  <c r="M54" i="46"/>
  <c r="G54" i="46"/>
  <c r="M53" i="46"/>
  <c r="G53" i="46"/>
  <c r="M52" i="46"/>
  <c r="G52" i="46"/>
  <c r="M51" i="46"/>
  <c r="G51" i="46"/>
  <c r="M50" i="46"/>
  <c r="G50" i="46"/>
  <c r="M49" i="46"/>
  <c r="G49" i="46"/>
  <c r="M48" i="46"/>
  <c r="G48" i="46"/>
  <c r="M47" i="46"/>
  <c r="G47" i="46"/>
  <c r="M46" i="46"/>
  <c r="G46" i="46"/>
  <c r="M45" i="46"/>
  <c r="G45" i="46"/>
  <c r="M44" i="46"/>
  <c r="G44" i="46"/>
  <c r="M43" i="46"/>
  <c r="G43" i="46"/>
  <c r="M42" i="46"/>
  <c r="G42" i="46"/>
  <c r="M41" i="46"/>
  <c r="G41" i="46"/>
  <c r="M40" i="46"/>
  <c r="G40" i="46"/>
  <c r="M39" i="46"/>
  <c r="G39" i="46"/>
  <c r="M38" i="46"/>
  <c r="G38" i="46"/>
  <c r="M37" i="46"/>
  <c r="G37" i="46"/>
  <c r="M36" i="46"/>
  <c r="G36" i="46"/>
  <c r="M35" i="46"/>
  <c r="G35" i="46"/>
  <c r="M34" i="46"/>
  <c r="G34" i="46"/>
  <c r="M33" i="46"/>
  <c r="G33" i="46"/>
  <c r="M32" i="46"/>
  <c r="G32" i="46"/>
  <c r="M31" i="46"/>
  <c r="G31" i="46"/>
  <c r="M30" i="46"/>
  <c r="G30" i="46"/>
  <c r="M29" i="46"/>
  <c r="G29" i="46"/>
  <c r="M28" i="46"/>
  <c r="G28" i="46"/>
  <c r="M27" i="46"/>
  <c r="G27" i="46"/>
  <c r="M26" i="46"/>
  <c r="G26" i="46"/>
  <c r="M25" i="46"/>
  <c r="G25" i="46"/>
  <c r="M24" i="46"/>
  <c r="G24" i="46"/>
  <c r="M23" i="46"/>
  <c r="G23" i="46"/>
  <c r="M22" i="46"/>
  <c r="G22" i="46"/>
  <c r="M21" i="46"/>
  <c r="G21" i="46"/>
  <c r="M20" i="46"/>
  <c r="G20" i="46"/>
  <c r="M19" i="46"/>
  <c r="G19" i="46"/>
  <c r="M18" i="46"/>
  <c r="G18" i="46"/>
  <c r="M17" i="46"/>
  <c r="G17" i="46"/>
  <c r="M16" i="46"/>
  <c r="G16" i="46"/>
  <c r="M15" i="46"/>
  <c r="G15" i="46"/>
  <c r="M14" i="46"/>
  <c r="G14" i="46"/>
  <c r="M13" i="46"/>
  <c r="G13" i="46"/>
  <c r="M12" i="46"/>
  <c r="G12" i="46"/>
  <c r="M11" i="46"/>
  <c r="G11" i="46"/>
  <c r="M10" i="46"/>
  <c r="G10" i="46"/>
  <c r="M9" i="46"/>
  <c r="G9" i="46"/>
  <c r="M8" i="46"/>
  <c r="G8" i="46"/>
  <c r="M61" i="45"/>
  <c r="G61" i="45"/>
  <c r="M60" i="45"/>
  <c r="G60" i="45"/>
  <c r="M59" i="45"/>
  <c r="G59" i="45"/>
  <c r="M58" i="45"/>
  <c r="G58" i="45"/>
  <c r="M57" i="45"/>
  <c r="G57" i="45"/>
  <c r="M56" i="45"/>
  <c r="G56" i="45"/>
  <c r="M55" i="45"/>
  <c r="G55" i="45"/>
  <c r="M54" i="45"/>
  <c r="G54" i="45"/>
  <c r="M53" i="45"/>
  <c r="G53" i="45"/>
  <c r="M52" i="45"/>
  <c r="G52" i="45"/>
  <c r="M51" i="45"/>
  <c r="G51" i="45"/>
  <c r="M50" i="45"/>
  <c r="G50" i="45"/>
  <c r="M49" i="45"/>
  <c r="G49" i="45"/>
  <c r="M48" i="45"/>
  <c r="G48" i="45"/>
  <c r="M47" i="45"/>
  <c r="G47" i="45"/>
  <c r="M46" i="45"/>
  <c r="G46" i="45"/>
  <c r="M45" i="45"/>
  <c r="G45" i="45"/>
  <c r="M44" i="45"/>
  <c r="G44" i="45"/>
  <c r="M43" i="45"/>
  <c r="G43" i="45"/>
  <c r="M42" i="45"/>
  <c r="G42" i="45"/>
  <c r="M41" i="45"/>
  <c r="G41" i="45"/>
  <c r="M40" i="45"/>
  <c r="G40" i="45"/>
  <c r="M39" i="45"/>
  <c r="G39" i="45"/>
  <c r="M38" i="45"/>
  <c r="G38" i="45"/>
  <c r="M37" i="45"/>
  <c r="G37" i="45"/>
  <c r="M36" i="45"/>
  <c r="G36" i="45"/>
  <c r="M35" i="45"/>
  <c r="G35" i="45"/>
  <c r="M34" i="45"/>
  <c r="G34" i="45"/>
  <c r="M33" i="45"/>
  <c r="G33" i="45"/>
  <c r="M32" i="45"/>
  <c r="G32" i="45"/>
  <c r="M31" i="45"/>
  <c r="G31" i="45"/>
  <c r="M30" i="45"/>
  <c r="G30" i="45"/>
  <c r="M29" i="45"/>
  <c r="G29" i="45"/>
  <c r="M28" i="45"/>
  <c r="G28" i="45"/>
  <c r="M27" i="45"/>
  <c r="G27" i="45"/>
  <c r="M26" i="45"/>
  <c r="G26" i="45"/>
  <c r="M25" i="45"/>
  <c r="G25" i="45"/>
  <c r="M24" i="45"/>
  <c r="G24" i="45"/>
  <c r="M23" i="45"/>
  <c r="G23" i="45"/>
  <c r="M22" i="45"/>
  <c r="G22" i="45"/>
  <c r="M21" i="45"/>
  <c r="G21" i="45"/>
  <c r="M20" i="45"/>
  <c r="G20" i="45"/>
  <c r="M19" i="45"/>
  <c r="G19" i="45"/>
  <c r="M18" i="45"/>
  <c r="G18" i="45"/>
  <c r="M17" i="45"/>
  <c r="G17" i="45"/>
  <c r="M16" i="45"/>
  <c r="G16" i="45"/>
  <c r="M15" i="45"/>
  <c r="G15" i="45"/>
  <c r="M14" i="45"/>
  <c r="G14" i="45"/>
  <c r="M13" i="45"/>
  <c r="G13" i="45"/>
  <c r="M12" i="45"/>
  <c r="G12" i="45"/>
  <c r="M11" i="45"/>
  <c r="G11" i="45"/>
  <c r="M10" i="45"/>
  <c r="G10" i="45"/>
  <c r="M9" i="45"/>
  <c r="M8" i="45"/>
  <c r="G8" i="45"/>
  <c r="M2" i="46" l="1"/>
  <c r="M5" i="45"/>
  <c r="G14" i="44"/>
  <c r="G13" i="44"/>
  <c r="G12" i="44"/>
  <c r="G11" i="44"/>
  <c r="G10" i="44"/>
  <c r="M2" i="47" l="1"/>
  <c r="M5" i="46"/>
  <c r="M61" i="44"/>
  <c r="G61" i="44"/>
  <c r="M60" i="44"/>
  <c r="G60" i="44"/>
  <c r="M59" i="44"/>
  <c r="G59" i="44"/>
  <c r="M58" i="44"/>
  <c r="G58" i="44"/>
  <c r="M57" i="44"/>
  <c r="G57" i="44"/>
  <c r="M56" i="44"/>
  <c r="G56" i="44"/>
  <c r="M55" i="44"/>
  <c r="G55" i="44"/>
  <c r="M54" i="44"/>
  <c r="G54" i="44"/>
  <c r="M53" i="44"/>
  <c r="G53" i="44"/>
  <c r="M52" i="44"/>
  <c r="G52" i="44"/>
  <c r="M51" i="44"/>
  <c r="G51" i="44"/>
  <c r="M50" i="44"/>
  <c r="G50" i="44"/>
  <c r="M49" i="44"/>
  <c r="G49" i="44"/>
  <c r="M48" i="44"/>
  <c r="G48" i="44"/>
  <c r="M47" i="44"/>
  <c r="G47" i="44"/>
  <c r="M46" i="44"/>
  <c r="G46" i="44"/>
  <c r="M45" i="44"/>
  <c r="G45" i="44"/>
  <c r="M44" i="44"/>
  <c r="G44" i="44"/>
  <c r="M43" i="44"/>
  <c r="G43" i="44"/>
  <c r="M42" i="44"/>
  <c r="G42" i="44"/>
  <c r="M41" i="44"/>
  <c r="G41" i="44"/>
  <c r="M40" i="44"/>
  <c r="G40" i="44"/>
  <c r="M39" i="44"/>
  <c r="G39" i="44"/>
  <c r="M38" i="44"/>
  <c r="G38" i="44"/>
  <c r="M37" i="44"/>
  <c r="G37" i="44"/>
  <c r="M36" i="44"/>
  <c r="G36" i="44"/>
  <c r="M35" i="44"/>
  <c r="G35" i="44"/>
  <c r="M34" i="44"/>
  <c r="G34" i="44"/>
  <c r="M33" i="44"/>
  <c r="G33" i="44"/>
  <c r="M32" i="44"/>
  <c r="G32" i="44"/>
  <c r="M31" i="44"/>
  <c r="G31" i="44"/>
  <c r="M30" i="44"/>
  <c r="G30" i="44"/>
  <c r="M29" i="44"/>
  <c r="G29" i="44"/>
  <c r="M28" i="44"/>
  <c r="G28" i="44"/>
  <c r="M27" i="44"/>
  <c r="G27" i="44"/>
  <c r="M26" i="44"/>
  <c r="G26" i="44"/>
  <c r="M25" i="44"/>
  <c r="G25" i="44"/>
  <c r="M24" i="44"/>
  <c r="G24" i="44"/>
  <c r="M23" i="44"/>
  <c r="G23" i="44"/>
  <c r="M22" i="44"/>
  <c r="G22" i="44"/>
  <c r="M21" i="44"/>
  <c r="G21" i="44"/>
  <c r="M20" i="44"/>
  <c r="G20" i="44"/>
  <c r="M19" i="44"/>
  <c r="G19" i="44"/>
  <c r="M18" i="44"/>
  <c r="G18" i="44"/>
  <c r="M17" i="44"/>
  <c r="G17" i="44"/>
  <c r="M16" i="44"/>
  <c r="G16" i="44"/>
  <c r="M15" i="44"/>
  <c r="G15" i="44"/>
  <c r="M14" i="44"/>
  <c r="M13" i="44"/>
  <c r="M12" i="44"/>
  <c r="M11" i="44"/>
  <c r="M10" i="44"/>
  <c r="M2" i="48" l="1"/>
  <c r="M5" i="47"/>
  <c r="M2" i="49" l="1"/>
  <c r="M5" i="48"/>
  <c r="M2" i="50" l="1"/>
  <c r="M5" i="49"/>
  <c r="M2" i="51" l="1"/>
  <c r="M5" i="50"/>
  <c r="M2" i="52" l="1"/>
  <c r="M5" i="51"/>
  <c r="M2" i="53" l="1"/>
  <c r="M5" i="52"/>
  <c r="M2" i="54" l="1"/>
  <c r="M5" i="53"/>
  <c r="M2" i="55" l="1"/>
  <c r="M5" i="54"/>
  <c r="M2" i="56" l="1"/>
  <c r="M5" i="55"/>
  <c r="M2" i="57" l="1"/>
  <c r="M5" i="56"/>
  <c r="M2" i="58" l="1"/>
  <c r="M5" i="57"/>
  <c r="M2" i="59" l="1"/>
  <c r="M5" i="58"/>
  <c r="M2" i="60" l="1"/>
  <c r="M5" i="59"/>
  <c r="M2" i="61" l="1"/>
  <c r="M5" i="60"/>
  <c r="M2" i="62" l="1"/>
  <c r="M5" i="61"/>
  <c r="M2" i="63" l="1"/>
  <c r="M5" i="62"/>
  <c r="M2" i="64" l="1"/>
  <c r="M5" i="63"/>
  <c r="M2" i="65" l="1"/>
  <c r="M5" i="64"/>
  <c r="M2" i="66" l="1"/>
  <c r="M5" i="65"/>
  <c r="M2" i="67" l="1"/>
  <c r="M5" i="66"/>
  <c r="M2" i="68" l="1"/>
  <c r="M5" i="67"/>
  <c r="M2" i="69" l="1"/>
  <c r="M5" i="68"/>
  <c r="M2" i="70" l="1"/>
  <c r="M5" i="69"/>
  <c r="M2" i="71" l="1"/>
  <c r="M5" i="70"/>
  <c r="M2" i="72" l="1"/>
  <c r="M5" i="71"/>
  <c r="M5" i="72" l="1"/>
  <c r="M2" i="73"/>
  <c r="M5" i="73" s="1"/>
  <c r="M5" i="74"/>
</calcChain>
</file>

<file path=xl/sharedStrings.xml><?xml version="1.0" encoding="utf-8"?>
<sst xmlns="http://schemas.openxmlformats.org/spreadsheetml/2006/main" count="3826" uniqueCount="3071">
  <si>
    <t>E430</t>
  </si>
  <si>
    <t>D600</t>
  </si>
  <si>
    <t>E600</t>
  </si>
  <si>
    <t>P105</t>
  </si>
  <si>
    <t>P200</t>
  </si>
  <si>
    <t>U999</t>
  </si>
  <si>
    <t>Avenue Montcalm</t>
  </si>
  <si>
    <t>Avenue Sainte-Cécile</t>
  </si>
  <si>
    <t>Avenue Salaberry</t>
  </si>
  <si>
    <t>Boulevard Daniel-Johnson</t>
  </si>
  <si>
    <t>Boulevard Goyer</t>
  </si>
  <si>
    <t>Boulevard Huron</t>
  </si>
  <si>
    <t>Boulevard Laurier</t>
  </si>
  <si>
    <t>Boulevard Rodrigue</t>
  </si>
  <si>
    <t>Carré duBoisé</t>
  </si>
  <si>
    <t>Chemin Bazinet</t>
  </si>
  <si>
    <t>Chemin Benoit</t>
  </si>
  <si>
    <t>Chemin Bernier</t>
  </si>
  <si>
    <t>Chemin Bouchard</t>
  </si>
  <si>
    <t>Chemin Brouillard</t>
  </si>
  <si>
    <t>Chemin Cardin</t>
  </si>
  <si>
    <t>Chemin chez José</t>
  </si>
  <si>
    <t>Chemin de Saint-Dominique</t>
  </si>
  <si>
    <t>Chemin des Allonges</t>
  </si>
  <si>
    <t>Chemin des Carrières</t>
  </si>
  <si>
    <t>Chemin des Commissaires</t>
  </si>
  <si>
    <t>Chemin des Petits-Trente</t>
  </si>
  <si>
    <t>Chemin du 1er-au-2e-Rang</t>
  </si>
  <si>
    <t>Chemin du Camping-de-la-Détente</t>
  </si>
  <si>
    <t>Chemin du Domaine-Benoît</t>
  </si>
  <si>
    <t>Chemin du Domaine-Grenon</t>
  </si>
  <si>
    <t>Chemin du Domaine-Normandin</t>
  </si>
  <si>
    <t>Chemin du Grand-Rang</t>
  </si>
  <si>
    <t>Chemin du Haut-de-Salvail</t>
  </si>
  <si>
    <t xml:space="preserve">Chemin Martin </t>
  </si>
  <si>
    <t>Chemin Maurice</t>
  </si>
  <si>
    <t>Chemin Messier</t>
  </si>
  <si>
    <t>Chemin Penelle</t>
  </si>
  <si>
    <t>Chemin Pénelle</t>
  </si>
  <si>
    <t>Chemin Perreault-Guilmain</t>
  </si>
  <si>
    <t>Chemin Plamondon</t>
  </si>
  <si>
    <t>Chemin Richard</t>
  </si>
  <si>
    <t>Chemin Roy</t>
  </si>
  <si>
    <t>Grand Rang</t>
  </si>
  <si>
    <t>Grand rang Saint-Charles</t>
  </si>
  <si>
    <t>Grand rang Saint-François Est</t>
  </si>
  <si>
    <t>Le Haut-du-Petit-Rang-Saint-François</t>
  </si>
  <si>
    <t>Montée du 4e-Rang</t>
  </si>
  <si>
    <t>Petit Rang</t>
  </si>
  <si>
    <t>Petit-10e Rang</t>
  </si>
  <si>
    <t>Petit-11e Rang</t>
  </si>
  <si>
    <t>Petit-5e Rang</t>
  </si>
  <si>
    <t>B700</t>
  </si>
  <si>
    <t>B750</t>
  </si>
  <si>
    <t>Place des Pins</t>
  </si>
  <si>
    <t>Place des Plaines</t>
  </si>
  <si>
    <t xml:space="preserve">Place des Saules </t>
  </si>
  <si>
    <t>Place du Sourire</t>
  </si>
  <si>
    <t>Place Mauriac</t>
  </si>
  <si>
    <t>Rang Amyot</t>
  </si>
  <si>
    <t>Rang Basse-Double</t>
  </si>
  <si>
    <t>Rang Bourgchemin Est</t>
  </si>
  <si>
    <t>Rang Bourgchemin Ouest</t>
  </si>
  <si>
    <t>Rang Charlotte</t>
  </si>
  <si>
    <t>Rang Chauvin</t>
  </si>
  <si>
    <t>Rang d'Argenteuil</t>
  </si>
  <si>
    <t>Rang de la Caroline</t>
  </si>
  <si>
    <t>E425</t>
  </si>
  <si>
    <t>Rang des Grands-Étangs</t>
  </si>
  <si>
    <t>Rang des Petites-Allonges</t>
  </si>
  <si>
    <t xml:space="preserve">Rang des Quarante-Huit, </t>
  </si>
  <si>
    <t>Rang Deslandes</t>
  </si>
  <si>
    <t>Rang Double</t>
  </si>
  <si>
    <t>Rang du Barreau</t>
  </si>
  <si>
    <t xml:space="preserve">Rang du Bas-Corbin </t>
  </si>
  <si>
    <t>Rang du Bas-de-la-Rivière</t>
  </si>
  <si>
    <t>Rang du Bas-Saint-Amable</t>
  </si>
  <si>
    <t>Rang du Bord-de-l'Eau</t>
  </si>
  <si>
    <t>Rang du Bord-de-l'Eau Est</t>
  </si>
  <si>
    <t>Rang du Bord-de-l'Eau Nord</t>
  </si>
  <si>
    <t>Rang du Bord-de-l'Eau Ouest</t>
  </si>
  <si>
    <t>Rang du Bord-de-l'Eau Sud</t>
  </si>
  <si>
    <t>Rang Sainte-Rose</t>
  </si>
  <si>
    <t>Rang Saint-Georges</t>
  </si>
  <si>
    <t>Rang Saint-Louis</t>
  </si>
  <si>
    <t>Rang Saint-Ours</t>
  </si>
  <si>
    <t>Rang Saint-Roch</t>
  </si>
  <si>
    <t>Rang Saint-Thomas</t>
  </si>
  <si>
    <t>Rang Saint-Yves</t>
  </si>
  <si>
    <t>Rang Salvail</t>
  </si>
  <si>
    <t>Rang Salvail Nord</t>
  </si>
  <si>
    <t>Rang Salvail Sud</t>
  </si>
  <si>
    <t>Rang Sarasteau</t>
  </si>
  <si>
    <t xml:space="preserve">Route du Rang-Saint-Augustin, </t>
  </si>
  <si>
    <t xml:space="preserve">Route Gariépy </t>
  </si>
  <si>
    <t xml:space="preserve">Route Graveline </t>
  </si>
  <si>
    <t>Route Guy</t>
  </si>
  <si>
    <t>Route Martel</t>
  </si>
  <si>
    <t>Route Martin</t>
  </si>
  <si>
    <t>Route Michon</t>
  </si>
  <si>
    <t>Route Phaneuf</t>
  </si>
  <si>
    <t>Route Picard</t>
  </si>
  <si>
    <t>Route Quintal</t>
  </si>
  <si>
    <t>Route Saint-Patrice</t>
  </si>
  <si>
    <t>Route Valcourt</t>
  </si>
  <si>
    <t>Route Yamaska</t>
  </si>
  <si>
    <t>Rue Adam</t>
  </si>
  <si>
    <t>Rue Alfred-Bédard</t>
  </si>
  <si>
    <t>Rue Alfred-Benoît</t>
  </si>
  <si>
    <t>Rue Allaire</t>
  </si>
  <si>
    <t xml:space="preserve">Rue Angers </t>
  </si>
  <si>
    <t>Rue Archambault</t>
  </si>
  <si>
    <t>Rue Archille</t>
  </si>
  <si>
    <t>Rue Armand</t>
  </si>
  <si>
    <t>Rue Armand-Côté</t>
  </si>
  <si>
    <t>Rue Arpin</t>
  </si>
  <si>
    <t>Alarme, événement criminel</t>
  </si>
  <si>
    <t>Alarme, événement non-criminel</t>
  </si>
  <si>
    <t>Rue Charles-A.-Gauttier</t>
  </si>
  <si>
    <t>Rue Charron</t>
  </si>
  <si>
    <t>Rue Chartier</t>
  </si>
  <si>
    <t>Rue Chicoine</t>
  </si>
  <si>
    <t>Rue Choinière</t>
  </si>
  <si>
    <t>Rue Choquette</t>
  </si>
  <si>
    <t>Rue Claing</t>
  </si>
  <si>
    <t>Rue Cordeau</t>
  </si>
  <si>
    <t>Rue Couture</t>
  </si>
  <si>
    <t>Rue Croteau</t>
  </si>
  <si>
    <t>Rue Napoléon</t>
  </si>
  <si>
    <t>Rue de la Piscine</t>
  </si>
  <si>
    <t>Rue de la Plage-au-Sable</t>
  </si>
  <si>
    <t>Rue de la Présentation</t>
  </si>
  <si>
    <t>Rue de la Promenade</t>
  </si>
  <si>
    <t>Rue de la Rose-des-Vents</t>
  </si>
  <si>
    <t>Rue de la Tendresse</t>
  </si>
  <si>
    <t>Rue de l'Amitié</t>
  </si>
  <si>
    <t>Rue de l'Anse</t>
  </si>
  <si>
    <t>Rue de l'École</t>
  </si>
  <si>
    <t>Rue de l'Église</t>
  </si>
  <si>
    <t>Rue de l'Hôtel-de-Ville</t>
  </si>
  <si>
    <t>086</t>
  </si>
  <si>
    <t>Rue des Fondateurs</t>
  </si>
  <si>
    <t>Rue des Hêtres</t>
  </si>
  <si>
    <t>Rue des Loisirs</t>
  </si>
  <si>
    <t>Rue des Merisiers</t>
  </si>
  <si>
    <t>Rue des Ormes</t>
  </si>
  <si>
    <t xml:space="preserve">Rue des Patriotes, </t>
  </si>
  <si>
    <t>Rue des Pins</t>
  </si>
  <si>
    <t>Rue des Pionniers</t>
  </si>
  <si>
    <t>Rue des Plaines</t>
  </si>
  <si>
    <t>Rue des Prés-Verts</t>
  </si>
  <si>
    <t>Rue Deslandes</t>
  </si>
  <si>
    <t>Rue Deslauriers</t>
  </si>
  <si>
    <t>Rue Desmarais</t>
  </si>
  <si>
    <t>Rue Desnoyers</t>
  </si>
  <si>
    <t>Rue Dion</t>
  </si>
  <si>
    <t>Rue Dollard</t>
  </si>
  <si>
    <t>Rue du Boisé</t>
  </si>
  <si>
    <t>Rue du Centre</t>
  </si>
  <si>
    <t>Rue du Château</t>
  </si>
  <si>
    <t>Rue du Manoir</t>
  </si>
  <si>
    <t>Rue du Moulin</t>
  </si>
  <si>
    <t xml:space="preserve">Rue du Pavillon </t>
  </si>
  <si>
    <t>Rue du Puits</t>
  </si>
  <si>
    <t>Rue du Rocher</t>
  </si>
  <si>
    <t>Rue du Rosaire</t>
  </si>
  <si>
    <t xml:space="preserve">Rue du Ruisseau </t>
  </si>
  <si>
    <t>Rue Dubois</t>
  </si>
  <si>
    <t>Rue Fontaine</t>
  </si>
  <si>
    <t>Rue Fortier</t>
  </si>
  <si>
    <t>Rue Fredette</t>
  </si>
  <si>
    <t>Rue Gabriel</t>
  </si>
  <si>
    <t>Rue Gagné</t>
  </si>
  <si>
    <t>Rue Gauvin</t>
  </si>
  <si>
    <t>Rue Georges-Nolin</t>
  </si>
  <si>
    <t>Rue Giasson</t>
  </si>
  <si>
    <t>Rue Gilles</t>
  </si>
  <si>
    <t>Rue Girard</t>
  </si>
  <si>
    <t>Rue Girouard</t>
  </si>
  <si>
    <t>Rue Graveline</t>
  </si>
  <si>
    <t>Rue Grégoire</t>
  </si>
  <si>
    <t>Rue Guertin</t>
  </si>
  <si>
    <t>Rue Hébert</t>
  </si>
  <si>
    <t>Rue Henri</t>
  </si>
  <si>
    <t>Rue Henri-Paul-Forest</t>
  </si>
  <si>
    <t>Rue Honoré-Bouvier</t>
  </si>
  <si>
    <t>Rue J.-H.-Fafard</t>
  </si>
  <si>
    <t>Rue Jarry</t>
  </si>
  <si>
    <t>Rue Jodoin</t>
  </si>
  <si>
    <t>Rue Lacasse</t>
  </si>
  <si>
    <t>Rue Lachapelle</t>
  </si>
  <si>
    <t>Rue Lacroix</t>
  </si>
  <si>
    <t>Rue Laflamme</t>
  </si>
  <si>
    <t xml:space="preserve">Rue Lafontaine </t>
  </si>
  <si>
    <t>Rue Lajoie</t>
  </si>
  <si>
    <t>Rue Lamontagne</t>
  </si>
  <si>
    <t>Rue Lamoureux</t>
  </si>
  <si>
    <t>Rue Laperle</t>
  </si>
  <si>
    <t>Rue Maurice-Lacroix</t>
  </si>
  <si>
    <t>Rue McDuff</t>
  </si>
  <si>
    <t>Rue Médiane</t>
  </si>
  <si>
    <t>Rue Ménard</t>
  </si>
  <si>
    <t>Rue Messier</t>
  </si>
  <si>
    <t>Rue Michaud</t>
  </si>
  <si>
    <t>Rue Michon</t>
  </si>
  <si>
    <t>Rue Millette</t>
  </si>
  <si>
    <t>Rue Palardy</t>
  </si>
  <si>
    <t>Rue Panet</t>
  </si>
  <si>
    <t xml:space="preserve">Rue Papineau, </t>
  </si>
  <si>
    <t>Rue Pâquette</t>
  </si>
  <si>
    <t>Rue Paquin</t>
  </si>
  <si>
    <t>Rue Parent</t>
  </si>
  <si>
    <t>Rue Paul-Lussier</t>
  </si>
  <si>
    <t>Rue Phaneuf</t>
  </si>
  <si>
    <t>Rue Pierre</t>
  </si>
  <si>
    <t xml:space="preserve">Rue Piette, </t>
  </si>
  <si>
    <t>Rue Pion</t>
  </si>
  <si>
    <t>Rue Plamondon</t>
  </si>
  <si>
    <t>Rue S.-Côté</t>
  </si>
  <si>
    <t>Rue Saint-Dominique</t>
  </si>
  <si>
    <t xml:space="preserve">Rue Sainte-Anne </t>
  </si>
  <si>
    <t>Rue Sainte-Catherine</t>
  </si>
  <si>
    <t>Rue Saint-Édouard</t>
  </si>
  <si>
    <t>Rue Sainte-Élisabeth</t>
  </si>
  <si>
    <t>Rue Sainte-Marie</t>
  </si>
  <si>
    <t>Rue Saint-Étienne</t>
  </si>
  <si>
    <t>Rue Saint-Fabien</t>
  </si>
  <si>
    <t>Rue Saint-François</t>
  </si>
  <si>
    <t>Rue Saint-Michel</t>
  </si>
  <si>
    <t>Rue Saint-Pierre</t>
  </si>
  <si>
    <t>Rue Saint-Roch</t>
  </si>
  <si>
    <t>Rue Saint-Simon</t>
  </si>
  <si>
    <t>Rue Sansoucy</t>
  </si>
  <si>
    <t>Rue Scott</t>
  </si>
  <si>
    <t>Rue Settecasi</t>
  </si>
  <si>
    <t>Rue Spénard</t>
  </si>
  <si>
    <t>Rue Sainte-Marthe</t>
  </si>
  <si>
    <t>Avenue Saint-François</t>
  </si>
  <si>
    <t>Grand rang Saint-François</t>
  </si>
  <si>
    <t>Petit rang Saint-François</t>
  </si>
  <si>
    <t>Avenue Saint-Joseph</t>
  </si>
  <si>
    <t>Avenue Saint-Louis</t>
  </si>
  <si>
    <t>Avenue Saint-Luc</t>
  </si>
  <si>
    <t>Rue Saint-Maurice</t>
  </si>
  <si>
    <t>Avenue Saint-Michel</t>
  </si>
  <si>
    <t>Avenue Saint-Onge</t>
  </si>
  <si>
    <t>Rue Saint-Patrice</t>
  </si>
  <si>
    <t>Rue Saint-Paul</t>
  </si>
  <si>
    <t>Rue Saint-Pierre Est</t>
  </si>
  <si>
    <t>Rue Saint-Pierre Ouest</t>
  </si>
  <si>
    <t>Rue Saint-Prosper</t>
  </si>
  <si>
    <t>Avenue Saint-Simon</t>
  </si>
  <si>
    <t>Rang Saint-Simon</t>
  </si>
  <si>
    <t>Avenue Saint-Thomas</t>
  </si>
  <si>
    <t>Rue Saint-Vincent-Ferrier</t>
  </si>
  <si>
    <t>Rue des Salines</t>
  </si>
  <si>
    <t>Rue des Samares</t>
  </si>
  <si>
    <t>Chemin Saül</t>
  </si>
  <si>
    <t>Avenue Savard</t>
  </si>
  <si>
    <t>Avenue Savoie</t>
  </si>
  <si>
    <t>Rue des Seigneurs Est</t>
  </si>
  <si>
    <t>Rue des Seigneurs Ouest</t>
  </si>
  <si>
    <t>Rue des Semailles</t>
  </si>
  <si>
    <t>Rue des Séminaristes</t>
  </si>
  <si>
    <t>Rue Sicotte</t>
  </si>
  <si>
    <t>Avenue des Sillons</t>
  </si>
  <si>
    <t>Chemin Simard</t>
  </si>
  <si>
    <t>Rue Solis</t>
  </si>
  <si>
    <t>Rue des Sorbiers</t>
  </si>
  <si>
    <t>Avenue de la Source</t>
  </si>
  <si>
    <t>Rue St-Amand</t>
  </si>
  <si>
    <t>Avenue St-Denis</t>
  </si>
  <si>
    <t>Avenue St-Germain</t>
  </si>
  <si>
    <t>Avenue St-Jacques</t>
  </si>
  <si>
    <t>Rue St-Laurent</t>
  </si>
  <si>
    <t>Avenue Sylva-Clapin</t>
  </si>
  <si>
    <t>Rue Sylvestre</t>
  </si>
  <si>
    <t>Avenue T.-D.-Bouchard</t>
  </si>
  <si>
    <t>Rue Taché</t>
  </si>
  <si>
    <t>Chemin Tanguay</t>
  </si>
  <si>
    <t>Avenue Tarte</t>
  </si>
  <si>
    <t>Avenue Tellier</t>
  </si>
  <si>
    <t>Avenue du Terroir</t>
  </si>
  <si>
    <t>Impasse Terry-Fox</t>
  </si>
  <si>
    <t>Rue du Tertre</t>
  </si>
  <si>
    <t>Avenue Théroux</t>
  </si>
  <si>
    <t>Avenue Thuot</t>
  </si>
  <si>
    <t>Avenue des Tilleuls</t>
  </si>
  <si>
    <t>Avenue du Tournesol</t>
  </si>
  <si>
    <t>Chemin de la Traverse</t>
  </si>
  <si>
    <t>Chemin Tremblay</t>
  </si>
  <si>
    <t>Rue Tremblay</t>
  </si>
  <si>
    <t>Rue du Triolet</t>
  </si>
  <si>
    <t>Avenue Triquet</t>
  </si>
  <si>
    <t>Avenue Trudeau</t>
  </si>
  <si>
    <t>Rue Turcot</t>
  </si>
  <si>
    <t>Rue de l' Union</t>
  </si>
  <si>
    <t>Impasse Vadeboncoeur</t>
  </si>
  <si>
    <t>Impasse Vadnais</t>
  </si>
  <si>
    <t>Rue du Vallon</t>
  </si>
  <si>
    <t>Impasse Val-Monts</t>
  </si>
  <si>
    <t>Avenue Vanier</t>
  </si>
  <si>
    <t>Avenue Vaudreuil</t>
  </si>
  <si>
    <t>Rue de la Verdure</t>
  </si>
  <si>
    <t>Rue du Vert</t>
  </si>
  <si>
    <t>Avenue Vertefeuille</t>
  </si>
  <si>
    <t>Avenue des Vétérinaires</t>
  </si>
  <si>
    <t>Avenue Vézina</t>
  </si>
  <si>
    <t>Chemin Viau</t>
  </si>
  <si>
    <t>Rue Victor-Cordeau</t>
  </si>
  <si>
    <t>Rue Victor-Martin</t>
  </si>
  <si>
    <t>Rue Vidal</t>
  </si>
  <si>
    <t>Rue Viger</t>
  </si>
  <si>
    <t>Rue Villeneuve Est</t>
  </si>
  <si>
    <t>Rue Villeneuve Ouest</t>
  </si>
  <si>
    <t>Avenue Wilson</t>
  </si>
  <si>
    <t>Rue Yamaska</t>
  </si>
  <si>
    <t>Saint-Malo</t>
  </si>
  <si>
    <t>Saint-Venant-de-Paquette</t>
  </si>
  <si>
    <t>East Hereford</t>
  </si>
  <si>
    <t>Saint-Herménégilde</t>
  </si>
  <si>
    <t>Dixville</t>
  </si>
  <si>
    <t>Coaticook</t>
  </si>
  <si>
    <t>Barnston-Ouest</t>
  </si>
  <si>
    <t>Stanstead-Est</t>
  </si>
  <si>
    <t>Sainte-Edwidge-de-Clifton</t>
  </si>
  <si>
    <t>Martinville</t>
  </si>
  <si>
    <t>Compton</t>
  </si>
  <si>
    <t>Waterville</t>
  </si>
  <si>
    <t>Stanstead</t>
  </si>
  <si>
    <t>Ogden</t>
  </si>
  <si>
    <t>Potton</t>
  </si>
  <si>
    <t>Ayer's Cliff</t>
  </si>
  <si>
    <t>Hatley</t>
  </si>
  <si>
    <t>North Hatley</t>
  </si>
  <si>
    <t>Sainte-Catherine-de-Hatley</t>
  </si>
  <si>
    <t>Magog</t>
  </si>
  <si>
    <t>Saint-Benoît-du-Lac</t>
  </si>
  <si>
    <t>Austin</t>
  </si>
  <si>
    <t>Eastman</t>
  </si>
  <si>
    <t>Bolton-Est</t>
  </si>
  <si>
    <t>Saint-Étienne-de-Bolton</t>
  </si>
  <si>
    <t>Stukely-Sud</t>
  </si>
  <si>
    <t>Orford</t>
  </si>
  <si>
    <t>Abercorn</t>
  </si>
  <si>
    <t>Frelighsburg</t>
  </si>
  <si>
    <t>Saint-Armand</t>
  </si>
  <si>
    <t>Pike River</t>
  </si>
  <si>
    <t>Stanbridge Station</t>
  </si>
  <si>
    <t>Bedford</t>
  </si>
  <si>
    <t>Stanbridge East</t>
  </si>
  <si>
    <t>Dunham</t>
  </si>
  <si>
    <t>Sutton</t>
  </si>
  <si>
    <t>Bolton-Ouest</t>
  </si>
  <si>
    <t>Brome</t>
  </si>
  <si>
    <t>Lac-Brome</t>
  </si>
  <si>
    <t>Bromont</t>
  </si>
  <si>
    <t>Cowansville</t>
  </si>
  <si>
    <t>East Farnham</t>
  </si>
  <si>
    <t>Brigham</t>
  </si>
  <si>
    <t>Saint-Ignace-de-Stanbridge</t>
  </si>
  <si>
    <t>Notre-Dame-de-Stanbridge</t>
  </si>
  <si>
    <t>Farnham</t>
  </si>
  <si>
    <t>Saint-Alphonse-de-Granby</t>
  </si>
  <si>
    <t>Granby</t>
  </si>
  <si>
    <t>Waterloo</t>
  </si>
  <si>
    <t>Warden</t>
  </si>
  <si>
    <t>Shefford</t>
  </si>
  <si>
    <t>Saint-Joachim-de-Shefford</t>
  </si>
  <si>
    <t>Roxton Pond</t>
  </si>
  <si>
    <t>Sainte-Cécile-de-Milton</t>
  </si>
  <si>
    <t>Béthanie</t>
  </si>
  <si>
    <t>Roxton Falls</t>
  </si>
  <si>
    <t>Roxton</t>
  </si>
  <si>
    <t>Sainte-Christine</t>
  </si>
  <si>
    <t>Acton Vale</t>
  </si>
  <si>
    <t>Upton</t>
  </si>
  <si>
    <t>Saint-Théodore-d'Acton</t>
  </si>
  <si>
    <t>Saint-Nazaire-d'Acton</t>
  </si>
  <si>
    <t>Saint-Félix-de-Kingsey</t>
  </si>
  <si>
    <t>Durham-Sud</t>
  </si>
  <si>
    <t>Lefebvre</t>
  </si>
  <si>
    <t>L'Avenir</t>
  </si>
  <si>
    <t>Saint-Lucien</t>
  </si>
  <si>
    <t>Wickham</t>
  </si>
  <si>
    <t>Saint-Germain-de-Grantham</t>
  </si>
  <si>
    <t>Drummondville</t>
  </si>
  <si>
    <t>Saint-Cyrille-de-Wendover</t>
  </si>
  <si>
    <t>Notre-Dame-du-Bon-Conseil</t>
  </si>
  <si>
    <t>Sainte-Brigitte-des-Saults</t>
  </si>
  <si>
    <t>Saint-Majorique-de-Grantham</t>
  </si>
  <si>
    <t>Saint-Edmond-de-Grantham</t>
  </si>
  <si>
    <t>Saint-Eugène</t>
  </si>
  <si>
    <t>Saint-Guillaume</t>
  </si>
  <si>
    <t>Saint-Bonaventure</t>
  </si>
  <si>
    <t>Saint-Pie-de-Guire</t>
  </si>
  <si>
    <t>Sainte-Eulalie</t>
  </si>
  <si>
    <t>Aston-Jonction</t>
  </si>
  <si>
    <t>Saint-Wenceslas</t>
  </si>
  <si>
    <t>Saint-Célestin</t>
  </si>
  <si>
    <t>Saint-Léonard-d'Aston</t>
  </si>
  <si>
    <t>Sainte-Monique</t>
  </si>
  <si>
    <t>Grand-Saint-Esprit</t>
  </si>
  <si>
    <t>Nicolet</t>
  </si>
  <si>
    <t>La Visitation-de-Yamaska</t>
  </si>
  <si>
    <t>Saint-Zéphirin-de-Courval</t>
  </si>
  <si>
    <t>Saint-Elphège</t>
  </si>
  <si>
    <t>Baie-du-Febvre</t>
  </si>
  <si>
    <t>Pierreville</t>
  </si>
  <si>
    <t>Saint-François-du-Lac</t>
  </si>
  <si>
    <t>Odanak</t>
  </si>
  <si>
    <t>Maskinongé</t>
  </si>
  <si>
    <t>Louiseville</t>
  </si>
  <si>
    <t>Yamachiche</t>
  </si>
  <si>
    <t>Saint-Barnabé</t>
  </si>
  <si>
    <t>Saint-Sévère</t>
  </si>
  <si>
    <t>Sainte-Ursule</t>
  </si>
  <si>
    <t>Saint-Justin</t>
  </si>
  <si>
    <t>Saint-Édouard-de-Maskinongé</t>
  </si>
  <si>
    <t>Sainte-Angèle-de-Prémont</t>
  </si>
  <si>
    <t>Saint-Paulin</t>
  </si>
  <si>
    <t>Saint-Alexis-des-Monts</t>
  </si>
  <si>
    <t>Saint-Mathieu-du-Parc</t>
  </si>
  <si>
    <t>Saint-Élie-de-Caxton</t>
  </si>
  <si>
    <t>Charette</t>
  </si>
  <si>
    <t>Saint-Boniface</t>
  </si>
  <si>
    <t>Saint-Étienne-des-Grès</t>
  </si>
  <si>
    <t>Lavaltrie</t>
  </si>
  <si>
    <t>Lanoraie</t>
  </si>
  <si>
    <t>Sainte-Élisabeth</t>
  </si>
  <si>
    <t>Berthierville</t>
  </si>
  <si>
    <t>Sainte-Geneviève-de-Berthier</t>
  </si>
  <si>
    <t>Saint-Ignace-de-Loyola</t>
  </si>
  <si>
    <t>La Visitation-de-l'Île-Dupas</t>
  </si>
  <si>
    <t>Saint-Barthélemy</t>
  </si>
  <si>
    <t>Saint-Cuthbert</t>
  </si>
  <si>
    <t>Saint-Norbert</t>
  </si>
  <si>
    <t>Saint-Cléophas-de-Brandon</t>
  </si>
  <si>
    <t>Saint-Gabriel</t>
  </si>
  <si>
    <t>Saint-Gabriel-de-Brandon</t>
  </si>
  <si>
    <t>Saint-Didace</t>
  </si>
  <si>
    <t>Mandeville</t>
  </si>
  <si>
    <t>Saint-David</t>
  </si>
  <si>
    <t>Massueville</t>
  </si>
  <si>
    <t>Saint-Aimé</t>
  </si>
  <si>
    <t>Saint-Robert</t>
  </si>
  <si>
    <t>Sainte-Victoire-de-Sorel</t>
  </si>
  <si>
    <t>Saint-Ours</t>
  </si>
  <si>
    <t>Saint-Roch-de-Richelieu</t>
  </si>
  <si>
    <t>Saint-Joseph-de-Sorel</t>
  </si>
  <si>
    <t>Sorel-Tracy</t>
  </si>
  <si>
    <t>Sainte-Anne-de-Sorel</t>
  </si>
  <si>
    <t>Yamaska</t>
  </si>
  <si>
    <t>Saint-Gérard-Majella</t>
  </si>
  <si>
    <t>Saint-Valérien-de-Milton</t>
  </si>
  <si>
    <t>Sainte-Hélène-de-Bagot</t>
  </si>
  <si>
    <t>Saint-Barnabé-Sud</t>
  </si>
  <si>
    <t>Saint-Marcel-de-Richelieu</t>
  </si>
  <si>
    <t>Ange-Gardien</t>
  </si>
  <si>
    <t>Saint-Paul-d'Abbotsford</t>
  </si>
  <si>
    <t>Saint-Césaire</t>
  </si>
  <si>
    <t>Sainte-Angèle-de-Monnoir</t>
  </si>
  <si>
    <t>Rougemont</t>
  </si>
  <si>
    <t>Marieville</t>
  </si>
  <si>
    <t>Richelieu</t>
  </si>
  <si>
    <t>Saint-Mathias-sur-Richelieu</t>
  </si>
  <si>
    <t>Venise-en-Québec</t>
  </si>
  <si>
    <t>Saint-Georges-de-Clarenceville</t>
  </si>
  <si>
    <t>Noyan</t>
  </si>
  <si>
    <t>Lacolle</t>
  </si>
  <si>
    <t>Saint-Valentin</t>
  </si>
  <si>
    <t>Saint-Paul-de-l'Île-aux-Noix</t>
  </si>
  <si>
    <t>Henryville</t>
  </si>
  <si>
    <t>Saint-Alexandre</t>
  </si>
  <si>
    <t>Sainte-Anne-de-Sabrevois</t>
  </si>
  <si>
    <t>Saint-Blaise-sur-Richelieu</t>
  </si>
  <si>
    <t>Saint-Jean-sur-Richelieu</t>
  </si>
  <si>
    <t>Mont-Saint-Grégoire</t>
  </si>
  <si>
    <t>Sainte-Brigide-d'Iberville</t>
  </si>
  <si>
    <t>Chambly</t>
  </si>
  <si>
    <t>Carignan</t>
  </si>
  <si>
    <t>Saint-Basile-le-Grand</t>
  </si>
  <si>
    <t>McMasterville</t>
  </si>
  <si>
    <t>Otterburn Park</t>
  </si>
  <si>
    <t>Saint-Jean-Baptiste</t>
  </si>
  <si>
    <t>Mont-Saint-Hilaire</t>
  </si>
  <si>
    <t>Beloeil</t>
  </si>
  <si>
    <t>Saint-Mathieu-de-Beloeil</t>
  </si>
  <si>
    <t>Saint-Marc-sur-Richelieu</t>
  </si>
  <si>
    <t>Saint-Charles-sur-Richelieu</t>
  </si>
  <si>
    <t>Saint-Denis-sur-Richelieu</t>
  </si>
  <si>
    <t>Saint-Antoine-sur-Richelieu</t>
  </si>
  <si>
    <t>Brossard</t>
  </si>
  <si>
    <t>Saint-Lambert</t>
  </si>
  <si>
    <t>Boucherville</t>
  </si>
  <si>
    <t>Saint-Bruno-de-Montarville</t>
  </si>
  <si>
    <t>Longueuil</t>
  </si>
  <si>
    <t>Sainte-Julie</t>
  </si>
  <si>
    <t>Saint-Amable</t>
  </si>
  <si>
    <t>Varennes</t>
  </si>
  <si>
    <t>Verchères</t>
  </si>
  <si>
    <t>Calixa-Lavallée</t>
  </si>
  <si>
    <t>Contrecoeur</t>
  </si>
  <si>
    <t>Charlemagne</t>
  </si>
  <si>
    <t>Repentigny</t>
  </si>
  <si>
    <t>Saint-Sulpice</t>
  </si>
  <si>
    <t>L'Assomption</t>
  </si>
  <si>
    <t>L'Épiphanie</t>
  </si>
  <si>
    <t>Saint-Paul</t>
  </si>
  <si>
    <t>Crabtree</t>
  </si>
  <si>
    <t>Saint-Pierre</t>
  </si>
  <si>
    <t>Joliette</t>
  </si>
  <si>
    <t>Saint-Thomas</t>
  </si>
  <si>
    <t>Notre-Dame-des-Prairies</t>
  </si>
  <si>
    <t>Saint-Charles-Borromée</t>
  </si>
  <si>
    <t>Saint-Ambroise-de-Kildare</t>
  </si>
  <si>
    <t>Sainte-Mélanie</t>
  </si>
  <si>
    <t>Saint-Félix-de-Valois</t>
  </si>
  <si>
    <t>Saint-Jean-de-Matha</t>
  </si>
  <si>
    <t>Sainte-Béatrix</t>
  </si>
  <si>
    <t>Saint-Alphonse-Rodriguez</t>
  </si>
  <si>
    <t>Sainte-Marcelline-de-Kildare</t>
  </si>
  <si>
    <t>Rawdon</t>
  </si>
  <si>
    <t>Chertsey</t>
  </si>
  <si>
    <t>Entrelacs</t>
  </si>
  <si>
    <t>Notre-Dame-de-la-Merci</t>
  </si>
  <si>
    <t>Saint-Côme</t>
  </si>
  <si>
    <t>Sainte-Émélie-de-l'Énergie</t>
  </si>
  <si>
    <t>Saint-Damien</t>
  </si>
  <si>
    <t>Saint-Zénon</t>
  </si>
  <si>
    <t>Saint-Michel-des-Saints</t>
  </si>
  <si>
    <t>Manawan</t>
  </si>
  <si>
    <t>Lac-Minaki</t>
  </si>
  <si>
    <t>Lac-Devenyns</t>
  </si>
  <si>
    <t>Baie-de-la-Bouteille</t>
  </si>
  <si>
    <t>Lac-Matawin</t>
  </si>
  <si>
    <t>Lac-Legendre</t>
  </si>
  <si>
    <t>Saint-Guillaume-Nord</t>
  </si>
  <si>
    <t>Lac-des-Dix-Milles</t>
  </si>
  <si>
    <t>Lac-Santé</t>
  </si>
  <si>
    <t>Baie-Obaoca</t>
  </si>
  <si>
    <t>Lac-Cabasta</t>
  </si>
  <si>
    <t>Baie-Atibenne</t>
  </si>
  <si>
    <t>Lac-du-Taureau</t>
  </si>
  <si>
    <t>Sainte-Marie-Salomé</t>
  </si>
  <si>
    <t>Saint-Jacques</t>
  </si>
  <si>
    <t>Saint-Alexis</t>
  </si>
  <si>
    <t>Saint-Esprit</t>
  </si>
  <si>
    <t>Saint-Roch-de-l'Achigan</t>
  </si>
  <si>
    <t>Saint-Roch-Ouest</t>
  </si>
  <si>
    <t>Saint-Lin–Laurentides</t>
  </si>
  <si>
    <t>Saint-Calixte</t>
  </si>
  <si>
    <t>Sainte-Julienne</t>
  </si>
  <si>
    <t>Saint-Liguori</t>
  </si>
  <si>
    <t>Terrebonne</t>
  </si>
  <si>
    <t>Mascouche</t>
  </si>
  <si>
    <t>Laval</t>
  </si>
  <si>
    <t>Montréal-Est</t>
  </si>
  <si>
    <t>Montréal</t>
  </si>
  <si>
    <t>Westmount</t>
  </si>
  <si>
    <t>Montréal-Ouest</t>
  </si>
  <si>
    <t>Côte-Saint-Luc</t>
  </si>
  <si>
    <t>Hampstead</t>
  </si>
  <si>
    <t>Mont-Royal</t>
  </si>
  <si>
    <t>Dorval</t>
  </si>
  <si>
    <t>L'Île-Dorval</t>
  </si>
  <si>
    <t>Pointe-Claire</t>
  </si>
  <si>
    <t>Kirkland</t>
  </si>
  <si>
    <t>Beaconsfield</t>
  </si>
  <si>
    <t>Baie-D'Urfé</t>
  </si>
  <si>
    <t>Sainte-Anne-de-Bellevue</t>
  </si>
  <si>
    <t>Senneville</t>
  </si>
  <si>
    <t>Dollard-Des Ormeaux</t>
  </si>
  <si>
    <t>Saint-Mathieu</t>
  </si>
  <si>
    <t>Saint-Philippe</t>
  </si>
  <si>
    <t>La Prairie</t>
  </si>
  <si>
    <t>Candiac</t>
  </si>
  <si>
    <t>Delson</t>
  </si>
  <si>
    <t>Sainte-Catherine</t>
  </si>
  <si>
    <t>Saint-Constant</t>
  </si>
  <si>
    <t>Mercier</t>
  </si>
  <si>
    <t>Châteauguay</t>
  </si>
  <si>
    <t>Léry</t>
  </si>
  <si>
    <t>Kahnawake</t>
  </si>
  <si>
    <t>Saint-Bernard-de-Lacolle</t>
  </si>
  <si>
    <t>Hemmingford</t>
  </si>
  <si>
    <t>Sainte-Clotilde</t>
  </si>
  <si>
    <t>Saint-Patrice-de-Sherrington</t>
  </si>
  <si>
    <t>Napierville</t>
  </si>
  <si>
    <t>Saint-Cyprien-de-Napierville</t>
  </si>
  <si>
    <t>Saint-Jacques-le-Mineur</t>
  </si>
  <si>
    <t>Saint-Édouard</t>
  </si>
  <si>
    <t>Saint-Michel</t>
  </si>
  <si>
    <t>Saint-Rémi</t>
  </si>
  <si>
    <t>Havelock</t>
  </si>
  <si>
    <t>Franklin</t>
  </si>
  <si>
    <t>Saint-Chrysostome</t>
  </si>
  <si>
    <t>Howick</t>
  </si>
  <si>
    <t>Très-Saint-Sacrement</t>
  </si>
  <si>
    <t>Ormstown</t>
  </si>
  <si>
    <t>Hinchinbrooke</t>
  </si>
  <si>
    <t>Elgin</t>
  </si>
  <si>
    <t>Huntingdon</t>
  </si>
  <si>
    <t>Godmanchester</t>
  </si>
  <si>
    <t>Sainte-Barbe</t>
  </si>
  <si>
    <t>Saint-Anicet</t>
  </si>
  <si>
    <t>Dundee</t>
  </si>
  <si>
    <t>Akwesasne</t>
  </si>
  <si>
    <t>Saint-Urbain-Premier</t>
  </si>
  <si>
    <t>Sainte-Martine</t>
  </si>
  <si>
    <t>Beauharnois</t>
  </si>
  <si>
    <t>Saint-Étienne-de-Beauharnois</t>
  </si>
  <si>
    <t>Saint-Stanislas-de-Kostka</t>
  </si>
  <si>
    <t>Salaberry-de-Valleyfield</t>
  </si>
  <si>
    <t>Rivière-Beaudette</t>
  </si>
  <si>
    <t>Saint-Télesphore</t>
  </si>
  <si>
    <t>Saint-Polycarpe</t>
  </si>
  <si>
    <t>Saint-Zotique</t>
  </si>
  <si>
    <t>Les Coteaux</t>
  </si>
  <si>
    <t>Coteau-du-Lac</t>
  </si>
  <si>
    <t>Saint-Clet</t>
  </si>
  <si>
    <t>Les Cèdres</t>
  </si>
  <si>
    <t>Pointe-des-Cascades</t>
  </si>
  <si>
    <t>L'Île-Perrot</t>
  </si>
  <si>
    <t>Notre-Dame-de-l'Île-Perrot</t>
  </si>
  <si>
    <t>Pincourt</t>
  </si>
  <si>
    <t>Terrasse-Vaudreuil</t>
  </si>
  <si>
    <t>Vaudreuil-Dorion</t>
  </si>
  <si>
    <t>Vaudreuil-sur-le-Lac</t>
  </si>
  <si>
    <t>L'Île-Cadieux</t>
  </si>
  <si>
    <t>Hudson</t>
  </si>
  <si>
    <t>Saint-Lazare</t>
  </si>
  <si>
    <t>Sainte-Marthe</t>
  </si>
  <si>
    <t>Sainte-Justine-de-Newton</t>
  </si>
  <si>
    <t>Très-Saint-Rédempteur</t>
  </si>
  <si>
    <t>Rigaud</t>
  </si>
  <si>
    <t>Pointe-Fortune</t>
  </si>
  <si>
    <t>Saint-Eustache</t>
  </si>
  <si>
    <t>Deux-Montagnes</t>
  </si>
  <si>
    <t>Sainte-Marthe-sur-le-Lac</t>
  </si>
  <si>
    <t>Pointe-Calumet</t>
  </si>
  <si>
    <t>Saint-Joseph-du-Lac</t>
  </si>
  <si>
    <t>Oka</t>
  </si>
  <si>
    <t>Saint-Placide</t>
  </si>
  <si>
    <t>Boisbriand</t>
  </si>
  <si>
    <t>Sainte-Thérèse</t>
  </si>
  <si>
    <t>Blainville</t>
  </si>
  <si>
    <t>Rosemère</t>
  </si>
  <si>
    <t>Lorraine</t>
  </si>
  <si>
    <t>Bois-des-Filion</t>
  </si>
  <si>
    <t>Sainte-Anne-des-Plaines</t>
  </si>
  <si>
    <t>Mirabel</t>
  </si>
  <si>
    <t>Saint-Colomban</t>
  </si>
  <si>
    <t>Saint-Jérôme</t>
  </si>
  <si>
    <t>Sainte-Sophie</t>
  </si>
  <si>
    <t>Prévost</t>
  </si>
  <si>
    <t>Saint-Hippolyte</t>
  </si>
  <si>
    <t>Saint-André-d'Argenteuil</t>
  </si>
  <si>
    <t>Lachute</t>
  </si>
  <si>
    <t>Gore</t>
  </si>
  <si>
    <t>Mille-Isles</t>
  </si>
  <si>
    <t>Wentworth</t>
  </si>
  <si>
    <t>Brownsburg-Chatham</t>
  </si>
  <si>
    <t>Grenville-sur-la-Rouge</t>
  </si>
  <si>
    <t>Grenville</t>
  </si>
  <si>
    <t>Harrington</t>
  </si>
  <si>
    <t>Estérel</t>
  </si>
  <si>
    <t>Sainte-Marguerite-du-Lac-Masson</t>
  </si>
  <si>
    <t>Sainte-Adèle</t>
  </si>
  <si>
    <t>Piedmont</t>
  </si>
  <si>
    <t>Sainte-Anne-des-Lacs</t>
  </si>
  <si>
    <t>Saint-Sauveur</t>
  </si>
  <si>
    <t>Morin-Heights</t>
  </si>
  <si>
    <t>Lac-des-Seize-Îles</t>
  </si>
  <si>
    <t>Wentworth-Nord</t>
  </si>
  <si>
    <t>Saint-Adolphe-d'Howard</t>
  </si>
  <si>
    <t>Val-Morin</t>
  </si>
  <si>
    <t>Val-David</t>
  </si>
  <si>
    <t>Lantier</t>
  </si>
  <si>
    <t>Sainte-Lucie-des-Laurentides</t>
  </si>
  <si>
    <t>Sainte-Agathe-des-Monts</t>
  </si>
  <si>
    <t>Ivry-sur-le-Lac</t>
  </si>
  <si>
    <t>Saint-Faustin–Lac-Carré</t>
  </si>
  <si>
    <t>Barkmere</t>
  </si>
  <si>
    <t>Montcalm</t>
  </si>
  <si>
    <t>Arundel</t>
  </si>
  <si>
    <t>Huberdeau</t>
  </si>
  <si>
    <t>Amherst</t>
  </si>
  <si>
    <t>Brébeuf</t>
  </si>
  <si>
    <t>Lac-Supérieur</t>
  </si>
  <si>
    <t>Val-des-Lacs</t>
  </si>
  <si>
    <t>Mont-Tremblant</t>
  </si>
  <si>
    <t>La Conception</t>
  </si>
  <si>
    <t>Labelle</t>
  </si>
  <si>
    <t>Lac-Tremblant-Nord</t>
  </si>
  <si>
    <t>La Minerve</t>
  </si>
  <si>
    <t>Doncaster</t>
  </si>
  <si>
    <t>Notre-Dame-du-Laus</t>
  </si>
  <si>
    <t>Notre-Dame-de-Pontmain</t>
  </si>
  <si>
    <t>Lac-du-Cerf</t>
  </si>
  <si>
    <t>Saint-Aimé-du-Lac-des-Îles</t>
  </si>
  <si>
    <t>Kiamika</t>
  </si>
  <si>
    <t>Nominingue</t>
  </si>
  <si>
    <t>Rivière-Rouge</t>
  </si>
  <si>
    <t>La Macaza</t>
  </si>
  <si>
    <t>L'Ascension</t>
  </si>
  <si>
    <t>Lac-Saguay</t>
  </si>
  <si>
    <t>Chute-Saint-Philippe</t>
  </si>
  <si>
    <t>Lac-des-Écorces</t>
  </si>
  <si>
    <t>Mont-Laurier</t>
  </si>
  <si>
    <t>Ferme-Neuve</t>
  </si>
  <si>
    <t>Lac-Saint-Paul</t>
  </si>
  <si>
    <t>Mont-Saint-Michel</t>
  </si>
  <si>
    <t>Sainte-Anne-du-Lac</t>
  </si>
  <si>
    <t>Lac-de-la-Pomme</t>
  </si>
  <si>
    <t>Lac-Akonapwehikan</t>
  </si>
  <si>
    <t>Lac-Wagwabika</t>
  </si>
  <si>
    <t>Lac-Bazinet</t>
  </si>
  <si>
    <t>Lac-De La Bidière</t>
  </si>
  <si>
    <t>Lac-Oscar</t>
  </si>
  <si>
    <t>Lac-de-la-Maison-de-Pierre</t>
  </si>
  <si>
    <t>Baie-des-Chaloupes</t>
  </si>
  <si>
    <t>Lac-Douaire</t>
  </si>
  <si>
    <t>Lac-Ernest</t>
  </si>
  <si>
    <t>Lac-Marguerite</t>
  </si>
  <si>
    <t>Fassett</t>
  </si>
  <si>
    <t>Montebello</t>
  </si>
  <si>
    <t>Notre-Dame-de-Bonsecours</t>
  </si>
  <si>
    <t>Notre-Dame-de-la-Paix</t>
  </si>
  <si>
    <t>Saint-André-Avellin</t>
  </si>
  <si>
    <t>Papineauville</t>
  </si>
  <si>
    <t>Plaisance</t>
  </si>
  <si>
    <t>Thurso</t>
  </si>
  <si>
    <t>Lochaber</t>
  </si>
  <si>
    <t>Lochaber-Partie-Ouest</t>
  </si>
  <si>
    <t>Mayo</t>
  </si>
  <si>
    <t>Saint-Sixte</t>
  </si>
  <si>
    <t>Ripon</t>
  </si>
  <si>
    <t>Mulgrave-et-Derry</t>
  </si>
  <si>
    <t>Montpellier</t>
  </si>
  <si>
    <t>Lac-Simon</t>
  </si>
  <si>
    <t>Chénéville</t>
  </si>
  <si>
    <t>Namur</t>
  </si>
  <si>
    <t>Boileau</t>
  </si>
  <si>
    <t>Saint-Émile-de-Suffolk</t>
  </si>
  <si>
    <t>Lac-des-Plages</t>
  </si>
  <si>
    <t>Duhamel</t>
  </si>
  <si>
    <t>Val-des-Bois</t>
  </si>
  <si>
    <t>Bowman</t>
  </si>
  <si>
    <t>Gatineau</t>
  </si>
  <si>
    <t>Notre-Dame-de-la-Salette</t>
  </si>
  <si>
    <t>Val-des-Monts</t>
  </si>
  <si>
    <t>Cantley</t>
  </si>
  <si>
    <t>Chelsea</t>
  </si>
  <si>
    <t>Pontiac</t>
  </si>
  <si>
    <t>La Pêche</t>
  </si>
  <si>
    <t>Denholm</t>
  </si>
  <si>
    <t>Low</t>
  </si>
  <si>
    <t>Kazabazua</t>
  </si>
  <si>
    <t>Lac-Sainte-Marie</t>
  </si>
  <si>
    <t>Gracefield</t>
  </si>
  <si>
    <t>Cayamant</t>
  </si>
  <si>
    <t>Blue Sea</t>
  </si>
  <si>
    <t>Bouchette</t>
  </si>
  <si>
    <t>Sainte-Thérèse-de-la-Gatineau</t>
  </si>
  <si>
    <t>Messines</t>
  </si>
  <si>
    <t>Maniwaki</t>
  </si>
  <si>
    <t>Déléage</t>
  </si>
  <si>
    <t>Egan-Sud</t>
  </si>
  <si>
    <t>Bois-Franc</t>
  </si>
  <si>
    <t>Montcerf-Lytton</t>
  </si>
  <si>
    <t>Aumond</t>
  </si>
  <si>
    <t>Grand-Remous</t>
  </si>
  <si>
    <t>Kitigan Zibi</t>
  </si>
  <si>
    <t>Lac-Rapide</t>
  </si>
  <si>
    <t>Lac-Pythonga</t>
  </si>
  <si>
    <t>Cascades-Malignes</t>
  </si>
  <si>
    <t>Lac-Lenôtre</t>
  </si>
  <si>
    <t>Lac-Moselle</t>
  </si>
  <si>
    <t>Dépôt-Échouani</t>
  </si>
  <si>
    <t>Bristol</t>
  </si>
  <si>
    <t>Clarendon</t>
  </si>
  <si>
    <t>Portage-du-Fort</t>
  </si>
  <si>
    <t>Bryson</t>
  </si>
  <si>
    <t>Campbell's Bay</t>
  </si>
  <si>
    <t>L'Île-du-Grand-Calumet</t>
  </si>
  <si>
    <t>Litchfield</t>
  </si>
  <si>
    <t>Thorne</t>
  </si>
  <si>
    <t>Alleyn-et-Cawood</t>
  </si>
  <si>
    <t>Otter Lake</t>
  </si>
  <si>
    <t>Fort-Coulonge</t>
  </si>
  <si>
    <t>Mansfield-et-Pontefract</t>
  </si>
  <si>
    <t>Waltham</t>
  </si>
  <si>
    <t>L'Isle-aux-Allumettes</t>
  </si>
  <si>
    <t>Chichester</t>
  </si>
  <si>
    <t>Sheenboro</t>
  </si>
  <si>
    <t>Rapides-des-Joachims</t>
  </si>
  <si>
    <t>Lac-Nilgaut</t>
  </si>
  <si>
    <t>Témiscaming</t>
  </si>
  <si>
    <t>Kipawa</t>
  </si>
  <si>
    <t>Saint-Édouard-de-Fabre</t>
  </si>
  <si>
    <t>Béarn</t>
  </si>
  <si>
    <t>Ville-Marie</t>
  </si>
  <si>
    <t>Duhamel-Ouest</t>
  </si>
  <si>
    <t>Lorrainville</t>
  </si>
  <si>
    <t>Saint-Bruno-de-Guigues</t>
  </si>
  <si>
    <t>Laverlochère</t>
  </si>
  <si>
    <t>Fugèreville</t>
  </si>
  <si>
    <t>Latulipe-et-Gaboury</t>
  </si>
  <si>
    <t>Belleterre</t>
  </si>
  <si>
    <t>Laforce</t>
  </si>
  <si>
    <t>Moffet</t>
  </si>
  <si>
    <t>Angliers</t>
  </si>
  <si>
    <t>Saint-Eugène-de-Guigues</t>
  </si>
  <si>
    <t>Notre-Dame-du-Nord</t>
  </si>
  <si>
    <t>Guérin</t>
  </si>
  <si>
    <t>Nédélec</t>
  </si>
  <si>
    <t>Rémigny</t>
  </si>
  <si>
    <t>Kebaowek</t>
  </si>
  <si>
    <t>Timiskaming</t>
  </si>
  <si>
    <t>Laniel</t>
  </si>
  <si>
    <t>Les Lacs-du-Témiscamingue</t>
  </si>
  <si>
    <t>Rouyn-Noranda</t>
  </si>
  <si>
    <t>Duparquet</t>
  </si>
  <si>
    <t>Rapide-Danseur</t>
  </si>
  <si>
    <t>Roquemaure</t>
  </si>
  <si>
    <t>Gallichan</t>
  </si>
  <si>
    <t>Palmarolle</t>
  </si>
  <si>
    <t>Sainte-Germaine-Boulé</t>
  </si>
  <si>
    <t>Poularies</t>
  </si>
  <si>
    <t>Taschereau</t>
  </si>
  <si>
    <t>Authier</t>
  </si>
  <si>
    <t>Macamic</t>
  </si>
  <si>
    <t>Sainte-Hélène-de-Mancebourg</t>
  </si>
  <si>
    <t>Clerval</t>
  </si>
  <si>
    <t>La Reine</t>
  </si>
  <si>
    <t>Dupuy</t>
  </si>
  <si>
    <t>La Sarre</t>
  </si>
  <si>
    <t>Chazel</t>
  </si>
  <si>
    <t>Authier-Nord</t>
  </si>
  <si>
    <t>Val-Saint-Gilles</t>
  </si>
  <si>
    <t>Normétal</t>
  </si>
  <si>
    <t>Lac-Duparquet</t>
  </si>
  <si>
    <t>Rivière-Ojima</t>
  </si>
  <si>
    <t>Champneuf</t>
  </si>
  <si>
    <t>Rochebaucourt</t>
  </si>
  <si>
    <t>La Morandière</t>
  </si>
  <si>
    <t>Barraute</t>
  </si>
  <si>
    <t>La Corne</t>
  </si>
  <si>
    <t>Landrienne</t>
  </si>
  <si>
    <t>Saint-Marc-de-Figuery</t>
  </si>
  <si>
    <t>La Motte</t>
  </si>
  <si>
    <t>Saint-Mathieu-d'Harricana</t>
  </si>
  <si>
    <t>Amos</t>
  </si>
  <si>
    <t>Saint-Félix-de-Dalquier</t>
  </si>
  <si>
    <t>Saint-Dominique-du-Rosaire</t>
  </si>
  <si>
    <t>Berry</t>
  </si>
  <si>
    <t>Trécesson</t>
  </si>
  <si>
    <t>Launay</t>
  </si>
  <si>
    <t>Sainte-Gertrude-Manneville</t>
  </si>
  <si>
    <t>Preissac</t>
  </si>
  <si>
    <t>Pikogan</t>
  </si>
  <si>
    <t>Lac-Despinassy</t>
  </si>
  <si>
    <t>Lac-Chicobi</t>
  </si>
  <si>
    <t>Val-d'Or</t>
  </si>
  <si>
    <t>Rivière-Héva</t>
  </si>
  <si>
    <t>Malartic</t>
  </si>
  <si>
    <t>Senneterre</t>
  </si>
  <si>
    <t>Belcourt</t>
  </si>
  <si>
    <t>Matchi-Manitou</t>
  </si>
  <si>
    <t>Lac-Metei</t>
  </si>
  <si>
    <t>Réservoir-Dozois</t>
  </si>
  <si>
    <t>Lac-Granet</t>
  </si>
  <si>
    <t>La Tuque</t>
  </si>
  <si>
    <t>La Bostonnais</t>
  </si>
  <si>
    <t>Lac-Édouard</t>
  </si>
  <si>
    <t>Coucoucache</t>
  </si>
  <si>
    <t>Wemotaci</t>
  </si>
  <si>
    <t>Obedjiwan</t>
  </si>
  <si>
    <t>Lac-Bouchette</t>
  </si>
  <si>
    <t>Saint-André-du-Lac-Saint-Jean</t>
  </si>
  <si>
    <t>Saint-François-de-Sales</t>
  </si>
  <si>
    <t>Chambord</t>
  </si>
  <si>
    <t>Roberval</t>
  </si>
  <si>
    <t>Sainte-Hedwidge</t>
  </si>
  <si>
    <t>Saint-Prime</t>
  </si>
  <si>
    <t>Saint-Félicien</t>
  </si>
  <si>
    <t>La Doré</t>
  </si>
  <si>
    <t>Mashteuiatsh</t>
  </si>
  <si>
    <t>Lac-Ashuapmushuan</t>
  </si>
  <si>
    <t>Saint-Augustin</t>
  </si>
  <si>
    <t>Péribonka</t>
  </si>
  <si>
    <t>Dolbeau-Mistassini</t>
  </si>
  <si>
    <t>Albanel</t>
  </si>
  <si>
    <t>Normandin</t>
  </si>
  <si>
    <t>Saint-Thomas-Didyme</t>
  </si>
  <si>
    <t>Saint-Edmond-les-Plaines</t>
  </si>
  <si>
    <t>Girardville</t>
  </si>
  <si>
    <t>Notre-Dame-de-Lorette</t>
  </si>
  <si>
    <t>Saint-Eugène-d'Argentenay</t>
  </si>
  <si>
    <t>Passes-Dangereuses</t>
  </si>
  <si>
    <t>Rivière-Mistassini</t>
  </si>
  <si>
    <t>Desbiens</t>
  </si>
  <si>
    <t>Métabetchouan–Lac-à-la-Croix</t>
  </si>
  <si>
    <t>Hébertville</t>
  </si>
  <si>
    <t>Hébertville-Station</t>
  </si>
  <si>
    <t>Saint-Bruno</t>
  </si>
  <si>
    <t>Saint-Gédéon</t>
  </si>
  <si>
    <t>Alma</t>
  </si>
  <si>
    <t>Saint-Nazaire</t>
  </si>
  <si>
    <t>Labrecque</t>
  </si>
  <si>
    <t>Lamarche</t>
  </si>
  <si>
    <t>L'Ascension-de-Notre-Seigneur</t>
  </si>
  <si>
    <t>Saint-Henri-de-Taillon</t>
  </si>
  <si>
    <t>Saint-Ludger-de-Milot</t>
  </si>
  <si>
    <t>Mont-Apica</t>
  </si>
  <si>
    <t>Lac-Moncouche</t>
  </si>
  <si>
    <t>Lac-Achouakan</t>
  </si>
  <si>
    <t>Belle-Rivière</t>
  </si>
  <si>
    <t>Saguenay</t>
  </si>
  <si>
    <t>Petit-Saguenay</t>
  </si>
  <si>
    <t>L'Anse-Saint-Jean</t>
  </si>
  <si>
    <t>Rivière-Éternité</t>
  </si>
  <si>
    <t>Ferland-et-Boilleau</t>
  </si>
  <si>
    <t>Saint-Félix-d'Otis</t>
  </si>
  <si>
    <t>Sainte-Rose-du-Nord</t>
  </si>
  <si>
    <t>Saint-Fulgence</t>
  </si>
  <si>
    <t>Saint-Honoré</t>
  </si>
  <si>
    <t>Saint-David-de-Falardeau</t>
  </si>
  <si>
    <t>Bégin</t>
  </si>
  <si>
    <t>Saint-Ambroise</t>
  </si>
  <si>
    <t>Saint-Charles-de-Bourget</t>
  </si>
  <si>
    <t>Larouche</t>
  </si>
  <si>
    <t>Lalemant</t>
  </si>
  <si>
    <t>Lac-Ministuk</t>
  </si>
  <si>
    <t>Mont-Valin</t>
  </si>
  <si>
    <t>Tadoussac</t>
  </si>
  <si>
    <t>Sacré-Coeur</t>
  </si>
  <si>
    <t>Les Bergeronnes</t>
  </si>
  <si>
    <t>Les Escoumins</t>
  </si>
  <si>
    <t>Longue-Rive</t>
  </si>
  <si>
    <t>Portneuf-sur-Mer</t>
  </si>
  <si>
    <t>Forestville</t>
  </si>
  <si>
    <t>Colombier</t>
  </si>
  <si>
    <t>Essipit</t>
  </si>
  <si>
    <t>Lac-au-Brochet</t>
  </si>
  <si>
    <t>Baie-Trinité</t>
  </si>
  <si>
    <t>Godbout</t>
  </si>
  <si>
    <t>Franquelin</t>
  </si>
  <si>
    <t>Baie-Comeau</t>
  </si>
  <si>
    <t>Pointe-Lebel</t>
  </si>
  <si>
    <t>Pointe-aux-Outardes</t>
  </si>
  <si>
    <t>Chute-aux-Outardes</t>
  </si>
  <si>
    <t>Ragueneau</t>
  </si>
  <si>
    <t>Pessamit</t>
  </si>
  <si>
    <t>Rivière-aux-Outardes</t>
  </si>
  <si>
    <t>Sept-Îles</t>
  </si>
  <si>
    <t>Port-Cartier</t>
  </si>
  <si>
    <t>Fermont</t>
  </si>
  <si>
    <t>Schefferville</t>
  </si>
  <si>
    <t>Uashat</t>
  </si>
  <si>
    <t>Maliotenam</t>
  </si>
  <si>
    <t>Kawawachikamach</t>
  </si>
  <si>
    <t>Matimekosh</t>
  </si>
  <si>
    <t>Lac-John</t>
  </si>
  <si>
    <t>Rivière-Nipissis</t>
  </si>
  <si>
    <t>Lac-Walker</t>
  </si>
  <si>
    <t>Rivière-Mouchalagane</t>
  </si>
  <si>
    <t>Caniapiscau</t>
  </si>
  <si>
    <t>Lac-Juillet</t>
  </si>
  <si>
    <t>Lac-Vacher</t>
  </si>
  <si>
    <t>Blanc-Sablon</t>
  </si>
  <si>
    <t>Bonne-Espérance</t>
  </si>
  <si>
    <t>Gros-Mécatina</t>
  </si>
  <si>
    <t>Côte-Nord-du-Golfe-du-Saint-Laurent</t>
  </si>
  <si>
    <t>L'Île-d'Anticosti</t>
  </si>
  <si>
    <t>Natashquan</t>
  </si>
  <si>
    <t>Aguanish</t>
  </si>
  <si>
    <t>Baie-Johan-Beetz</t>
  </si>
  <si>
    <t>Havre-Saint-Pierre</t>
  </si>
  <si>
    <t>Longue-Pointe-de-Mingan</t>
  </si>
  <si>
    <t>Rivière-au-Tonnerre</t>
  </si>
  <si>
    <t>La Romaine</t>
  </si>
  <si>
    <t>Mingan</t>
  </si>
  <si>
    <t>Lac-Jérôme</t>
  </si>
  <si>
    <t>Petit-Mécatina</t>
  </si>
  <si>
    <t>Lebel-sur-Quévillon</t>
  </si>
  <si>
    <t>Waswanipi</t>
  </si>
  <si>
    <t>Matagami</t>
  </si>
  <si>
    <t>Chapais</t>
  </si>
  <si>
    <t>Chibougamau</t>
  </si>
  <si>
    <t>Mistissini</t>
  </si>
  <si>
    <t>Waskaganish</t>
  </si>
  <si>
    <t>Nemaska</t>
  </si>
  <si>
    <t>Eastmain</t>
  </si>
  <si>
    <t>Wemindji</t>
  </si>
  <si>
    <t>Chisasibi</t>
  </si>
  <si>
    <t>Gouvernement régional d'Eeyou Istchee Baie-James</t>
  </si>
  <si>
    <t>Whapmagoostui</t>
  </si>
  <si>
    <t>Kuujjuarapik</t>
  </si>
  <si>
    <t>Umiujaq</t>
  </si>
  <si>
    <t>Inukjuak</t>
  </si>
  <si>
    <t>Kangiqsualujjuaq</t>
  </si>
  <si>
    <t>Kuujjuaq</t>
  </si>
  <si>
    <t>Tasiujaq</t>
  </si>
  <si>
    <t>Aupaluk</t>
  </si>
  <si>
    <t>Kangirsuk</t>
  </si>
  <si>
    <t>Quaqtaq</t>
  </si>
  <si>
    <t>Puvirnituq</t>
  </si>
  <si>
    <t>Akulivik</t>
  </si>
  <si>
    <t>Kangiqsujuaq</t>
  </si>
  <si>
    <t>Salluit</t>
  </si>
  <si>
    <t>Ivujivik</t>
  </si>
  <si>
    <t>Rivière-Koksoak</t>
  </si>
  <si>
    <t>Baie-d'Hudson</t>
  </si>
  <si>
    <t>NO</t>
  </si>
  <si>
    <t>NATURE DE L'ÉVÉNEMENT</t>
  </si>
  <si>
    <t>NOM, PRÉNOM ASSIGNÉS</t>
  </si>
  <si>
    <t>LOCALISATION</t>
  </si>
  <si>
    <t>RUE</t>
  </si>
  <si>
    <t>VILLE OU VILLAGE</t>
  </si>
  <si>
    <t>CODE D'UNITÉ</t>
  </si>
  <si>
    <t>DATE</t>
  </si>
  <si>
    <t>REGISTRE DE L'UNITÉ</t>
  </si>
  <si>
    <t>Matricule</t>
  </si>
  <si>
    <t>NOM, Prénom</t>
  </si>
  <si>
    <t>Code</t>
  </si>
  <si>
    <t>Description</t>
  </si>
  <si>
    <t>Infraction contre un droit de propriété</t>
  </si>
  <si>
    <t>Tentative, complot, complicité</t>
  </si>
  <si>
    <t>Autre SAQ, LPA</t>
  </si>
  <si>
    <t>A101</t>
  </si>
  <si>
    <t>A102</t>
  </si>
  <si>
    <t>A103</t>
  </si>
  <si>
    <t>A104</t>
  </si>
  <si>
    <t>A105</t>
  </si>
  <si>
    <t>A106</t>
  </si>
  <si>
    <t>A130</t>
  </si>
  <si>
    <t>A220</t>
  </si>
  <si>
    <t>A224</t>
  </si>
  <si>
    <t>A351</t>
  </si>
  <si>
    <t>A355</t>
  </si>
  <si>
    <t>A500</t>
  </si>
  <si>
    <t>B500</t>
  </si>
  <si>
    <t>B502</t>
  </si>
  <si>
    <t>B503</t>
  </si>
  <si>
    <t>B800</t>
  </si>
  <si>
    <t>B900</t>
  </si>
  <si>
    <t>C501</t>
  </si>
  <si>
    <t>C502</t>
  </si>
  <si>
    <t>C503</t>
  </si>
  <si>
    <t>C504</t>
  </si>
  <si>
    <t>C505</t>
  </si>
  <si>
    <t>D510</t>
  </si>
  <si>
    <t>D521</t>
  </si>
  <si>
    <t>D522</t>
  </si>
  <si>
    <t>D523</t>
  </si>
  <si>
    <t>D524</t>
  </si>
  <si>
    <t>D525</t>
  </si>
  <si>
    <t>D526</t>
  </si>
  <si>
    <t>D527</t>
  </si>
  <si>
    <t>D528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</si>
  <si>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</si>
  <si>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</si>
  <si>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</si>
  <si>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</si>
  <si>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</si>
  <si>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</si>
  <si>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</si>
  <si>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</si>
  <si>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</si>
  <si>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</si>
  <si>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</si>
  <si>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</si>
  <si>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</si>
  <si>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</si>
  <si>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</si>
  <si>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E210</t>
  </si>
  <si>
    <t>E220</t>
  </si>
  <si>
    <t>E230</t>
  </si>
  <si>
    <t>E310</t>
  </si>
  <si>
    <t>E321</t>
  </si>
  <si>
    <t>E322</t>
  </si>
  <si>
    <t>E323</t>
  </si>
  <si>
    <t>E324</t>
  </si>
  <si>
    <t>E325</t>
  </si>
  <si>
    <t>E329</t>
  </si>
  <si>
    <t>E400</t>
  </si>
  <si>
    <t>E403</t>
  </si>
  <si>
    <t>E420</t>
  </si>
  <si>
    <t>E500</t>
  </si>
  <si>
    <t>F500</t>
  </si>
  <si>
    <t>F501</t>
  </si>
  <si>
    <t>F502</t>
  </si>
  <si>
    <t>F503</t>
  </si>
  <si>
    <t>F504</t>
  </si>
  <si>
    <t>F505</t>
  </si>
  <si>
    <t>F506</t>
  </si>
  <si>
    <t>F507</t>
  </si>
  <si>
    <t>F508</t>
  </si>
  <si>
    <t>F509</t>
  </si>
  <si>
    <t>F510</t>
  </si>
  <si>
    <t>F511</t>
  </si>
  <si>
    <t>F512</t>
  </si>
  <si>
    <t>F513</t>
  </si>
  <si>
    <t>F514</t>
  </si>
  <si>
    <t>M100</t>
  </si>
  <si>
    <t>M101</t>
  </si>
  <si>
    <t>M102</t>
  </si>
  <si>
    <t>M103</t>
  </si>
  <si>
    <t>M200</t>
  </si>
  <si>
    <t>M201</t>
  </si>
  <si>
    <t>M202</t>
  </si>
  <si>
    <t>M203</t>
  </si>
  <si>
    <t>M300</t>
  </si>
  <si>
    <t>M301</t>
  </si>
  <si>
    <t>M302</t>
  </si>
  <si>
    <t>M303</t>
  </si>
  <si>
    <t>M400</t>
  </si>
  <si>
    <t>M401</t>
  </si>
  <si>
    <t>M402</t>
  </si>
  <si>
    <t>M403</t>
  </si>
  <si>
    <t>P101</t>
  </si>
  <si>
    <t>P102</t>
  </si>
  <si>
    <t>P103</t>
  </si>
  <si>
    <t>P104</t>
  </si>
  <si>
    <t>R100</t>
  </si>
  <si>
    <t>R101</t>
  </si>
  <si>
    <t>R102</t>
  </si>
  <si>
    <t>R106</t>
  </si>
  <si>
    <t>R107</t>
  </si>
  <si>
    <t>R108</t>
  </si>
  <si>
    <t>R109</t>
  </si>
  <si>
    <t>R110</t>
  </si>
  <si>
    <t>R111</t>
  </si>
  <si>
    <t>R200</t>
  </si>
  <si>
    <t>R203</t>
  </si>
  <si>
    <t>R204</t>
  </si>
  <si>
    <t>R208</t>
  </si>
  <si>
    <t>R303</t>
  </si>
  <si>
    <t>R304</t>
  </si>
  <si>
    <t>R305</t>
  </si>
  <si>
    <t>R306</t>
  </si>
  <si>
    <t>R700</t>
  </si>
  <si>
    <t>R800</t>
  </si>
  <si>
    <t>V100</t>
  </si>
  <si>
    <t>V101</t>
  </si>
  <si>
    <t>V200</t>
  </si>
  <si>
    <t>X100</t>
  </si>
  <si>
    <t>X200</t>
  </si>
  <si>
    <t>X300</t>
  </si>
  <si>
    <t>X950</t>
  </si>
  <si>
    <t>X960</t>
  </si>
  <si>
    <t>CODE MIP</t>
  </si>
  <si>
    <t>Municipalité</t>
  </si>
  <si>
    <t>Chemin Courtemanche</t>
  </si>
  <si>
    <t>Chemin d'Acton</t>
  </si>
  <si>
    <t>Chemin de la Berline</t>
  </si>
  <si>
    <t>Chemin de la Pointe-aux-Fourches</t>
  </si>
  <si>
    <t>Chemin de la Pointe-des-Chemises</t>
  </si>
  <si>
    <t>Chemin de la Presqu'île</t>
  </si>
  <si>
    <t>Chemin de la Rivière</t>
  </si>
  <si>
    <t>Chemin de l'École</t>
  </si>
  <si>
    <t>Chemin de l'Érablière</t>
  </si>
  <si>
    <t>Chemin de Milton</t>
  </si>
  <si>
    <t>Chemin de Roxton</t>
  </si>
  <si>
    <t>Menaces (biens, animaux)</t>
  </si>
  <si>
    <t>Chemin du Secteur-Graveline</t>
  </si>
  <si>
    <t>Chemin d'Upton</t>
  </si>
  <si>
    <t>Chemin Foisy</t>
  </si>
  <si>
    <t>Chemin Fournier</t>
  </si>
  <si>
    <t>Chemin Gagnon</t>
  </si>
  <si>
    <t>Chemin Gaudreault</t>
  </si>
  <si>
    <t>Chemin Gazaille</t>
  </si>
  <si>
    <t>Chemin Girouard</t>
  </si>
  <si>
    <t>Chemin Hébert</t>
  </si>
  <si>
    <t>Chemin Larocque</t>
  </si>
  <si>
    <t>Chemin Leclerc-Tétreault</t>
  </si>
  <si>
    <t>Chemin Lussier</t>
  </si>
  <si>
    <t>Chemin Martel</t>
  </si>
  <si>
    <t>Grand rang Saint-François Ouest</t>
  </si>
  <si>
    <t>Grande Ligne</t>
  </si>
  <si>
    <t>Impasse Chatel</t>
  </si>
  <si>
    <t>Impasse des Boisés</t>
  </si>
  <si>
    <t>Impasse des Fougères</t>
  </si>
  <si>
    <t>Impasse Deslandes</t>
  </si>
  <si>
    <t>Impasse du Haut-de-la-Rivière Nord</t>
  </si>
  <si>
    <t>Impasse Patenaude</t>
  </si>
  <si>
    <t>Le Bas-du-Petit-Rang-Saint-François</t>
  </si>
  <si>
    <t>Petit-8e Rang</t>
  </si>
  <si>
    <t>Place Beauregard</t>
  </si>
  <si>
    <t>Place des  Cyprès</t>
  </si>
  <si>
    <t>Place des Bouleaux</t>
  </si>
  <si>
    <t>Place des Hêtres</t>
  </si>
  <si>
    <t>Place des Lilas</t>
  </si>
  <si>
    <t>Place des Merisiers</t>
  </si>
  <si>
    <t>Rang de la Montagne</t>
  </si>
  <si>
    <t>Rang de la Presqu'île</t>
  </si>
  <si>
    <t>Rang de la Savane</t>
  </si>
  <si>
    <t>Rang de l'Église Nord</t>
  </si>
  <si>
    <t>Rang de l'Église Sud</t>
  </si>
  <si>
    <t>Rang de l'Égypte</t>
  </si>
  <si>
    <t>Rang de l'Espérance</t>
  </si>
  <si>
    <t>Rang de Michaudville</t>
  </si>
  <si>
    <t xml:space="preserve">Rang d'Émileville </t>
  </si>
  <si>
    <t>Rang des Bas-Étangs</t>
  </si>
  <si>
    <t>Rang des Grandes-Allonges</t>
  </si>
  <si>
    <t>F515</t>
  </si>
  <si>
    <t>R810</t>
  </si>
  <si>
    <t>X250</t>
  </si>
  <si>
    <t>X350</t>
  </si>
  <si>
    <t>Rang du Cordon</t>
  </si>
  <si>
    <t>Rang du Haut-Corbin</t>
  </si>
  <si>
    <t>Rang du Haut-de-la-Rivière</t>
  </si>
  <si>
    <t xml:space="preserve">Rang du Haut-de-la-Rivière Nord </t>
  </si>
  <si>
    <t>Rang du Haut-de-la-Rivière Sud</t>
  </si>
  <si>
    <t>Rang du Haut-Saint-Amable</t>
  </si>
  <si>
    <t>Rang Elmire</t>
  </si>
  <si>
    <t>Rang Fleury</t>
  </si>
  <si>
    <t>Rang Marie-Anne</t>
  </si>
  <si>
    <t>Rang Nord-Ouest</t>
  </si>
  <si>
    <t>Rang Prescott</t>
  </si>
  <si>
    <t>Rang Saint-Augustin</t>
  </si>
  <si>
    <t>Rang Saint-Édouard</t>
  </si>
  <si>
    <t>Rang Sainte-Hélène</t>
  </si>
  <si>
    <t>Rang Sainte-Julie</t>
  </si>
  <si>
    <t>Rang Thiersant</t>
  </si>
  <si>
    <t>Route 137</t>
  </si>
  <si>
    <t xml:space="preserve">Route 235 </t>
  </si>
  <si>
    <t>Route 239</t>
  </si>
  <si>
    <t>Route Amyot</t>
  </si>
  <si>
    <t>Route de Michaudville</t>
  </si>
  <si>
    <t>Route de Saint-Jean-Baptiste</t>
  </si>
  <si>
    <t>Route de Saint-Pie</t>
  </si>
  <si>
    <t>Route du Bas-du-Deux</t>
  </si>
  <si>
    <t>Route du Moulin</t>
  </si>
  <si>
    <t>Route du Petit-5e-Rang</t>
  </si>
  <si>
    <t>Rue Arthur-Tétreault</t>
  </si>
  <si>
    <t>Rue Audette</t>
  </si>
  <si>
    <t>Rue Bazinet</t>
  </si>
  <si>
    <t>Rue Beaucage</t>
  </si>
  <si>
    <t>Rue Beaudry</t>
  </si>
  <si>
    <t xml:space="preserve">Rue Beauregard </t>
  </si>
  <si>
    <t>Rue Bélanger</t>
  </si>
  <si>
    <t>Rue Berger</t>
  </si>
  <si>
    <t xml:space="preserve">Rue Bergeron </t>
  </si>
  <si>
    <t>Rue Bistodeau</t>
  </si>
  <si>
    <t>Rue Blanchette</t>
  </si>
  <si>
    <t xml:space="preserve">Rue Bonin </t>
  </si>
  <si>
    <t>Rue Boucher</t>
  </si>
  <si>
    <t xml:space="preserve">Rue Bousquet </t>
  </si>
  <si>
    <t>Rue Bouvier</t>
  </si>
  <si>
    <t>Rue Brais</t>
  </si>
  <si>
    <t>Rue Brigitte</t>
  </si>
  <si>
    <t>Rue Brodeur</t>
  </si>
  <si>
    <t>Rue Cécile</t>
  </si>
  <si>
    <t>Rue Céline-Rajotte</t>
  </si>
  <si>
    <t>Rue Chabot</t>
  </si>
  <si>
    <t xml:space="preserve">Rue Chaput </t>
  </si>
  <si>
    <t>Rue Charbonneau</t>
  </si>
  <si>
    <t>Rue Cusson</t>
  </si>
  <si>
    <t>Rue Daudelin</t>
  </si>
  <si>
    <t>Rue Daviau</t>
  </si>
  <si>
    <t>Rue Davignon</t>
  </si>
  <si>
    <t>Rue de l' Aube</t>
  </si>
  <si>
    <t>Rue de la Citadelle</t>
  </si>
  <si>
    <t>Rue de la Coulée</t>
  </si>
  <si>
    <t>Rue de la Fabrique</t>
  </si>
  <si>
    <t>Rue de la Forêt</t>
  </si>
  <si>
    <t>Rue de la Jeunesse</t>
  </si>
  <si>
    <t>Rue de la Joie</t>
  </si>
  <si>
    <t>Rue de la Montagne</t>
  </si>
  <si>
    <t>Rue de la Paix</t>
  </si>
  <si>
    <t>Rue de Saint-Pie</t>
  </si>
  <si>
    <t>Rue Demers</t>
  </si>
  <si>
    <t>Rue Denis</t>
  </si>
  <si>
    <t>Rue des  Épinettes</t>
  </si>
  <si>
    <t>Rue des  Plaines</t>
  </si>
  <si>
    <t>Rue des Aulnes</t>
  </si>
  <si>
    <t>Rue des Bâtisseurs</t>
  </si>
  <si>
    <t>Rue des Cèdres</t>
  </si>
  <si>
    <t>Rue des Champs</t>
  </si>
  <si>
    <t>Rue des Cyprès</t>
  </si>
  <si>
    <t>Rue des Érables</t>
  </si>
  <si>
    <t>Rue des Pruches</t>
  </si>
  <si>
    <t>Rue des Ruisseaux</t>
  </si>
  <si>
    <t>Rue des Sages</t>
  </si>
  <si>
    <t>Rue des Saules</t>
  </si>
  <si>
    <t>Rue des Sociétaires</t>
  </si>
  <si>
    <t>Rue des Sous-Bois</t>
  </si>
  <si>
    <t>Rue des Tilleuls</t>
  </si>
  <si>
    <t>Rue des Tournesols</t>
  </si>
  <si>
    <t>Rue des Trèfles</t>
  </si>
  <si>
    <t>Rue Desbiens</t>
  </si>
  <si>
    <t>Rue Deschamps</t>
  </si>
  <si>
    <t>Rue du Cimetière</t>
  </si>
  <si>
    <t>Rue du Cinquantenaire</t>
  </si>
  <si>
    <t>Rue du Coteau</t>
  </si>
  <si>
    <t>Rue du Couvent</t>
  </si>
  <si>
    <t>Rue du Curé-Charles-Lamoureux</t>
  </si>
  <si>
    <t>Rue du Golf</t>
  </si>
  <si>
    <t>Rue Dubreuil</t>
  </si>
  <si>
    <t>Rue Dufault</t>
  </si>
  <si>
    <t>Rue Dufresne</t>
  </si>
  <si>
    <t>Rue Dupont</t>
  </si>
  <si>
    <t>Rue Edgar</t>
  </si>
  <si>
    <t>Rue Élie-Laplante</t>
  </si>
  <si>
    <t>Rue Ernest-Despars</t>
  </si>
  <si>
    <t>Rue Laplante</t>
  </si>
  <si>
    <t>Rue Larivière</t>
  </si>
  <si>
    <t>Rue Lasnier</t>
  </si>
  <si>
    <t>Rue Leclerc</t>
  </si>
  <si>
    <t>Rue Lemay</t>
  </si>
  <si>
    <t>Rue L'Heureux</t>
  </si>
  <si>
    <t>Rue Locas</t>
  </si>
  <si>
    <t>Rue Loiselle</t>
  </si>
  <si>
    <t>Rue Louis-Bardy</t>
  </si>
  <si>
    <t>Rue Lussier</t>
  </si>
  <si>
    <t>Rue Mailhot</t>
  </si>
  <si>
    <t>Rue Marceau</t>
  </si>
  <si>
    <t xml:space="preserve">Rue Martin </t>
  </si>
  <si>
    <t>Rue Mathieu</t>
  </si>
  <si>
    <t>Rue Mizaël-Ménard</t>
  </si>
  <si>
    <t>Rue Monseigneur-Decelles</t>
  </si>
  <si>
    <t>Rue Monseigneur-Lussier</t>
  </si>
  <si>
    <t>Rue Morier</t>
  </si>
  <si>
    <t>Rue Nathalie</t>
  </si>
  <si>
    <t>Rue Noiseux</t>
  </si>
  <si>
    <t>Rue Normand</t>
  </si>
  <si>
    <t>Rue Olier-Grisé</t>
  </si>
  <si>
    <t>Rue Poirier</t>
  </si>
  <si>
    <t>Rue Principale</t>
  </si>
  <si>
    <t>Rue Principale Est</t>
  </si>
  <si>
    <t>Rue Principale Ouest</t>
  </si>
  <si>
    <t>Rue Quintal</t>
  </si>
  <si>
    <t>Rue Raygo</t>
  </si>
  <si>
    <t>Rue Raymond</t>
  </si>
  <si>
    <t>Rue Richard</t>
  </si>
  <si>
    <t>Rue Rodier</t>
  </si>
  <si>
    <t>Rue Roy</t>
  </si>
  <si>
    <t>Rue Saint-Germain</t>
  </si>
  <si>
    <t>Rue Saint-Isidore</t>
  </si>
  <si>
    <t>Rue Saint-Jacques</t>
  </si>
  <si>
    <t>Rue Saint-Jean</t>
  </si>
  <si>
    <t>Rue Saint-Jean-Baptiste</t>
  </si>
  <si>
    <t>Rue Saint-Joseph</t>
  </si>
  <si>
    <t>Rue Saint-Laurent</t>
  </si>
  <si>
    <t xml:space="preserve">Rue Saint-Louis </t>
  </si>
  <si>
    <t>Rue Saint-Martin</t>
  </si>
  <si>
    <t>Rue Tenco</t>
  </si>
  <si>
    <t>Rue Turcotte</t>
  </si>
  <si>
    <t>Rue Vanier</t>
  </si>
  <si>
    <t>Rue William-Houde</t>
  </si>
  <si>
    <t>Rue Xavier-Desrosiers</t>
  </si>
  <si>
    <t xml:space="preserve">Rue Yamaska, </t>
  </si>
  <si>
    <t>Terrasse Bagot</t>
  </si>
  <si>
    <t>Terrasse Bellevue</t>
  </si>
  <si>
    <t>A210</t>
  </si>
  <si>
    <t>E350</t>
  </si>
  <si>
    <t>E550</t>
  </si>
  <si>
    <t>R820</t>
  </si>
  <si>
    <t>V103</t>
  </si>
  <si>
    <t>NO ENTRÉE</t>
  </si>
  <si>
    <t>RÉFÉRENCE AU NO D'ÉVÉNEMENT EXISTANT</t>
  </si>
  <si>
    <t>CODE MUN.</t>
  </si>
  <si>
    <t>Saint-Liboire</t>
  </si>
  <si>
    <t>Saint-Simon</t>
  </si>
  <si>
    <t>Sainte-Hélène</t>
  </si>
  <si>
    <t>Saint-Hugues</t>
  </si>
  <si>
    <t>Saint-Marcel</t>
  </si>
  <si>
    <t>Saint-Hyacinthe</t>
  </si>
  <si>
    <t>Saint-Pie</t>
  </si>
  <si>
    <t>Saint-Dominique</t>
  </si>
  <si>
    <t>Saint-Valérien</t>
  </si>
  <si>
    <t>Saint-Louis</t>
  </si>
  <si>
    <t>Saint-Bernard-de-Michaudville</t>
  </si>
  <si>
    <t>Saint-Jude</t>
  </si>
  <si>
    <t>La Présentation</t>
  </si>
  <si>
    <t>Sainte-Madeleine</t>
  </si>
  <si>
    <t>Sainte-Marie-Madeleine</t>
  </si>
  <si>
    <t>Saint-Damase</t>
  </si>
  <si>
    <t>Paquet, Sindy</t>
  </si>
  <si>
    <t>Jetté, Stéphane</t>
  </si>
  <si>
    <t>Côté, Mario</t>
  </si>
  <si>
    <t>Bouchard, Gilles</t>
  </si>
  <si>
    <t>Denis, Lionel</t>
  </si>
  <si>
    <t>Lemoine, Rémi</t>
  </si>
  <si>
    <t>Lagrandeur, Magali</t>
  </si>
  <si>
    <t>Trottier, Stéphane</t>
  </si>
  <si>
    <t>Giguère, Jean</t>
  </si>
  <si>
    <t>Boutin, Josée</t>
  </si>
  <si>
    <t>Chauvin, Denis</t>
  </si>
  <si>
    <t>Lecours, Rémi</t>
  </si>
  <si>
    <t>Martel, Jean</t>
  </si>
  <si>
    <t>Morin, Cynthia</t>
  </si>
  <si>
    <t>Pinard, Marie-Claude</t>
  </si>
  <si>
    <t>Bisson, Mélanie</t>
  </si>
  <si>
    <t>Lafontaine, Vincent</t>
  </si>
  <si>
    <t>Cloutier, Yvan</t>
  </si>
  <si>
    <t>Gosselin, Sonia</t>
  </si>
  <si>
    <t>Sauvé, Romy</t>
  </si>
  <si>
    <t>Rainville, Isabelle</t>
  </si>
  <si>
    <t>Morin, Christian</t>
  </si>
  <si>
    <t>Bernatchez, Edith</t>
  </si>
  <si>
    <t>Brouillard, Michaël</t>
  </si>
  <si>
    <t>Arsenault, Simon</t>
  </si>
  <si>
    <t>Chicoine, Sabrina</t>
  </si>
  <si>
    <t>Bisaillon, Martin</t>
  </si>
  <si>
    <t>Blais, Jean-Philippe</t>
  </si>
  <si>
    <t>Desjardins, Benoit</t>
  </si>
  <si>
    <t>Joyal, David</t>
  </si>
  <si>
    <t>Desfossés, Marie-Ève</t>
  </si>
  <si>
    <t>Loiselle, Ginette</t>
  </si>
  <si>
    <t>Henley, Valérie</t>
  </si>
  <si>
    <t>Parent, François</t>
  </si>
  <si>
    <t>Portelance, Carl</t>
  </si>
  <si>
    <t>Côté, Sophie</t>
  </si>
  <si>
    <t>Jolicoeur, Gabriel</t>
  </si>
  <si>
    <t>Masut, Yvan</t>
  </si>
  <si>
    <t>Sansoucy, Maude</t>
  </si>
  <si>
    <t/>
  </si>
  <si>
    <t>Turmel, Guillaume</t>
  </si>
  <si>
    <t>Meunier, Patricia</t>
  </si>
  <si>
    <t>Giannone, Antonio</t>
  </si>
  <si>
    <t>Dussault, Vincent</t>
  </si>
  <si>
    <t>Bussières, Jordi</t>
  </si>
  <si>
    <t>Lapensée, Claude</t>
  </si>
  <si>
    <t>Vachon, Marc-André</t>
  </si>
  <si>
    <t>Boulanger, Alexandra</t>
  </si>
  <si>
    <t>Paré, Jonathan</t>
  </si>
  <si>
    <t>Lecours, Evelyne</t>
  </si>
  <si>
    <t>Arsenault, Vincent</t>
  </si>
  <si>
    <t>Girard, Jessica</t>
  </si>
  <si>
    <t>Daigneault, David</t>
  </si>
  <si>
    <t>Plante, Johanne</t>
  </si>
  <si>
    <t>Barré, Kim</t>
  </si>
  <si>
    <t>Gadbois, Marie-France</t>
  </si>
  <si>
    <t>Laforest, Maxime</t>
  </si>
  <si>
    <t>Dessert, Michel</t>
  </si>
  <si>
    <t>Lavigne, Hugo</t>
  </si>
  <si>
    <t>Martineau, Scott</t>
  </si>
  <si>
    <t>Yergeau, Isabelle</t>
  </si>
  <si>
    <t>Chouinard Leblond, Ariane</t>
  </si>
  <si>
    <t>Tanguay, Mylène</t>
  </si>
  <si>
    <t>C-Langlois, Patrick</t>
  </si>
  <si>
    <t>Bourdon, Stéphanie</t>
  </si>
  <si>
    <t>Parenteau, Kevin</t>
  </si>
  <si>
    <t>Boutin, Louis-Pierre</t>
  </si>
  <si>
    <t>Benoît, Martin</t>
  </si>
  <si>
    <t>Buffo, Eugenio</t>
  </si>
  <si>
    <t>Rouleau, Sébastien</t>
  </si>
  <si>
    <t>Michaud, Luc</t>
  </si>
  <si>
    <t>Mathieu, Audrey</t>
  </si>
  <si>
    <t>Chicoine, Marie-Eve</t>
  </si>
  <si>
    <t>Roy, Julie</t>
  </si>
  <si>
    <t>Salesse, Jérémie</t>
  </si>
  <si>
    <t>Labonté, Jérôme</t>
  </si>
  <si>
    <t>St-Laurent, Michel</t>
  </si>
  <si>
    <t>Roy, Jessica</t>
  </si>
  <si>
    <t>Armstrong, Francis</t>
  </si>
  <si>
    <t>B Dancause, Marie-Claude</t>
  </si>
  <si>
    <t>Sévigny, Kévin</t>
  </si>
  <si>
    <t>Langelier, Myriam</t>
  </si>
  <si>
    <t>Samson, Guillaume</t>
  </si>
  <si>
    <t>Boisclair-Proulx, François</t>
  </si>
  <si>
    <t>B-Godbout, Caroline</t>
  </si>
  <si>
    <t>Vieux-Francoeur, Edward</t>
  </si>
  <si>
    <t>Mondou, Pierre-Olivier</t>
  </si>
  <si>
    <t>Lessard, Anne-Marie</t>
  </si>
  <si>
    <t>Bélanger, Frédéric</t>
  </si>
  <si>
    <t>Lavoie, Pierre-Olivier</t>
  </si>
  <si>
    <t>Senez, Mathieu</t>
  </si>
  <si>
    <t>Larouche, Véronick</t>
  </si>
  <si>
    <t>Lefebvre, Sébastien</t>
  </si>
  <si>
    <t>Graveline, Erick</t>
  </si>
  <si>
    <t>Patenaude, Dany</t>
  </si>
  <si>
    <t>Brouillard, Marco</t>
  </si>
  <si>
    <t>Hamel, Josée</t>
  </si>
  <si>
    <t>Fortin, Marilou</t>
  </si>
  <si>
    <t>Shawville</t>
  </si>
  <si>
    <t>01023</t>
  </si>
  <si>
    <t>Les Îles-de-la-Madeleine</t>
  </si>
  <si>
    <t>01042</t>
  </si>
  <si>
    <t>Grosse-Île</t>
  </si>
  <si>
    <t>02005</t>
  </si>
  <si>
    <t>Percé</t>
  </si>
  <si>
    <t>02010</t>
  </si>
  <si>
    <t>Sainte-Thérèse-de-Gaspé</t>
  </si>
  <si>
    <t>02015</t>
  </si>
  <si>
    <t>Grande-Rivière</t>
  </si>
  <si>
    <t>02028</t>
  </si>
  <si>
    <t>Chandler</t>
  </si>
  <si>
    <t>02047</t>
  </si>
  <si>
    <t>Port-Daniel–Gascons</t>
  </si>
  <si>
    <t>02902</t>
  </si>
  <si>
    <t>Mont-Alexandre</t>
  </si>
  <si>
    <t>03005</t>
  </si>
  <si>
    <t>Gaspé</t>
  </si>
  <si>
    <t>03010</t>
  </si>
  <si>
    <t>Cloridorme</t>
  </si>
  <si>
    <t>03015</t>
  </si>
  <si>
    <t>Petite-Vallée</t>
  </si>
  <si>
    <t>03020</t>
  </si>
  <si>
    <t>Grande-Vallée</t>
  </si>
  <si>
    <t>03025</t>
  </si>
  <si>
    <t>Murdochville</t>
  </si>
  <si>
    <t>03902</t>
  </si>
  <si>
    <t>Rivière-Saint-Jean</t>
  </si>
  <si>
    <t>03904</t>
  </si>
  <si>
    <t>Collines-du-Basque</t>
  </si>
  <si>
    <t>04005</t>
  </si>
  <si>
    <t>Sainte-Madeleine-de-la-Rivière-Madeleine</t>
  </si>
  <si>
    <t>04010</t>
  </si>
  <si>
    <t>Saint-Maxime-du-Mont-Louis</t>
  </si>
  <si>
    <t>04015</t>
  </si>
  <si>
    <t>Mont-Saint-Pierre</t>
  </si>
  <si>
    <t>04020</t>
  </si>
  <si>
    <t>Rivière-à-Claude</t>
  </si>
  <si>
    <t>04025</t>
  </si>
  <si>
    <t>Marsoui</t>
  </si>
  <si>
    <t>04030</t>
  </si>
  <si>
    <t>La Martre</t>
  </si>
  <si>
    <t>04037</t>
  </si>
  <si>
    <t>Sainte-Anne-des-Monts</t>
  </si>
  <si>
    <t>04047</t>
  </si>
  <si>
    <t>Cap-Chat</t>
  </si>
  <si>
    <t>04902</t>
  </si>
  <si>
    <t>Mont-Albert</t>
  </si>
  <si>
    <t>04904</t>
  </si>
  <si>
    <t>Coulée-des-Adolphe</t>
  </si>
  <si>
    <t>05010</t>
  </si>
  <si>
    <t>Shigawake</t>
  </si>
  <si>
    <t>05015</t>
  </si>
  <si>
    <t>Saint-Godefroi</t>
  </si>
  <si>
    <t>05020</t>
  </si>
  <si>
    <t>Hope Town</t>
  </si>
  <si>
    <t>05025</t>
  </si>
  <si>
    <t>Hope</t>
  </si>
  <si>
    <t>05032</t>
  </si>
  <si>
    <t>Paspébiac</t>
  </si>
  <si>
    <t>05040</t>
  </si>
  <si>
    <t>New Carlisle</t>
  </si>
  <si>
    <t>05045</t>
  </si>
  <si>
    <t>Bonaventure</t>
  </si>
  <si>
    <t>05050</t>
  </si>
  <si>
    <t>Saint-Elzéar</t>
  </si>
  <si>
    <t>05055</t>
  </si>
  <si>
    <t>Saint-Siméon</t>
  </si>
  <si>
    <t>05060</t>
  </si>
  <si>
    <t>Caplan</t>
  </si>
  <si>
    <t>05065</t>
  </si>
  <si>
    <t>Saint-Alphonse</t>
  </si>
  <si>
    <t>05070</t>
  </si>
  <si>
    <t>New Richmond</t>
  </si>
  <si>
    <t>05077</t>
  </si>
  <si>
    <t>Cascapédia–Saint-Jules</t>
  </si>
  <si>
    <t>05902</t>
  </si>
  <si>
    <t>Rivière-Bonaventure</t>
  </si>
  <si>
    <t>06005</t>
  </si>
  <si>
    <t>Maria</t>
  </si>
  <si>
    <t>06013</t>
  </si>
  <si>
    <t>Carleton-sur-Mer</t>
  </si>
  <si>
    <t>06020</t>
  </si>
  <si>
    <t>Nouvelle</t>
  </si>
  <si>
    <t>06025</t>
  </si>
  <si>
    <t>Escuminac</t>
  </si>
  <si>
    <t>06030</t>
  </si>
  <si>
    <t>Pointe-à-la-Croix</t>
  </si>
  <si>
    <t>06035</t>
  </si>
  <si>
    <t>Ristigouche-Partie-Sud-Est</t>
  </si>
  <si>
    <t>06040</t>
  </si>
  <si>
    <t>Saint-André-de-Restigouche</t>
  </si>
  <si>
    <t>06045</t>
  </si>
  <si>
    <t>Matapédia</t>
  </si>
  <si>
    <t>06050</t>
  </si>
  <si>
    <t>Saint-Alexis-de-Matapédia</t>
  </si>
  <si>
    <t>06055</t>
  </si>
  <si>
    <t>Saint-François-d'Assise</t>
  </si>
  <si>
    <t>06060</t>
  </si>
  <si>
    <t>L'Ascension-de-Patapédia</t>
  </si>
  <si>
    <t>06802</t>
  </si>
  <si>
    <t>Gesgapegiag</t>
  </si>
  <si>
    <t>06804</t>
  </si>
  <si>
    <t>Listuguj</t>
  </si>
  <si>
    <t>06902</t>
  </si>
  <si>
    <t>Rivière-Nouvelle</t>
  </si>
  <si>
    <t>06904</t>
  </si>
  <si>
    <t>Ruisseau-Ferguson</t>
  </si>
  <si>
    <t>07005</t>
  </si>
  <si>
    <t>Sainte-Marguerite-Marie</t>
  </si>
  <si>
    <t>07010</t>
  </si>
  <si>
    <t>Sainte-Florence</t>
  </si>
  <si>
    <t>07018</t>
  </si>
  <si>
    <t>Causapscal</t>
  </si>
  <si>
    <t>07025</t>
  </si>
  <si>
    <t>Albertville</t>
  </si>
  <si>
    <t>07030</t>
  </si>
  <si>
    <t>Saint-Léon-le-Grand</t>
  </si>
  <si>
    <t>07035</t>
  </si>
  <si>
    <t>Saint-Zénon-du-Lac-Humqui</t>
  </si>
  <si>
    <t>07040</t>
  </si>
  <si>
    <t>Sainte-Irène</t>
  </si>
  <si>
    <t>07047</t>
  </si>
  <si>
    <t>Amqui</t>
  </si>
  <si>
    <t>07057</t>
  </si>
  <si>
    <t>Lac-au-Saumon</t>
  </si>
  <si>
    <t>07065</t>
  </si>
  <si>
    <t>Saint-Alexandre-des-Lacs</t>
  </si>
  <si>
    <t>07070</t>
  </si>
  <si>
    <t>Saint-Tharcisius</t>
  </si>
  <si>
    <t>07075</t>
  </si>
  <si>
    <t>Saint-Vianney</t>
  </si>
  <si>
    <t>07080</t>
  </si>
  <si>
    <t>Val-Brillant</t>
  </si>
  <si>
    <t>07085</t>
  </si>
  <si>
    <t>Sayabec</t>
  </si>
  <si>
    <t>07090</t>
  </si>
  <si>
    <t>Saint-Cléophas</t>
  </si>
  <si>
    <t>07095</t>
  </si>
  <si>
    <t>Saint-Moïse</t>
  </si>
  <si>
    <t>07100</t>
  </si>
  <si>
    <t>Saint-Noël</t>
  </si>
  <si>
    <t>07105</t>
  </si>
  <si>
    <t>07902</t>
  </si>
  <si>
    <t>Routhierville</t>
  </si>
  <si>
    <t>07904</t>
  </si>
  <si>
    <t>Rivière-Vaseuse</t>
  </si>
  <si>
    <t>07906</t>
  </si>
  <si>
    <t>Rivière-Patapédia-Est</t>
  </si>
  <si>
    <t>07908</t>
  </si>
  <si>
    <t>Lac-Casault</t>
  </si>
  <si>
    <t>07910</t>
  </si>
  <si>
    <t>Ruisseau-des-Mineurs</t>
  </si>
  <si>
    <t>07912</t>
  </si>
  <si>
    <t>Lac-Alfred</t>
  </si>
  <si>
    <t>07914</t>
  </si>
  <si>
    <t>Lac-Matapédia</t>
  </si>
  <si>
    <t>08005</t>
  </si>
  <si>
    <t>Les Méchins</t>
  </si>
  <si>
    <t>08010</t>
  </si>
  <si>
    <t>Saint-Jean-de-Cherbourg</t>
  </si>
  <si>
    <t>08015</t>
  </si>
  <si>
    <t>Grosses-Roches</t>
  </si>
  <si>
    <t>08023</t>
  </si>
  <si>
    <t>Sainte-Félicité</t>
  </si>
  <si>
    <t>08030</t>
  </si>
  <si>
    <t>Saint-Adelme</t>
  </si>
  <si>
    <t>08035</t>
  </si>
  <si>
    <t>Saint-René-de-Matane</t>
  </si>
  <si>
    <t>08040</t>
  </si>
  <si>
    <t>Sainte-Paule</t>
  </si>
  <si>
    <t>08053</t>
  </si>
  <si>
    <t>Matane</t>
  </si>
  <si>
    <t>08065</t>
  </si>
  <si>
    <t>Saint-Léandre</t>
  </si>
  <si>
    <t>08073</t>
  </si>
  <si>
    <t>Saint-Ulric</t>
  </si>
  <si>
    <t>08080</t>
  </si>
  <si>
    <t>Baie-des-Sables</t>
  </si>
  <si>
    <t>08902</t>
  </si>
  <si>
    <t>Rivière-Bonjour</t>
  </si>
  <si>
    <t>09005</t>
  </si>
  <si>
    <t>La Rédemption</t>
  </si>
  <si>
    <t>09010</t>
  </si>
  <si>
    <t>Saint-Charles-Garnier</t>
  </si>
  <si>
    <t>09015</t>
  </si>
  <si>
    <t>Les Hauteurs</t>
  </si>
  <si>
    <t>09020</t>
  </si>
  <si>
    <t>Sainte-Jeanne-d'Arc</t>
  </si>
  <si>
    <t>09025</t>
  </si>
  <si>
    <t>Saint-Gabriel-de-Rimouski</t>
  </si>
  <si>
    <t>09030</t>
  </si>
  <si>
    <t>Saint-Donat</t>
  </si>
  <si>
    <t>09035</t>
  </si>
  <si>
    <t>Sainte-Angèle-de-Mérici</t>
  </si>
  <si>
    <t>09040</t>
  </si>
  <si>
    <t>Padoue</t>
  </si>
  <si>
    <t>09048</t>
  </si>
  <si>
    <t>Métis-sur-Mer</t>
  </si>
  <si>
    <t>09055</t>
  </si>
  <si>
    <t>Saint-Octave-de-Métis</t>
  </si>
  <si>
    <t>09060</t>
  </si>
  <si>
    <t>Grand-Métis</t>
  </si>
  <si>
    <t>09065</t>
  </si>
  <si>
    <t>Price</t>
  </si>
  <si>
    <t>09070</t>
  </si>
  <si>
    <t>Saint-Joseph-de-Lepage</t>
  </si>
  <si>
    <t>09077</t>
  </si>
  <si>
    <t>Mont-Joli</t>
  </si>
  <si>
    <t>09085</t>
  </si>
  <si>
    <t>Sainte-Flavie</t>
  </si>
  <si>
    <t>09092</t>
  </si>
  <si>
    <t>Sainte-Luce</t>
  </si>
  <si>
    <t>09902</t>
  </si>
  <si>
    <t>Lac-des-Eaux-Mortes</t>
  </si>
  <si>
    <t>09904</t>
  </si>
  <si>
    <t>Lac-à-la-Croix</t>
  </si>
  <si>
    <t>Esprit-Saint</t>
  </si>
  <si>
    <t>La Trinité-des-Monts</t>
  </si>
  <si>
    <t>Saint-Narcisse-de-Rimouski</t>
  </si>
  <si>
    <t>Saint-Marcellin</t>
  </si>
  <si>
    <t>Saint-Anaclet-de-Lessard</t>
  </si>
  <si>
    <t>Rimouski</t>
  </si>
  <si>
    <t>Saint-Fabien</t>
  </si>
  <si>
    <t>Saint-Eugène-de-Ladrière</t>
  </si>
  <si>
    <t>Lac-Huron</t>
  </si>
  <si>
    <t>Saint-Clément</t>
  </si>
  <si>
    <t>Saint-Jean-de-Dieu</t>
  </si>
  <si>
    <t>Sainte-Rita</t>
  </si>
  <si>
    <t>Saint-Guy</t>
  </si>
  <si>
    <t>Saint-Médard</t>
  </si>
  <si>
    <t>Sainte-Françoise</t>
  </si>
  <si>
    <t>Saint-Éloi</t>
  </si>
  <si>
    <t>Trois-Pistoles</t>
  </si>
  <si>
    <t>Notre-Dame-des-Neiges</t>
  </si>
  <si>
    <t>Saint-Mathieu-de-Rioux</t>
  </si>
  <si>
    <t>Lac-Boisbouscache</t>
  </si>
  <si>
    <t>Saint-Cyprien</t>
  </si>
  <si>
    <t>Saint-Hubert-de-Rivière-du-Loup</t>
  </si>
  <si>
    <t>Saint-Antonin</t>
  </si>
  <si>
    <t>Saint-Modeste</t>
  </si>
  <si>
    <t>Saint-François-Xavier-de-Viger</t>
  </si>
  <si>
    <t>Saint-Épiphane</t>
  </si>
  <si>
    <t>Saint-Paul-de-la-Croix</t>
  </si>
  <si>
    <t>L'Isle-Verte</t>
  </si>
  <si>
    <t>Notre-Dame-des-Sept-Douleurs</t>
  </si>
  <si>
    <t>Cacouna</t>
  </si>
  <si>
    <t>Saint-Arsène</t>
  </si>
  <si>
    <t>Rivière-du-Loup</t>
  </si>
  <si>
    <t>Notre-Dame-du-Portage</t>
  </si>
  <si>
    <t>Whitworth</t>
  </si>
  <si>
    <t>Dégelis</t>
  </si>
  <si>
    <t>Saint-Jean-de-la-Lande</t>
  </si>
  <si>
    <t>Packington</t>
  </si>
  <si>
    <t>Saint-Marc-du-Lac-Long</t>
  </si>
  <si>
    <t>Rivière-Bleue</t>
  </si>
  <si>
    <t>Saint-Eusèbe</t>
  </si>
  <si>
    <t>Saint-Juste-du-Lac</t>
  </si>
  <si>
    <t>Auclair</t>
  </si>
  <si>
    <t>Lejeune</t>
  </si>
  <si>
    <t>Biencourt</t>
  </si>
  <si>
    <t>Lac-des-Aigles</t>
  </si>
  <si>
    <t>Saint-Michel-du-Squatec</t>
  </si>
  <si>
    <t>Témiscouata-sur-le-Lac</t>
  </si>
  <si>
    <t>Saint-Pierre-de-Lamy</t>
  </si>
  <si>
    <t>Saint-Louis-du-Ha! Ha!</t>
  </si>
  <si>
    <t>Saint-Elzéar-de-Témiscouata</t>
  </si>
  <si>
    <t>Saint-Honoré-de-Témiscouata</t>
  </si>
  <si>
    <t>Pohénégamook</t>
  </si>
  <si>
    <t>Saint-Athanase</t>
  </si>
  <si>
    <t>Mont-Carmel</t>
  </si>
  <si>
    <t>Saint-Bruno-de-Kamouraska</t>
  </si>
  <si>
    <t>Saint-Pascal</t>
  </si>
  <si>
    <t>Saint-Joseph-de-Kamouraska</t>
  </si>
  <si>
    <t>Saint-Alexandre-de-Kamouraska</t>
  </si>
  <si>
    <t>Saint-André</t>
  </si>
  <si>
    <t>Saint-Germain</t>
  </si>
  <si>
    <t>Kamouraska</t>
  </si>
  <si>
    <t>Saint-Denis-De La Bouteillerie</t>
  </si>
  <si>
    <t>Saint-Philippe-de-Néri</t>
  </si>
  <si>
    <t>Rivière-Ouelle</t>
  </si>
  <si>
    <t>Saint-Pacôme</t>
  </si>
  <si>
    <t>Saint-Gabriel-Lalemant</t>
  </si>
  <si>
    <t>Saint-Onésime-d'Ixworth</t>
  </si>
  <si>
    <t>La Pocatière</t>
  </si>
  <si>
    <t>Sainte-Anne-de-la-Pocatière</t>
  </si>
  <si>
    <t>Picard</t>
  </si>
  <si>
    <t>Petit-Lac-Sainte-Anne</t>
  </si>
  <si>
    <t>Saint-Irénée</t>
  </si>
  <si>
    <t>La Malbaie</t>
  </si>
  <si>
    <t>Notre-Dame-des-Monts</t>
  </si>
  <si>
    <t>Saint-Aimé-des-Lacs</t>
  </si>
  <si>
    <t>Clermont</t>
  </si>
  <si>
    <t>Baie-Sainte-Catherine</t>
  </si>
  <si>
    <t>Mont-Élie</t>
  </si>
  <si>
    <t>Sagard</t>
  </si>
  <si>
    <t>Petite-Rivière-Saint-François</t>
  </si>
  <si>
    <t>Baie-Saint-Paul</t>
  </si>
  <si>
    <t>L'Isle-aux-Coudres</t>
  </si>
  <si>
    <t>Les Éboulements</t>
  </si>
  <si>
    <t>Saint-Hilarion</t>
  </si>
  <si>
    <t>Saint-Urbain</t>
  </si>
  <si>
    <t>Lac-Pikauba</t>
  </si>
  <si>
    <t>Saint-Omer</t>
  </si>
  <si>
    <t>Saint-Pamphile</t>
  </si>
  <si>
    <t>Saint-Adalbert</t>
  </si>
  <si>
    <t>Sainte-Perpétue</t>
  </si>
  <si>
    <t>Tourville</t>
  </si>
  <si>
    <t>Saint-Damase-de-L'Islet</t>
  </si>
  <si>
    <t>Saint-Cyrille-de-Lessard</t>
  </si>
  <si>
    <t>Saint-Aubert</t>
  </si>
  <si>
    <t>Sainte-Louise</t>
  </si>
  <si>
    <t>Saint-Roch-des-Aulnaies</t>
  </si>
  <si>
    <t>Saint-Jean-Port-Joli</t>
  </si>
  <si>
    <t>L'Islet</t>
  </si>
  <si>
    <t>Saint-Just-de-Bretenières</t>
  </si>
  <si>
    <t>Lac-Frontière</t>
  </si>
  <si>
    <t>Saint-Fabien-de-Panet</t>
  </si>
  <si>
    <t>Sainte-Lucie-de-Beauregard</t>
  </si>
  <si>
    <t>Sainte-Apolline-de-Patton</t>
  </si>
  <si>
    <t>Saint-Paul-de-Montminy</t>
  </si>
  <si>
    <t>Sainte-Euphémie-sur-Rivière-du-Sud</t>
  </si>
  <si>
    <t>Notre-Dame-du-Rosaire</t>
  </si>
  <si>
    <t>Cap-Saint-Ignace</t>
  </si>
  <si>
    <t>Montmagny</t>
  </si>
  <si>
    <t>Saint-Pierre-de-la-Rivière-du-Sud</t>
  </si>
  <si>
    <t>Saint-François-de-la-Rivière-du-Sud</t>
  </si>
  <si>
    <t>Berthier-sur-Mer</t>
  </si>
  <si>
    <t>Saint-Antoine-de-l'Isle-aux-Grues</t>
  </si>
  <si>
    <t>Saint-Philémon</t>
  </si>
  <si>
    <t>Notre-Dame-Auxiliatrice-de-Buckland</t>
  </si>
  <si>
    <t>Saint-Nazaire-de-Dorchester</t>
  </si>
  <si>
    <t>Saint-Léon-de-Standon</t>
  </si>
  <si>
    <t>Saint-Malachie</t>
  </si>
  <si>
    <t>Saint-Damien-de-Buckland</t>
  </si>
  <si>
    <t>Armagh</t>
  </si>
  <si>
    <t>Saint-Nérée-de-Bellechasse</t>
  </si>
  <si>
    <t>Saint-Lazare-de-Bellechasse</t>
  </si>
  <si>
    <t>Sainte-Claire</t>
  </si>
  <si>
    <t>Saint-Anselme</t>
  </si>
  <si>
    <t>Saint-Henri</t>
  </si>
  <si>
    <t>Honfleur</t>
  </si>
  <si>
    <t>Saint-Gervais</t>
  </si>
  <si>
    <t>Saint-Raphaël</t>
  </si>
  <si>
    <t>La Durantaye</t>
  </si>
  <si>
    <t>Saint-Charles-de-Bellechasse</t>
  </si>
  <si>
    <t>Beaumont</t>
  </si>
  <si>
    <t>Saint-Michel-de-Bellechasse</t>
  </si>
  <si>
    <t>Saint-Vallier</t>
  </si>
  <si>
    <t>Saint-François-de-l'Île-d'Orléans</t>
  </si>
  <si>
    <t>Sainte-Famille</t>
  </si>
  <si>
    <t>Saint-Jean-de-l'Île-d'Orléans</t>
  </si>
  <si>
    <t>Saint-Laurent-de-l'Île-d'Orléans</t>
  </si>
  <si>
    <t>Saint-Pierre-de-l'Île-d'Orléans</t>
  </si>
  <si>
    <t>Sainte-Pétronille</t>
  </si>
  <si>
    <t>Saint-Tite-des-Caps</t>
  </si>
  <si>
    <t>Saint-Ferréol-les-Neiges</t>
  </si>
  <si>
    <t>Saint-Louis-de-Gonzague-du-Cap-Tourmente</t>
  </si>
  <si>
    <t>Saint-Joachim</t>
  </si>
  <si>
    <t>Beaupré</t>
  </si>
  <si>
    <t>Sainte-Anne-de-Beaupré</t>
  </si>
  <si>
    <t>Château-Richer</t>
  </si>
  <si>
    <t>L'Ange-Gardien</t>
  </si>
  <si>
    <t>Boischatel</t>
  </si>
  <si>
    <t>Sault-au-Cochon</t>
  </si>
  <si>
    <t>Lac-Jacques-Cartier</t>
  </si>
  <si>
    <t>Sainte-Catherine-de-la-Jacques-Cartier</t>
  </si>
  <si>
    <t>Fossambault-sur-le-Lac</t>
  </si>
  <si>
    <t>Lac-Saint-Joseph</t>
  </si>
  <si>
    <t>Shannon</t>
  </si>
  <si>
    <t>Saint-Gabriel-de-Valcartier</t>
  </si>
  <si>
    <t>Lac-Delage</t>
  </si>
  <si>
    <t>Stoneham-et-Tewkesbury</t>
  </si>
  <si>
    <t>Lac-Beauport</t>
  </si>
  <si>
    <t>Sainte-Brigitte-de-Laval</t>
  </si>
  <si>
    <t>Lac-Croche</t>
  </si>
  <si>
    <t>Notre-Dame-des-Anges</t>
  </si>
  <si>
    <t>Québec</t>
  </si>
  <si>
    <t>L'Ancienne-Lorette</t>
  </si>
  <si>
    <t>Saint-Augustin-de-Desmaures</t>
  </si>
  <si>
    <t>Wendake</t>
  </si>
  <si>
    <t>Lévis</t>
  </si>
  <si>
    <t>Frampton</t>
  </si>
  <si>
    <t>Saints-Anges</t>
  </si>
  <si>
    <t>Vallée-Jonction</t>
  </si>
  <si>
    <t>Sainte-Marie</t>
  </si>
  <si>
    <t>Sainte-Marguerite</t>
  </si>
  <si>
    <t>Sainte-Hénédine</t>
  </si>
  <si>
    <t>Scott</t>
  </si>
  <si>
    <t>Saint-Bernard</t>
  </si>
  <si>
    <t>Saint-Isidore</t>
  </si>
  <si>
    <t>Saint-Lambert-de-Lauzon</t>
  </si>
  <si>
    <t>Saint-Victor</t>
  </si>
  <si>
    <t>Saint-Alfred</t>
  </si>
  <si>
    <t>Beauceville</t>
  </si>
  <si>
    <t>Saint-Odilon-de-Cranbourne</t>
  </si>
  <si>
    <t>Saint-Joseph-de-Beauce</t>
  </si>
  <si>
    <t>Saint-Joseph-des-Érables</t>
  </si>
  <si>
    <t>Saint-Jules</t>
  </si>
  <si>
    <t>Tring-Jonction</t>
  </si>
  <si>
    <t>Saint-Frédéric</t>
  </si>
  <si>
    <t>Saint-Séverin</t>
  </si>
  <si>
    <t>Saint-Zacharie</t>
  </si>
  <si>
    <t>Sainte-Aurélie</t>
  </si>
  <si>
    <t>Saint-Prosper</t>
  </si>
  <si>
    <t>Saint-Benjamin</t>
  </si>
  <si>
    <t>Sainte-Rose-de-Watford</t>
  </si>
  <si>
    <t>Saint-Louis-de-Gonzague</t>
  </si>
  <si>
    <t>Sainte-Justine</t>
  </si>
  <si>
    <t>Lac-Etchemin</t>
  </si>
  <si>
    <t>Saint-Luc-de-Bellechasse</t>
  </si>
  <si>
    <t>Sainte-Sabine</t>
  </si>
  <si>
    <t>Saint-Camille-de-Lellis</t>
  </si>
  <si>
    <t>Saint-Magloire</t>
  </si>
  <si>
    <t>Saint-Théophile</t>
  </si>
  <si>
    <t>Saint-Gédéon-de-Beauce</t>
  </si>
  <si>
    <t>Saint-Hilaire-de-Dorset</t>
  </si>
  <si>
    <t>Saint-Évariste-de-Forsyth</t>
  </si>
  <si>
    <t>La Guadeloupe</t>
  </si>
  <si>
    <t>Saint-Honoré-de-Shenley</t>
  </si>
  <si>
    <t>Saint-Martin</t>
  </si>
  <si>
    <t>Saint-René</t>
  </si>
  <si>
    <t>Saint-Côme–Linière</t>
  </si>
  <si>
    <t>Saint-Philibert</t>
  </si>
  <si>
    <t>Saint-Georges</t>
  </si>
  <si>
    <t>Lac-Poulin</t>
  </si>
  <si>
    <t>Saint-Benoît-Labre</t>
  </si>
  <si>
    <t>Saint-Éphrem-de-Beauce</t>
  </si>
  <si>
    <t>Notre-Dame-des-Pins</t>
  </si>
  <si>
    <t>Saint-Simon-les-Mines</t>
  </si>
  <si>
    <t>Saint-Augustin-de-Woburn</t>
  </si>
  <si>
    <t>Notre-Dame-des-Bois</t>
  </si>
  <si>
    <t>Val-Racine</t>
  </si>
  <si>
    <t>Piopolis</t>
  </si>
  <si>
    <t>Frontenac</t>
  </si>
  <si>
    <t>Lac-Mégantic</t>
  </si>
  <si>
    <t>Marston</t>
  </si>
  <si>
    <t>Milan</t>
  </si>
  <si>
    <t>Nantes</t>
  </si>
  <si>
    <t>Sainte-Cécile-de-Whitton</t>
  </si>
  <si>
    <t>Audet</t>
  </si>
  <si>
    <t>Saint-Robert-Bellarmin</t>
  </si>
  <si>
    <t>Saint-Ludger</t>
  </si>
  <si>
    <t>Lac-Drolet</t>
  </si>
  <si>
    <t>Saint-Sébastien</t>
  </si>
  <si>
    <t>Courcelles</t>
  </si>
  <si>
    <t>Lambton</t>
  </si>
  <si>
    <t>Saint-Romain</t>
  </si>
  <si>
    <t>Stornoway</t>
  </si>
  <si>
    <t>Stratford</t>
  </si>
  <si>
    <t>Beaulac-Garthby</t>
  </si>
  <si>
    <t>Disraeli</t>
  </si>
  <si>
    <t>Saint-Jacques-le-Majeur-de-Wolfestown</t>
  </si>
  <si>
    <t>Saint-Fortunat</t>
  </si>
  <si>
    <t>Saint-Julien</t>
  </si>
  <si>
    <t>Irlande</t>
  </si>
  <si>
    <t>Saint-Joseph-de-Coleraine</t>
  </si>
  <si>
    <t>Sainte-Praxède</t>
  </si>
  <si>
    <t>Adstock</t>
  </si>
  <si>
    <t>Sainte-Clotilde-de-Beauce</t>
  </si>
  <si>
    <t>Thetford Mines</t>
  </si>
  <si>
    <t>Saint-Adrien-d'Irlande</t>
  </si>
  <si>
    <t>Saint-Jean-de-Brébeuf</t>
  </si>
  <si>
    <t>Kinnear's Mills</t>
  </si>
  <si>
    <t>East Broughton</t>
  </si>
  <si>
    <t>Sacré-Coeur-de-Jésus</t>
  </si>
  <si>
    <t>Saint-Pierre-de-Broughton</t>
  </si>
  <si>
    <t>Saint-Jacques-de-Leeds</t>
  </si>
  <si>
    <t>Saint-Ferdinand</t>
  </si>
  <si>
    <t>Sainte-Sophie-d'Halifax</t>
  </si>
  <si>
    <t>Princeville</t>
  </si>
  <si>
    <t>Plessisville</t>
  </si>
  <si>
    <t>Saint-Pierre-Baptiste</t>
  </si>
  <si>
    <t>Inverness</t>
  </si>
  <si>
    <t>Lyster</t>
  </si>
  <si>
    <t>Laurierville</t>
  </si>
  <si>
    <t>Notre-Dame-de-Lourdes</t>
  </si>
  <si>
    <t>Villeroy</t>
  </si>
  <si>
    <t>Saint-Sylvestre</t>
  </si>
  <si>
    <t>Sainte-Agathe-de-Lotbinière</t>
  </si>
  <si>
    <t>Saint-Patrice-de-Beaurivage</t>
  </si>
  <si>
    <t>Saint-Narcisse-de-Beaurivage</t>
  </si>
  <si>
    <t>Saint-Gilles</t>
  </si>
  <si>
    <t>Dosquet</t>
  </si>
  <si>
    <t>Saint-Agapit</t>
  </si>
  <si>
    <t>Saint-Flavien</t>
  </si>
  <si>
    <t>Laurier-Station</t>
  </si>
  <si>
    <t>Saint-Janvier-de-Joly</t>
  </si>
  <si>
    <t>Val-Alain</t>
  </si>
  <si>
    <t>Saint-Édouard-de-Lotbinière</t>
  </si>
  <si>
    <t>Notre-Dame-du-Sacré-Coeur-d'Issoudun</t>
  </si>
  <si>
    <t>Saint-Apollinaire</t>
  </si>
  <si>
    <t>Saint-Antoine-de-Tilly</t>
  </si>
  <si>
    <t>Sainte-Croix</t>
  </si>
  <si>
    <t>Lotbinière</t>
  </si>
  <si>
    <t>Leclercville</t>
  </si>
  <si>
    <t>Neuville</t>
  </si>
  <si>
    <t>Pont-Rouge</t>
  </si>
  <si>
    <t>Donnacona</t>
  </si>
  <si>
    <t>Cap-Santé</t>
  </si>
  <si>
    <t>Saint-Basile</t>
  </si>
  <si>
    <t>Portneuf</t>
  </si>
  <si>
    <t>Deschambault-Grondines</t>
  </si>
  <si>
    <t>Saint-Gilbert</t>
  </si>
  <si>
    <t>Saint-Marc-des-Carrières</t>
  </si>
  <si>
    <t>Saint-Casimir</t>
  </si>
  <si>
    <t>Saint-Thuribe</t>
  </si>
  <si>
    <t>Saint-Ubalde</t>
  </si>
  <si>
    <t>Saint-Alban</t>
  </si>
  <si>
    <t>Sainte-Christine-d'Auvergne</t>
  </si>
  <si>
    <t>Saint-Léonard-de-Portneuf</t>
  </si>
  <si>
    <t>Lac-Sergent</t>
  </si>
  <si>
    <t>Saint-Raymond</t>
  </si>
  <si>
    <t>Rivière-à-Pierre</t>
  </si>
  <si>
    <t>Lac-Blanc</t>
  </si>
  <si>
    <t>Linton</t>
  </si>
  <si>
    <t>Lac-Lapeyrère</t>
  </si>
  <si>
    <t>Notre-Dame-de-Montauban</t>
  </si>
  <si>
    <t>Lac-aux-Sables</t>
  </si>
  <si>
    <t>Saint-Adelphe</t>
  </si>
  <si>
    <t>Saint-Tite</t>
  </si>
  <si>
    <t>Hérouxville</t>
  </si>
  <si>
    <t>Grandes-Piles</t>
  </si>
  <si>
    <t>Saint-Roch-de-Mékinac</t>
  </si>
  <si>
    <t>Sainte-Thècle</t>
  </si>
  <si>
    <t>Trois-Rives</t>
  </si>
  <si>
    <t>Lac-Masketsi</t>
  </si>
  <si>
    <t>Lac-Normand</t>
  </si>
  <si>
    <t>Rivière-de-la-Savane</t>
  </si>
  <si>
    <t>Lac-Boulé</t>
  </si>
  <si>
    <t>Shawinigan</t>
  </si>
  <si>
    <t>Trois-Rivières</t>
  </si>
  <si>
    <t>Sainte-Anne-de-la-Pérade</t>
  </si>
  <si>
    <t>Batiscan</t>
  </si>
  <si>
    <t>Sainte-Geneviève-de-Batiscan</t>
  </si>
  <si>
    <t>Champlain</t>
  </si>
  <si>
    <t>Saint-Luc-de-Vincennes</t>
  </si>
  <si>
    <t>Saint-Maurice</t>
  </si>
  <si>
    <t>Notre-Dame-du-Mont-Carmel</t>
  </si>
  <si>
    <t>Saint-Narcisse</t>
  </si>
  <si>
    <t>Saint-Stanislas</t>
  </si>
  <si>
    <t>Saint-Prosper-de-Champlain</t>
  </si>
  <si>
    <t>Saint-Sylvère</t>
  </si>
  <si>
    <t>Bécancour</t>
  </si>
  <si>
    <t>Sainte-Marie-de-Blandford</t>
  </si>
  <si>
    <t>Lemieux</t>
  </si>
  <si>
    <t>Manseau</t>
  </si>
  <si>
    <t>Sainte-Sophie-de-Lévrard</t>
  </si>
  <si>
    <t>Fortierville</t>
  </si>
  <si>
    <t>Parisville</t>
  </si>
  <si>
    <t>Sainte-Cécile-de-Lévrard</t>
  </si>
  <si>
    <t>Saint-Pierre-les-Becquets</t>
  </si>
  <si>
    <t>Deschaillons-sur-Saint-Laurent</t>
  </si>
  <si>
    <t>Wôlinak</t>
  </si>
  <si>
    <t>Saints-Martyrs-Canadiens</t>
  </si>
  <si>
    <t>Ham-Nord</t>
  </si>
  <si>
    <t>Notre-Dame-de-Ham</t>
  </si>
  <si>
    <t>Saint-Rémi-de-Tingwick</t>
  </si>
  <si>
    <t>Tingwick</t>
  </si>
  <si>
    <t>Chesterville</t>
  </si>
  <si>
    <t>Sainte-Hélène-de-Chester</t>
  </si>
  <si>
    <t>Saint-Norbert-d'Arthabaska</t>
  </si>
  <si>
    <t>Saint-Christophe-d'Arthabaska</t>
  </si>
  <si>
    <t>Victoriaville</t>
  </si>
  <si>
    <t>Warwick</t>
  </si>
  <si>
    <t>Saint-Albert</t>
  </si>
  <si>
    <t>Sainte-Élizabeth-de-Warwick</t>
  </si>
  <si>
    <t>Kingsey Falls</t>
  </si>
  <si>
    <t>Sainte-Séraphine</t>
  </si>
  <si>
    <t>Sainte-Clotilde-de-Horton</t>
  </si>
  <si>
    <t>Saint-Samuel</t>
  </si>
  <si>
    <t>Saint-Valère</t>
  </si>
  <si>
    <t>Saint-Rosaire</t>
  </si>
  <si>
    <t>Sainte-Anne-du-Sault</t>
  </si>
  <si>
    <t>Daveluyville</t>
  </si>
  <si>
    <t>Maddington</t>
  </si>
  <si>
    <t>Saint-Louis-de-Blandford</t>
  </si>
  <si>
    <t>Ham-Sud</t>
  </si>
  <si>
    <t>Saint-Adrien</t>
  </si>
  <si>
    <t>Wotton</t>
  </si>
  <si>
    <t>Saint-Camille</t>
  </si>
  <si>
    <t>Saint-Georges-de-Windsor</t>
  </si>
  <si>
    <t>Asbestos</t>
  </si>
  <si>
    <t>Danville</t>
  </si>
  <si>
    <t>Saint-Isidore-de-Clifton</t>
  </si>
  <si>
    <t>Chartierville</t>
  </si>
  <si>
    <t>La Patrie</t>
  </si>
  <si>
    <t>Newport</t>
  </si>
  <si>
    <t>Cookshire-Eaton</t>
  </si>
  <si>
    <t>Ascot Corner</t>
  </si>
  <si>
    <t>East Angus</t>
  </si>
  <si>
    <t>Westbury</t>
  </si>
  <si>
    <t>Bury</t>
  </si>
  <si>
    <t>Hampden</t>
  </si>
  <si>
    <t>Scotstown</t>
  </si>
  <si>
    <t>Lingwick</t>
  </si>
  <si>
    <t>Weedon</t>
  </si>
  <si>
    <t>Dudswell</t>
  </si>
  <si>
    <t>Stoke</t>
  </si>
  <si>
    <t>Saint-François-Xavier-de-Brompton</t>
  </si>
  <si>
    <t>Saint-Denis-de-Brompton</t>
  </si>
  <si>
    <t>Racine</t>
  </si>
  <si>
    <t>Bonsecours</t>
  </si>
  <si>
    <t>Lawrenceville</t>
  </si>
  <si>
    <t>Sainte-Anne-de-la-Rochelle</t>
  </si>
  <si>
    <t>Valcourt</t>
  </si>
  <si>
    <t>Maricourt</t>
  </si>
  <si>
    <t>Kingsbury</t>
  </si>
  <si>
    <t>Melbourne</t>
  </si>
  <si>
    <t>Ulverton</t>
  </si>
  <si>
    <t>Windsor</t>
  </si>
  <si>
    <t>Val-Joli</t>
  </si>
  <si>
    <t>Richmond</t>
  </si>
  <si>
    <t>Saint-Claude</t>
  </si>
  <si>
    <t>Cleveland</t>
  </si>
  <si>
    <t>Sherbrooke</t>
  </si>
  <si>
    <t>Rang 2e</t>
  </si>
  <si>
    <t>Rang 3e</t>
  </si>
  <si>
    <t>Ruelle du 3-Septembre</t>
  </si>
  <si>
    <t>Rang 4e</t>
  </si>
  <si>
    <t>Rang 5e</t>
  </si>
  <si>
    <t>Montée Adam</t>
  </si>
  <si>
    <t>Rue Adrien-Malo</t>
  </si>
  <si>
    <t>Avenue de l'Aéroport</t>
  </si>
  <si>
    <t>Avenue de l'Aigle</t>
  </si>
  <si>
    <t>Rue Alban-Brazeau</t>
  </si>
  <si>
    <t>Avenue de l'Albatros</t>
  </si>
  <si>
    <t>Avenue Albert-Maltais</t>
  </si>
  <si>
    <t>Passage Alexandre</t>
  </si>
  <si>
    <t>Avenue Alexandre-Campbell</t>
  </si>
  <si>
    <t>Avenue Aline-Letendre</t>
  </si>
  <si>
    <t>Avenue Allaire</t>
  </si>
  <si>
    <t>Impasse de l'Anse</t>
  </si>
  <si>
    <t>Avenue Antoine-Cabana</t>
  </si>
  <si>
    <t>Avenue Archambault</t>
  </si>
  <si>
    <t>Chemin l'Archer</t>
  </si>
  <si>
    <t>Avenue Aristide</t>
  </si>
  <si>
    <t>Impasse Arsenault</t>
  </si>
  <si>
    <t>Rue Arthur-Péloquin</t>
  </si>
  <si>
    <t>Chemin des Artisans</t>
  </si>
  <si>
    <t>Avenue des Ateliers</t>
  </si>
  <si>
    <t>Avenue d' Auvergne</t>
  </si>
  <si>
    <t>Rue Bachand</t>
  </si>
  <si>
    <t>Rue Barré</t>
  </si>
  <si>
    <t>Avenue Barrette</t>
  </si>
  <si>
    <t>Rue Barsalou</t>
  </si>
  <si>
    <t>Rang du Bas-Corbin</t>
  </si>
  <si>
    <t>Rue des Bazars</t>
  </si>
  <si>
    <t>Rue Beaubien</t>
  </si>
  <si>
    <t>Avenue Beaudry</t>
  </si>
  <si>
    <t>Avenue Beaulieu</t>
  </si>
  <si>
    <t>Avenue Beauparlant</t>
  </si>
  <si>
    <t>Rue Beauregard</t>
  </si>
  <si>
    <t>Rue Bel-Air</t>
  </si>
  <si>
    <t>Rue Bellemare</t>
  </si>
  <si>
    <t>Rue de la Belle-Vue</t>
  </si>
  <si>
    <t>Rue Benoit</t>
  </si>
  <si>
    <t>Avenue Bérard</t>
  </si>
  <si>
    <t>Chemin Bérard</t>
  </si>
  <si>
    <t>Avenue Bergeron</t>
  </si>
  <si>
    <t>Rue Bernard</t>
  </si>
  <si>
    <t>Rue Bernard-Lamontagne</t>
  </si>
  <si>
    <t>Avenue Bernier</t>
  </si>
  <si>
    <t>Rue Bertrand</t>
  </si>
  <si>
    <t>Rue Bibeau</t>
  </si>
  <si>
    <t>Avenue Bienvenue</t>
  </si>
  <si>
    <t>Avenue Bienville</t>
  </si>
  <si>
    <t>Rue Biron</t>
  </si>
  <si>
    <t>Rue Blanchard</t>
  </si>
  <si>
    <t>Rue Blanchet</t>
  </si>
  <si>
    <t>Rue des Blés</t>
  </si>
  <si>
    <t>Rue Blier</t>
  </si>
  <si>
    <t>Rue Blondin</t>
  </si>
  <si>
    <t>Rue Bobby-Hachey</t>
  </si>
  <si>
    <t>Avenue Bois</t>
  </si>
  <si>
    <t>Impasse du Bord-de-l'Eau</t>
  </si>
  <si>
    <t>Place Bouchard</t>
  </si>
  <si>
    <t>Rue des Bouleaux</t>
  </si>
  <si>
    <t>Avenue Boullé</t>
  </si>
  <si>
    <t>Rue Bourassa</t>
  </si>
  <si>
    <t>Avenue Bourdages Nord</t>
  </si>
  <si>
    <t>Avenue Bourdages Sud</t>
  </si>
  <si>
    <t>Avenue Bourget</t>
  </si>
  <si>
    <t>Avenue Bourque</t>
  </si>
  <si>
    <t>Avenue Bousquet</t>
  </si>
  <si>
    <t>Rue Bouthillier</t>
  </si>
  <si>
    <t>Rue Bovey</t>
  </si>
  <si>
    <t>Avenue Brabant</t>
  </si>
  <si>
    <t>Rue Brébeuf</t>
  </si>
  <si>
    <t>Impasse Breton</t>
  </si>
  <si>
    <t>Rue de Brie</t>
  </si>
  <si>
    <t>Rue des Brises</t>
  </si>
  <si>
    <t>Avenue Brodeur</t>
  </si>
  <si>
    <t>Rue Brouillette</t>
  </si>
  <si>
    <t>Rue des Buissons</t>
  </si>
  <si>
    <t>Impasse du Caddy</t>
  </si>
  <si>
    <t>Rue Calixa-Lavallée</t>
  </si>
  <si>
    <t>Avenue Camille-Fontaine</t>
  </si>
  <si>
    <t>Avenue Carignan</t>
  </si>
  <si>
    <t>Avenue de Carillon</t>
  </si>
  <si>
    <t>Impasse de Carillon</t>
  </si>
  <si>
    <t>Rue Cartier</t>
  </si>
  <si>
    <t>Boulevard Casavant Est</t>
  </si>
  <si>
    <t>Boulevard Casavant Ouest</t>
  </si>
  <si>
    <t>Rue des Cascades</t>
  </si>
  <si>
    <t>Avenue Castelneau</t>
  </si>
  <si>
    <t>Rue des Catalpas</t>
  </si>
  <si>
    <t>Rue Cayouette</t>
  </si>
  <si>
    <t>Avenue des Cèdres</t>
  </si>
  <si>
    <t>Avenue Centrale</t>
  </si>
  <si>
    <t>Rue des Cerisiers</t>
  </si>
  <si>
    <t>Avenue Chabot</t>
  </si>
  <si>
    <t>Rue Chagnon</t>
  </si>
  <si>
    <t>Rue du Chaînon</t>
  </si>
  <si>
    <t>Place Chalifoux</t>
  </si>
  <si>
    <t>Avenue Chambly</t>
  </si>
  <si>
    <t>Avenue Champagnat</t>
  </si>
  <si>
    <t>Rue Champêtre</t>
  </si>
  <si>
    <t>Avenue Champlain</t>
  </si>
  <si>
    <t>Avenue des Champs</t>
  </si>
  <si>
    <t>Avenue Chapais</t>
  </si>
  <si>
    <t>Avenue Chapleau</t>
  </si>
  <si>
    <t>Avenue Charles-G. Racicot</t>
  </si>
  <si>
    <t>Avenue Charron</t>
  </si>
  <si>
    <t>Avenue Chartier</t>
  </si>
  <si>
    <t>Avenue Châteauguay</t>
  </si>
  <si>
    <t>Ruelle des Cheminots</t>
  </si>
  <si>
    <t>Rue du Chêne</t>
  </si>
  <si>
    <t>Avenue Chénier</t>
  </si>
  <si>
    <t>Rue Cherrier</t>
  </si>
  <si>
    <t>Avenue Chevigny</t>
  </si>
  <si>
    <t>Avenue Chicoine</t>
  </si>
  <si>
    <t>Avenue Choquette</t>
  </si>
  <si>
    <t>Boulevard Choquette</t>
  </si>
  <si>
    <t>Avenue de Claire-Vallée</t>
  </si>
  <si>
    <t>Rue du Clocher</t>
  </si>
  <si>
    <t>Avenue Colbert</t>
  </si>
  <si>
    <t>Rue Comtois</t>
  </si>
  <si>
    <t>Avenue de la Concorde Nord</t>
  </si>
  <si>
    <t>Avenue de la Concorde Sud</t>
  </si>
  <si>
    <t>Chemin de la Coopérative</t>
  </si>
  <si>
    <t>Avenue Corbeil</t>
  </si>
  <si>
    <t>Avenue Cordeau</t>
  </si>
  <si>
    <t>Avenue des Cormiers</t>
  </si>
  <si>
    <t>Avenue Côté</t>
  </si>
  <si>
    <t>Chemin Côté</t>
  </si>
  <si>
    <t>Avenue de la Coulée</t>
  </si>
  <si>
    <t>Avenue Coulonge</t>
  </si>
  <si>
    <t>Impasse de la Coupe</t>
  </si>
  <si>
    <t>Avenue Courcelle</t>
  </si>
  <si>
    <t>Rue du Couvent-de-Lorette</t>
  </si>
  <si>
    <t>Avenue Crémazie</t>
  </si>
  <si>
    <t>Rue du Crépuscule</t>
  </si>
  <si>
    <t>Rue Crevier</t>
  </si>
  <si>
    <t>Avenue Cusson</t>
  </si>
  <si>
    <t>Chemin Daigneault</t>
  </si>
  <si>
    <t>Rue Dalaire</t>
  </si>
  <si>
    <t>Boulevard Dansereau</t>
  </si>
  <si>
    <t>Avenue D'Argencourt</t>
  </si>
  <si>
    <t>Impasse D'Arsigny</t>
  </si>
  <si>
    <t>Rue Darsigny Sud</t>
  </si>
  <si>
    <t>Avenue De Beaujeu</t>
  </si>
  <si>
    <t>Avenue De la Bruère</t>
  </si>
  <si>
    <t>Rue De Lanaudière</t>
  </si>
  <si>
    <t>Avenue De Meulles</t>
  </si>
  <si>
    <t>Rue Decelles</t>
  </si>
  <si>
    <t>Rue Delorme</t>
  </si>
  <si>
    <t>Avenue Demers</t>
  </si>
  <si>
    <t>Avenue Denonville</t>
  </si>
  <si>
    <t>Rue Derome</t>
  </si>
  <si>
    <t>Avenue Desaulniers</t>
  </si>
  <si>
    <t>Rue Desautels</t>
  </si>
  <si>
    <t>Avenue Desgranges</t>
  </si>
  <si>
    <t>Avenue Desjardins</t>
  </si>
  <si>
    <t>Avenue Desnoyers</t>
  </si>
  <si>
    <t>Avenue Després</t>
  </si>
  <si>
    <t>Rue Desranleau Est</t>
  </si>
  <si>
    <t>Rue Desranleau Ouest</t>
  </si>
  <si>
    <t>Avenue Desrochers</t>
  </si>
  <si>
    <t>Avenue Desrosiers</t>
  </si>
  <si>
    <t>Rue Dessaulles</t>
  </si>
  <si>
    <t>Avenue de Dieppe</t>
  </si>
  <si>
    <t>Avenue du Domaine</t>
  </si>
  <si>
    <t>Impasse des Dominicains</t>
  </si>
  <si>
    <t>Avenue Dorion</t>
  </si>
  <si>
    <t>Avenue Drouin</t>
  </si>
  <si>
    <t>Avenue Duchesnay</t>
  </si>
  <si>
    <t>Avenue Duclos</t>
  </si>
  <si>
    <t>Avenue Dufault</t>
  </si>
  <si>
    <t>Chemin Duhamel</t>
  </si>
  <si>
    <t>Avenue Dumesnil</t>
  </si>
  <si>
    <t>Avenue Duplessis</t>
  </si>
  <si>
    <t>Impasse Dupras</t>
  </si>
  <si>
    <t>Avenue Duquesne</t>
  </si>
  <si>
    <t>Rue Duvernay</t>
  </si>
  <si>
    <t>Avenue de l'École</t>
  </si>
  <si>
    <t>Avenue Édouard-Bilodeau</t>
  </si>
  <si>
    <t>Avenue Édouard-Morier</t>
  </si>
  <si>
    <t>Avenue de l'Église</t>
  </si>
  <si>
    <t>Avenue Émilien-Letarte</t>
  </si>
  <si>
    <t>Rang des Érables</t>
  </si>
  <si>
    <t>Avenue des Érables-Argentés</t>
  </si>
  <si>
    <t>Rue Étienne-Racine</t>
  </si>
  <si>
    <t>Impasse Eugène-Tremblay</t>
  </si>
  <si>
    <t>Chemin de la Fédérée</t>
  </si>
  <si>
    <t>Rue Félix-Leclerc</t>
  </si>
  <si>
    <t>Rue de la Fenaison</t>
  </si>
  <si>
    <t>Rue Ferdinand-Daoust</t>
  </si>
  <si>
    <t>Rue Ferland</t>
  </si>
  <si>
    <t>Avenue Fiset</t>
  </si>
  <si>
    <t>Rue de Flandre</t>
  </si>
  <si>
    <t>Impasse Fleury</t>
  </si>
  <si>
    <t>Impasse Foisy</t>
  </si>
  <si>
    <t>Avenue Fontaine</t>
  </si>
  <si>
    <t>Rue de la Forge</t>
  </si>
  <si>
    <t>Rue Fortunat-Beaudoin</t>
  </si>
  <si>
    <t>Avenue Fredette</t>
  </si>
  <si>
    <t>Avenue Frégeau</t>
  </si>
  <si>
    <t>Avenue du Frêne</t>
  </si>
  <si>
    <t>Avenue du Frère-André</t>
  </si>
  <si>
    <t>Rue Frontenac</t>
  </si>
  <si>
    <t>Rue Gadbois</t>
  </si>
  <si>
    <t>Chemin Gadbois</t>
  </si>
  <si>
    <t>Rue Gagnon</t>
  </si>
  <si>
    <t>Rue Gamelin</t>
  </si>
  <si>
    <t>Rue Garneau</t>
  </si>
  <si>
    <t>Rue Garnier</t>
  </si>
  <si>
    <t>Impasse Gaspard-Fauteux</t>
  </si>
  <si>
    <t>Impasse Gaucher</t>
  </si>
  <si>
    <t>Rue Gauthier</t>
  </si>
  <si>
    <t>Chemin Gendron</t>
  </si>
  <si>
    <t>Avenue Georges-Aimé</t>
  </si>
  <si>
    <t>Rue Gérard-Côté</t>
  </si>
  <si>
    <t>Avenue Gérard-Presseau</t>
  </si>
  <si>
    <t>Avenue Germain-Guillemette</t>
  </si>
  <si>
    <t>Chemin Giard</t>
  </si>
  <si>
    <t>Avenue Gingras</t>
  </si>
  <si>
    <t>Avenue Girard</t>
  </si>
  <si>
    <t>Rue Girouard Est</t>
  </si>
  <si>
    <t>Rue Girouard Ouest</t>
  </si>
  <si>
    <t>Avenue du Golf</t>
  </si>
  <si>
    <t>Avenue des Golfeurs</t>
  </si>
  <si>
    <t>Avenue Gosselin</t>
  </si>
  <si>
    <t>Rue Gouin</t>
  </si>
  <si>
    <t>Avenue des Gouverneurs</t>
  </si>
  <si>
    <t xml:space="preserve"> Grand Rang</t>
  </si>
  <si>
    <t>Chemin de la Grande-Ligne</t>
  </si>
  <si>
    <t>Avenue des Grandes-Orgues</t>
  </si>
  <si>
    <t>Avenue Groulx</t>
  </si>
  <si>
    <t>Avenue Guertin</t>
  </si>
  <si>
    <t>Place Guertin</t>
  </si>
  <si>
    <t>Route Guilmain</t>
  </si>
  <si>
    <t>Avenue Guy</t>
  </si>
  <si>
    <t>Chemin Guyta</t>
  </si>
  <si>
    <t>Allée des Habitations</t>
  </si>
  <si>
    <t>Avenue Hallé</t>
  </si>
  <si>
    <t>Rue Hamel</t>
  </si>
  <si>
    <t>Avenue Harpin</t>
  </si>
  <si>
    <t>Avenue Henri</t>
  </si>
  <si>
    <t>Avenue de l'Hôtel-de-Ville</t>
  </si>
  <si>
    <t>Avenue de l'Hôtel-Dieu</t>
  </si>
  <si>
    <t>Avenue Hubert</t>
  </si>
  <si>
    <t>Avenue J. Philippe-Lord</t>
  </si>
  <si>
    <t>Impasse J.-A.-Berthiaume</t>
  </si>
  <si>
    <t>Rue Jacques-Cartier</t>
  </si>
  <si>
    <t>Rue Jalobert</t>
  </si>
  <si>
    <t>Avenue des Jardiniers</t>
  </si>
  <si>
    <t>Autoroute Jean-Lesage</t>
  </si>
  <si>
    <t>Avenue Jean-Locas</t>
  </si>
  <si>
    <t>Avenue Jeanne-Daigle</t>
  </si>
  <si>
    <t>S/R</t>
  </si>
  <si>
    <t>ADM</t>
  </si>
  <si>
    <t>MATRIC. ASSIGNÉ</t>
  </si>
  <si>
    <t>Avenue Jean-Noël-Dion</t>
  </si>
  <si>
    <t>Avenue Jean-Paul-Lagacé</t>
  </si>
  <si>
    <t>Avenue Jefo</t>
  </si>
  <si>
    <t>Avenue Jodoin</t>
  </si>
  <si>
    <t>Rue Jogues</t>
  </si>
  <si>
    <t>Rue Johnson Est</t>
  </si>
  <si>
    <t>Rue Johnson Ouest</t>
  </si>
  <si>
    <t>Rue Jolibois</t>
  </si>
  <si>
    <t>Rue Jolliet</t>
  </si>
  <si>
    <t>Rue Joncaire</t>
  </si>
  <si>
    <t>Avenue Joseph-Bonin</t>
  </si>
  <si>
    <t>Avenue Joseph-Lefebvre</t>
  </si>
  <si>
    <t>Avenue Joseph-Léveillé</t>
  </si>
  <si>
    <t>Rue de Jouvence</t>
  </si>
  <si>
    <t>Rue Juliette-Pétrie</t>
  </si>
  <si>
    <t>Avenue Jutras</t>
  </si>
  <si>
    <t>Avenue Kéroack</t>
  </si>
  <si>
    <t>Rue La Barre</t>
  </si>
  <si>
    <t>Rue La Fontaine</t>
  </si>
  <si>
    <t>Rue Labelle</t>
  </si>
  <si>
    <t>Boulevard Laflamme</t>
  </si>
  <si>
    <t>Rue Lafleur</t>
  </si>
  <si>
    <t>Rue Lafond</t>
  </si>
  <si>
    <t>Avenue Laframboise</t>
  </si>
  <si>
    <t>Boulevard Laframboise</t>
  </si>
  <si>
    <t>Avenue Lafrance</t>
  </si>
  <si>
    <t>Avenue Lajoie</t>
  </si>
  <si>
    <t>Rue Laliberté</t>
  </si>
  <si>
    <t>Rue Lalime</t>
  </si>
  <si>
    <t>Avenue Lamarche</t>
  </si>
  <si>
    <t>Avenue Lambert-Grenier</t>
  </si>
  <si>
    <t>Rue Lambert-Sarazin</t>
  </si>
  <si>
    <t>Avenue Lamothe</t>
  </si>
  <si>
    <t>Rue Lanciault</t>
  </si>
  <si>
    <t>Rue Langelier</t>
  </si>
  <si>
    <t>Avenue Lanoue</t>
  </si>
  <si>
    <t>Avenue Lapierre</t>
  </si>
  <si>
    <t>Avenue Laplante</t>
  </si>
  <si>
    <t>Avenue Laporte</t>
  </si>
  <si>
    <t>Rue Larivée Est</t>
  </si>
  <si>
    <t>Rue Larivée Ouest</t>
  </si>
  <si>
    <t>Chemin Larivière</t>
  </si>
  <si>
    <t>Avenue Larocque</t>
  </si>
  <si>
    <t>Rue Laure-Conan</t>
  </si>
  <si>
    <t>Impasse Laurent-Gariépy</t>
  </si>
  <si>
    <t>Boulevard Laurier Est</t>
  </si>
  <si>
    <t>Boulevard Laurier Ouest</t>
  </si>
  <si>
    <t>Rue Lauzon</t>
  </si>
  <si>
    <t>Avenue Laval</t>
  </si>
  <si>
    <t>Rue Le Ber</t>
  </si>
  <si>
    <t>Rue Ledoux</t>
  </si>
  <si>
    <t>Avenue Lemay</t>
  </si>
  <si>
    <t>Avenue Lemieux</t>
  </si>
  <si>
    <t>Rue Lemonde</t>
  </si>
  <si>
    <t>Rue LeMoyne</t>
  </si>
  <si>
    <t>Rue Lesage</t>
  </si>
  <si>
    <t>Avenue Lévesque</t>
  </si>
  <si>
    <t>Rue de la Liaison</t>
  </si>
  <si>
    <t>Rue des Lilas</t>
  </si>
  <si>
    <t>Rue Lincourt</t>
  </si>
  <si>
    <t>Passage Lislois</t>
  </si>
  <si>
    <t>Rue Longueuil</t>
  </si>
  <si>
    <t>Rue Lorange</t>
  </si>
  <si>
    <t>Rue Louvigny</t>
  </si>
  <si>
    <t>Avenue Lussier</t>
  </si>
  <si>
    <t>Rue M.-O.-David</t>
  </si>
  <si>
    <t>Avenue Mailhot</t>
  </si>
  <si>
    <t>Avenue Maisonneuve</t>
  </si>
  <si>
    <t>Avenue du Manoir</t>
  </si>
  <si>
    <t>Impasse Marcel-Breault</t>
  </si>
  <si>
    <t>Route Marcel-Grégoire</t>
  </si>
  <si>
    <t>Allée du Marché</t>
  </si>
  <si>
    <t>Avenue Marchesseault</t>
  </si>
  <si>
    <t>Rue Marguerite-Bourgeoys</t>
  </si>
  <si>
    <t>Avenue Marguerite-D'Youville</t>
  </si>
  <si>
    <t>Rue Maricourt</t>
  </si>
  <si>
    <t>Avenue Marie-Rivier</t>
  </si>
  <si>
    <t>Avenue de la Marine</t>
  </si>
  <si>
    <t>Rue Marquette</t>
  </si>
  <si>
    <t>Rue des Marronniers</t>
  </si>
  <si>
    <t>Rue Martel</t>
  </si>
  <si>
    <t>Rue Martineau</t>
  </si>
  <si>
    <t>Rue Mercier</t>
  </si>
  <si>
    <t>Avenue Mercure</t>
  </si>
  <si>
    <t>Avenue Messier</t>
  </si>
  <si>
    <t>Avenue de la Métairie</t>
  </si>
  <si>
    <t>Rue Millet</t>
  </si>
  <si>
    <t>Rue des Moissons</t>
  </si>
  <si>
    <t>Avenue Mondor</t>
  </si>
  <si>
    <t>Rue Monette</t>
  </si>
  <si>
    <t>Rue Montigny</t>
  </si>
  <si>
    <t>Avenue Moreau</t>
  </si>
  <si>
    <t>Rue Morin</t>
  </si>
  <si>
    <t>Rue Morison</t>
  </si>
  <si>
    <t>Avenue Morissette</t>
  </si>
  <si>
    <t>Place Morissette</t>
  </si>
  <si>
    <t>Avenue du Moulin</t>
  </si>
  <si>
    <t>Avenue Nault</t>
  </si>
  <si>
    <t>Rue Nelson</t>
  </si>
  <si>
    <t>Impasse du Neuf</t>
  </si>
  <si>
    <t>Rue Nichols</t>
  </si>
  <si>
    <t>Avenue Noiseux</t>
  </si>
  <si>
    <t>Rue Notre-Dame</t>
  </si>
  <si>
    <t>Impasse de l'Oiselet</t>
  </si>
  <si>
    <t>Avenue des Oliviers</t>
  </si>
  <si>
    <t>Avenue Ouimet</t>
  </si>
  <si>
    <t>Avenue Pagé</t>
  </si>
  <si>
    <t>Avenue du Palais</t>
  </si>
  <si>
    <t>Rue Papineau</t>
  </si>
  <si>
    <t>Avenue Paquet</t>
  </si>
  <si>
    <t>Rue du Parc</t>
  </si>
  <si>
    <t>Rue Patenaude</t>
  </si>
  <si>
    <t>Rue Paul-Sauvé</t>
  </si>
  <si>
    <t>Avenue Payan</t>
  </si>
  <si>
    <t>Rue du Père-Marion</t>
  </si>
  <si>
    <t>Avenue Perreault</t>
  </si>
  <si>
    <t>Avenue Petit</t>
  </si>
  <si>
    <t xml:space="preserve"> Petit Rang</t>
  </si>
  <si>
    <t>Avenue Petitclerc</t>
  </si>
  <si>
    <t>Rang des Petits-Étangs</t>
  </si>
  <si>
    <t>Rue des Peupliers</t>
  </si>
  <si>
    <t>Avenue de la Philharmonique</t>
  </si>
  <si>
    <t>Avenue Philie</t>
  </si>
  <si>
    <t>Rue Picard</t>
  </si>
  <si>
    <t>Rue Pierre-Dupont</t>
  </si>
  <si>
    <t>Avenue Pierre-Leclerc</t>
  </si>
  <si>
    <t>Avenue Pinard</t>
  </si>
  <si>
    <t>Avenue des Pins</t>
  </si>
  <si>
    <t>Avenue des Pionniers</t>
  </si>
  <si>
    <t>Avenue des Plaines</t>
  </si>
  <si>
    <t>Rue Plante</t>
  </si>
  <si>
    <t>Chemin Plante</t>
  </si>
  <si>
    <t>Rang de la Pointe-du-Jour</t>
  </si>
  <si>
    <t>Rue du Poitou</t>
  </si>
  <si>
    <t>Rue des Pommetiers</t>
  </si>
  <si>
    <t>Rue Pothier</t>
  </si>
  <si>
    <t>Avenue Pouliot</t>
  </si>
  <si>
    <t>Avenue des Prairies</t>
  </si>
  <si>
    <t>Avenue Pratte</t>
  </si>
  <si>
    <t>Avenue Prévert</t>
  </si>
  <si>
    <t>Rue Prince</t>
  </si>
  <si>
    <t>Avenue de la Promenade</t>
  </si>
  <si>
    <t>Chemin du Raccourci</t>
  </si>
  <si>
    <t>Avenue Rajotte</t>
  </si>
  <si>
    <t>Avenue Raoul-Lassonde</t>
  </si>
  <si>
    <t>Chemin du Rapide-Plat Nord</t>
  </si>
  <si>
    <t>Chemin du Rapide-Plat Sud</t>
  </si>
  <si>
    <t>Avenue Raymond</t>
  </si>
  <si>
    <t>Chemin des Récoltes</t>
  </si>
  <si>
    <t>Rue René-Jetté</t>
  </si>
  <si>
    <t>Avenue Richelieu</t>
  </si>
  <si>
    <t>Avenue Richer</t>
  </si>
  <si>
    <t>Impasse Riel</t>
  </si>
  <si>
    <t>Avenue Rigaud</t>
  </si>
  <si>
    <t>Avenue Ringuet</t>
  </si>
  <si>
    <t>Chemin de la Rive</t>
  </si>
  <si>
    <t>Avenue Robert</t>
  </si>
  <si>
    <t>Avenue Roland-Salvail</t>
  </si>
  <si>
    <t>Rue Rouleau</t>
  </si>
  <si>
    <t>Avenue Roy</t>
  </si>
  <si>
    <t>Avenue du Ruisseau</t>
  </si>
  <si>
    <t>Rue du Sacré-Cœur Est</t>
  </si>
  <si>
    <t>Rue du Sacré-Cœur Ouest</t>
  </si>
  <si>
    <t>Petit rang Saint-André</t>
  </si>
  <si>
    <t>Rang Saint-André</t>
  </si>
  <si>
    <t>Rue Saint-Antoine</t>
  </si>
  <si>
    <t>Chemin de Saint-Barnabé</t>
  </si>
  <si>
    <t>Rue Saint-Charles</t>
  </si>
  <si>
    <t>Avenue Saint-Clément</t>
  </si>
  <si>
    <t>Avenue Saint-Dominique</t>
  </si>
  <si>
    <t>Avenue Sainte-Anne</t>
  </si>
  <si>
    <t>Avenue Sainte-Catherine</t>
  </si>
  <si>
    <t>Impasse Sainte-Catherine</t>
  </si>
  <si>
    <t>Rue Sainte-Cécile</t>
  </si>
  <si>
    <t>Rue Sainte-Madeleine</t>
  </si>
  <si>
    <t>Avenue Sainte-Marie</t>
  </si>
  <si>
    <t>10e Rang</t>
  </si>
  <si>
    <t>11e Rang</t>
  </si>
  <si>
    <t>1er Rang Ouest</t>
  </si>
  <si>
    <t>1re Avenue</t>
  </si>
  <si>
    <t>20e Rang</t>
  </si>
  <si>
    <t>21e Rang</t>
  </si>
  <si>
    <t>2e Rang</t>
  </si>
  <si>
    <t>2e Rang Est</t>
  </si>
  <si>
    <t>2e Rang Ouest</t>
  </si>
  <si>
    <t>2e Rue</t>
  </si>
  <si>
    <t>3e Rang</t>
  </si>
  <si>
    <t>3e rang de Milton</t>
  </si>
  <si>
    <t>3e Rang Est</t>
  </si>
  <si>
    <t>3e Rang Ouest</t>
  </si>
  <si>
    <t>4e Avenue</t>
  </si>
  <si>
    <t>4e Rang</t>
  </si>
  <si>
    <t>4e Rang Est</t>
  </si>
  <si>
    <t>4e Rang Nord</t>
  </si>
  <si>
    <t>4e Rang Ouest</t>
  </si>
  <si>
    <t>4e Rang Sud</t>
  </si>
  <si>
    <t>5e Avenue</t>
  </si>
  <si>
    <t>5e Rang</t>
  </si>
  <si>
    <t>6e Avenue</t>
  </si>
  <si>
    <t>6e Rang</t>
  </si>
  <si>
    <t>7e Avenue</t>
  </si>
  <si>
    <t>7e Rang</t>
  </si>
  <si>
    <t>8e Rang</t>
  </si>
  <si>
    <t>9e Rang</t>
  </si>
  <si>
    <t>Autoroute Transcanadienne</t>
  </si>
  <si>
    <t>Avenue De Grandpré</t>
  </si>
  <si>
    <t>Avenue de l'Aurore</t>
  </si>
  <si>
    <t>Avenue des Bouleaux</t>
  </si>
  <si>
    <t>Avenue Desmarais</t>
  </si>
  <si>
    <t>Avenue du Parc</t>
  </si>
  <si>
    <t>Avenue Dubé</t>
  </si>
  <si>
    <t xml:space="preserve">Avenue Garneau </t>
  </si>
  <si>
    <t>Avenue Jacques-Cartier</t>
  </si>
  <si>
    <t>Rue Brunette Ouest</t>
  </si>
  <si>
    <t>Rue Brunette Est</t>
  </si>
  <si>
    <t>Duguay, Jonathan</t>
  </si>
  <si>
    <t xml:space="preserve">	Meurtre au 1er degré	</t>
  </si>
  <si>
    <t xml:space="preserve">	Meurtre au 2e degré	</t>
  </si>
  <si>
    <t xml:space="preserve">	Homicide involontaire coupable	</t>
  </si>
  <si>
    <t xml:space="preserve">	Infanticide 1 an ou moins	</t>
  </si>
  <si>
    <t xml:space="preserve">	Négligence criminelle entraînant la mort	</t>
  </si>
  <si>
    <t xml:space="preserve">	Autre infraction connexe entraînant la mort	</t>
  </si>
  <si>
    <t xml:space="preserve">	Tentative de meurtre	</t>
  </si>
  <si>
    <t xml:space="preserve">	Conspiration de meurtre	</t>
  </si>
  <si>
    <t xml:space="preserve">	Agression sexuelle grave	</t>
  </si>
  <si>
    <t xml:space="preserve">	Agression sexuelle armée	</t>
  </si>
  <si>
    <t xml:space="preserve">	Agression sexuelle	</t>
  </si>
  <si>
    <t xml:space="preserve">	Contact sexuel -16 ans	</t>
  </si>
  <si>
    <t xml:space="preserve">	Incitation contact sexuel  -16 ans	</t>
  </si>
  <si>
    <t xml:space="preserve">	Exploitation sexuelle 16-17 ans	</t>
  </si>
  <si>
    <t xml:space="preserve">	Exploitation sexuelle-Déficiences	</t>
  </si>
  <si>
    <t xml:space="preserve">	Inceste	</t>
  </si>
  <si>
    <t xml:space="preserve">	Corruption d’enfant -18 ans	</t>
  </si>
  <si>
    <t xml:space="preserve">	Fournir porno à mineur avec intention	</t>
  </si>
  <si>
    <t xml:space="preserve">	Leurre avec un ordinateur  -18 ans	</t>
  </si>
  <si>
    <t xml:space="preserve">	Relation sexuelle anale	</t>
  </si>
  <si>
    <t xml:space="preserve">	Bestialité	</t>
  </si>
  <si>
    <t xml:space="preserve">	Voyeurisme	</t>
  </si>
  <si>
    <t xml:space="preserve">	Distribution non consensuelle d’images intimes	</t>
  </si>
  <si>
    <t xml:space="preserve">	Voie de fait grave (niveau 3)	</t>
  </si>
  <si>
    <t xml:space="preserve">	Voies de fait NIV3	</t>
  </si>
  <si>
    <t xml:space="preserve">	Agression armée ou infliction de lésions corporelles (niveau 2)	</t>
  </si>
  <si>
    <t xml:space="preserve">	Voies armées / Niv 2	</t>
  </si>
  <si>
    <t xml:space="preserve">	Voie de fait (niveau 1)	</t>
  </si>
  <si>
    <t xml:space="preserve">	Infliction illégale lésions corporelles	</t>
  </si>
  <si>
    <t xml:space="preserve">	Décharger arme à feu avec intention	</t>
  </si>
  <si>
    <t xml:space="preserve">	Usage arme à feu – crime	</t>
  </si>
  <si>
    <t xml:space="preserve">	Braquer une arme à feu	</t>
  </si>
  <si>
    <t xml:space="preserve">	Voie de fait simple contre un policier	</t>
  </si>
  <si>
    <t xml:space="preserve">	Voie de fait simple contre agent de la paix	</t>
  </si>
  <si>
    <t xml:space="preserve">	Négligence criminelle entraînant des lésions corporelles	</t>
  </si>
  <si>
    <t xml:space="preserve">	Trappes lésions corporelles	</t>
  </si>
  <si>
    <t xml:space="preserve">	Autre voie de fait	</t>
  </si>
  <si>
    <t xml:space="preserve">	Enlèvement	</t>
  </si>
  <si>
    <t xml:space="preserve">	Séquestration	</t>
  </si>
  <si>
    <t xml:space="preserve">	Prise d’otage	</t>
  </si>
  <si>
    <t xml:space="preserve">	Traite de personne	</t>
  </si>
  <si>
    <t xml:space="preserve">	Enlèvement personne moins de 14 ans	</t>
  </si>
  <si>
    <t xml:space="preserve">	Enlèvement personne moins de 16 ans	</t>
  </si>
  <si>
    <t xml:space="preserve">	Enlèvement en contravention d’une ordonnance de garde -14 ans	</t>
  </si>
  <si>
    <t xml:space="preserve">	Enlèvement en l’absence d’une ordonnance de garde -14 ans	</t>
  </si>
  <si>
    <t xml:space="preserve">	Passage d’enfants à l’étranger	</t>
  </si>
  <si>
    <t xml:space="preserve">	Vol qualifié sur une personne	</t>
  </si>
  <si>
    <t xml:space="preserve">	Vol qualifié dans commerce	</t>
  </si>
  <si>
    <t xml:space="preserve">	Vol qualifié dans institution financière	</t>
  </si>
  <si>
    <t xml:space="preserve">	Vol qualifié de véhicule	</t>
  </si>
  <si>
    <t xml:space="preserve">	Vol qualifié de V.R. blindé	</t>
  </si>
  <si>
    <t xml:space="preserve">	Vol qualifié de sac à main	</t>
  </si>
  <si>
    <t xml:space="preserve">	Autre vol qualifié	</t>
  </si>
  <si>
    <t xml:space="preserve">	Vol qualifié arme à feu	</t>
  </si>
  <si>
    <t xml:space="preserve">	Extorsion – personne	</t>
  </si>
  <si>
    <t xml:space="preserve">	Extorsion – autre	</t>
  </si>
  <si>
    <t xml:space="preserve">	Harcèlement criminel	</t>
  </si>
  <si>
    <t>Communication indécente, harassante</t>
  </si>
  <si>
    <t xml:space="preserve">	Autre crime avec violence	</t>
  </si>
  <si>
    <t xml:space="preserve">	Proférer des menaces	</t>
  </si>
  <si>
    <t xml:space="preserve">	Autre infraction causant la mort/lésions (incendie et méfaits)	</t>
  </si>
  <si>
    <t xml:space="preserve">	Autre infraction causant la mort/lésions (explosifs)	</t>
  </si>
  <si>
    <t>Intimidation général, art. 423(1) a) à g)</t>
  </si>
  <si>
    <t xml:space="preserve">	Intimidation pers. système justice	</t>
  </si>
  <si>
    <t xml:space="preserve">	Incendie de bien immobilier	</t>
  </si>
  <si>
    <t xml:space="preserve">	Incendie de véhicule routier	</t>
  </si>
  <si>
    <t xml:space="preserve">	Incendie de véhicule routier en mouvement sans collision	</t>
  </si>
  <si>
    <t xml:space="preserve">Inc. autres biens (marchandise, bateau)"	</t>
  </si>
  <si>
    <t xml:space="preserve">	Intro. / effrac. dans résidence privée	</t>
  </si>
  <si>
    <t xml:space="preserve">	Intro. / effrac. dans camp chalet roulotte	</t>
  </si>
  <si>
    <t xml:space="preserve">	Intro. / effrac. dans établissement commercial ou public	</t>
  </si>
  <si>
    <t xml:space="preserve">	Autre introduction par effraction	</t>
  </si>
  <si>
    <t xml:space="preserve">	Intro. / effrac. vol armes à feu	</t>
  </si>
  <si>
    <t xml:space="preserve">	Vol AAF dans véhicule	</t>
  </si>
  <si>
    <t>Vol de + 5,000 $ dans / sur véhicule"</t>
  </si>
  <si>
    <t xml:space="preserve">	Vol de 5000 $ sac à main	</t>
  </si>
  <si>
    <t xml:space="preserve">	Vol de 5000 $ à la tire	</t>
  </si>
  <si>
    <t xml:space="preserve">	Vol de 5000 $ à l’étalage	</t>
  </si>
  <si>
    <t xml:space="preserve">	Vol de 5000 $ bicyclette	</t>
  </si>
  <si>
    <t xml:space="preserve">	Autre vol de + 5000 $	</t>
  </si>
  <si>
    <t xml:space="preserve">Vol automobile	</t>
  </si>
  <si>
    <t>Vol camion, autobus</t>
  </si>
  <si>
    <t xml:space="preserve">Vol motocyclette	</t>
  </si>
  <si>
    <t xml:space="preserve">Vol camion – tracteur avec ou sans remorque	</t>
  </si>
  <si>
    <t xml:space="preserve">Vol de v.r. de construction ou ferme	</t>
  </si>
  <si>
    <t xml:space="preserve">Vol de motoneige	</t>
  </si>
  <si>
    <t xml:space="preserve">Vol véh tout-terrain (VTT	</t>
  </si>
  <si>
    <t xml:space="preserve">Vol autre véhicule	</t>
  </si>
  <si>
    <t>Vol de 5,000 $ et -dans / sur véhicule</t>
  </si>
  <si>
    <t xml:space="preserve">Vol 5000 $ et moins sac à main	</t>
  </si>
  <si>
    <t>Vol 5000 $ et moins à la tire pick	pocket</t>
  </si>
  <si>
    <t xml:space="preserve">Vol 5000 $ et moins à l’étalage	</t>
  </si>
  <si>
    <t xml:space="preserve">Vol 5000 $ et moins bicyclette	</t>
  </si>
  <si>
    <t xml:space="preserve">Autre vol de 5000 $ et moins	</t>
  </si>
  <si>
    <t xml:space="preserve">Recel (trafic) plus (+) 5000$	</t>
  </si>
  <si>
    <t xml:space="preserve">Recel plus (+) 5000$	</t>
  </si>
  <si>
    <t xml:space="preserve">Recel (trafic) 5000$ et moins (-)	</t>
  </si>
  <si>
    <t xml:space="preserve">Recel 5000$ et moins(-)	</t>
  </si>
  <si>
    <t xml:space="preserve">Obtention de transport	</t>
  </si>
  <si>
    <t>Fausse réclamation aux gouvernemen	ts</t>
  </si>
  <si>
    <t xml:space="preserve">Fraude par Ordinateur	</t>
  </si>
  <si>
    <t xml:space="preserve">Clonage cartes de service	</t>
  </si>
  <si>
    <t xml:space="preserve">Vol d’identité	</t>
  </si>
  <si>
    <t xml:space="preserve">Autres fraudes	</t>
  </si>
  <si>
    <t xml:space="preserve">Méfait dommages matériels + 5000$	</t>
  </si>
  <si>
    <t xml:space="preserve">Méfait dommages matériels -5000$	</t>
  </si>
  <si>
    <t>Méfait + 5,000$ sur véhicule</t>
  </si>
  <si>
    <t>Méfait 5 000$ et moins sur véhicul	e</t>
  </si>
  <si>
    <t>Méfait, graffiti + 5000$</t>
  </si>
  <si>
    <t>Méfait, graffiti -5000$</t>
  </si>
  <si>
    <t xml:space="preserve">Biens culte religieux + 5000$	</t>
  </si>
  <si>
    <t xml:space="preserve">Biens culte religieux -5000$	</t>
  </si>
  <si>
    <t xml:space="preserve">Méfait (NIV)	</t>
  </si>
  <si>
    <t xml:space="preserve">Méfait monument de guerre	</t>
  </si>
  <si>
    <t xml:space="preserve">Méfait bien culturel	</t>
  </si>
  <si>
    <t>Communiquer pour des services sexuels à la vue d’une garderie, d’un terrain d’école ou d’un terrain de jeux</t>
  </si>
  <si>
    <t>Arrêter un véhicule à moteur, gêner 	la circulation (prostitution)</t>
  </si>
  <si>
    <t xml:space="preserve">	Communiquer avec quiconque en vue d	’obtenir des services sexuels</t>
  </si>
  <si>
    <t xml:space="preserve">	Communiquer avec quiconque en vue d	’obtenir les services sexuels d’une personne -18 ans</t>
  </si>
  <si>
    <t xml:space="preserve">	Avantage matériel provenant de la p	restation de services sexuels (vivre des produits de la prostitution)</t>
  </si>
  <si>
    <t xml:space="preserve">	Avantage matériel provenant de la p	restation de services sexuels (vivre des produits de la prostitution) d’une personne -18 ans</t>
  </si>
  <si>
    <t xml:space="preserve">	Proxénétisme	</t>
  </si>
  <si>
    <t xml:space="preserve">	Proxénétisme – personne -18 ans	</t>
  </si>
  <si>
    <t xml:space="preserve">	Publicité de services sexuels	</t>
  </si>
  <si>
    <t>Père/mère/tuteur, servir d’entremet	teur/ personne -16 ans</t>
  </si>
  <si>
    <t>Père/mère/tuteur, servir d’entremetteur/ personne de 16 à 17 ans</t>
  </si>
  <si>
    <t>Maître de maison, permettre / perso	nne -16 ans</t>
  </si>
  <si>
    <t>Maître de maison, permettre / personne de 16 à 17 ans</t>
  </si>
  <si>
    <t xml:space="preserve">	Maison de paris	</t>
  </si>
  <si>
    <t xml:space="preserve">	Maison de jeux	</t>
  </si>
  <si>
    <t xml:space="preserve">Preneur aux livres	</t>
  </si>
  <si>
    <t xml:space="preserve">Loterie illégale	</t>
  </si>
  <si>
    <t xml:space="preserve">Autre jeu et paris	</t>
  </si>
  <si>
    <t xml:space="preserve">	Explosif	</t>
  </si>
  <si>
    <t xml:space="preserve">	Trafic d’armes	</t>
  </si>
  <si>
    <t xml:space="preserve">	Possession d’armes en contravention	d’une ordonnance</t>
  </si>
  <si>
    <t xml:space="preserve">	Possession d’armes	</t>
  </si>
  <si>
    <t xml:space="preserve">	Importation et exportation non auto	risées d’armes</t>
  </si>
  <si>
    <t xml:space="preserve">	Usage négligent arme à feu	</t>
  </si>
  <si>
    <t xml:space="preserve">	Documentation / administration rela	tive aux armes à feu</t>
  </si>
  <si>
    <t xml:space="preserve">	Entreposage non sécuritaire d’armes	à feu</t>
  </si>
  <si>
    <t xml:space="preserve">	Infraction aux règles de liberté so	us caution / empreintes Art. 810</t>
  </si>
  <si>
    <t xml:space="preserve">	Utilisation de monnaie contrefaite	</t>
  </si>
  <si>
    <t xml:space="preserve">	Troubler la paix	</t>
  </si>
  <si>
    <t xml:space="preserve">	Évasion d’une garde légale	</t>
  </si>
  <si>
    <t xml:space="preserve">	Action indécente	</t>
  </si>
  <si>
    <t xml:space="preserve">Production pornographie juvénile	</t>
  </si>
  <si>
    <t xml:space="preserve">Distribution pornographie juvénile	</t>
  </si>
  <si>
    <t xml:space="preserve">Possession pornographie juvénile	</t>
  </si>
  <si>
    <t xml:space="preserve">Accès pornographie juvénile	</t>
  </si>
  <si>
    <t xml:space="preserve">	Acte contraire aux bonnes moeurs	</t>
  </si>
  <si>
    <t xml:space="preserve">	Nuire à un fonctionnaire public ou	à un agent de la paix</t>
  </si>
  <si>
    <t xml:space="preserve">	Détenu en liberté illégale	</t>
  </si>
  <si>
    <t xml:space="preserve">	Intrusion de nuit	</t>
  </si>
  <si>
    <t xml:space="preserve">	Défaut de comparaître	</t>
  </si>
  <si>
    <t xml:space="preserve">	Manquement aux conditions de la pro	bation</t>
  </si>
  <si>
    <t xml:space="preserve">	Encouragement au génocide	</t>
  </si>
  <si>
    <t xml:space="preserve">	Incitation publique à la haine	</t>
  </si>
  <si>
    <t xml:space="preserve">	Enregistrement illégal d’un film	</t>
  </si>
  <si>
    <t>Autre infraction contre l’ordre pu	blic</t>
  </si>
  <si>
    <t>Biens ou services à des fins terro	ristes</t>
  </si>
  <si>
    <t>Blocage de biens à des fins terror	istes</t>
  </si>
  <si>
    <t>Participation à une activité terro	riste</t>
  </si>
  <si>
    <t>Facilitation d’une activité terror	iste</t>
  </si>
  <si>
    <t>Charger une personne de se livrer	à une activité terroriste</t>
  </si>
  <si>
    <t xml:space="preserve">Héberger ou cacher un terroriste	</t>
  </si>
  <si>
    <t xml:space="preserve">Fausse alerte terrorisme	</t>
  </si>
  <si>
    <t>Quitter Canada : participation à u	ne activité terroriste</t>
  </si>
  <si>
    <t>Quitter Canada : facilitation à un	e activité terroriste</t>
  </si>
  <si>
    <t>Quitter Canada : perpétrer infract	ion au profit d’un groupe terroriste</t>
  </si>
  <si>
    <t>Quitter Canada : perpétrer infract	ion constituant une activité terroriste</t>
  </si>
  <si>
    <t>Héberger cacher un terroriste qui	a commis une activité terroriste dont la peine est à vie</t>
  </si>
  <si>
    <t>Héberger cacher un terroriste qui	a commis une activité terroriste dont la peine n’est pas à vie</t>
  </si>
  <si>
    <t>Héberger cacher une personne qui s	e livrera à une activité terroriste</t>
  </si>
  <si>
    <t xml:space="preserve">Méfait public	</t>
  </si>
  <si>
    <t xml:space="preserve">Appel à la bombe (si négatif)	</t>
  </si>
  <si>
    <t>Autre infraction (art. 119 à 148 d	"u C.cr. sauf 140, 144 et 145)"</t>
  </si>
  <si>
    <t xml:space="preserve">	Nuisance publique	</t>
  </si>
  <si>
    <t xml:space="preserve">	Tabac de contrebande	</t>
  </si>
  <si>
    <t xml:space="preserve">	Atteinte à la vie privée	</t>
  </si>
  <si>
    <t xml:space="preserve">	Infraction contre la réputation et	la personne</t>
  </si>
  <si>
    <t xml:space="preserve">Vente pyramidale	</t>
  </si>
  <si>
    <t xml:space="preserve">Corruption de fonctionnaire	</t>
  </si>
  <si>
    <t xml:space="preserve">Malversation	</t>
  </si>
  <si>
    <t xml:space="preserve">Valeurs mobilières	</t>
  </si>
  <si>
    <t xml:space="preserve">Valeurs immobilières	</t>
  </si>
  <si>
    <t>Autre infraction de fraude en comm	erce</t>
  </si>
  <si>
    <t xml:space="preserve">Fausse alarme – incendie	</t>
  </si>
  <si>
    <t xml:space="preserve">Cruauté envers un animal	</t>
  </si>
  <si>
    <t>Autre acte volontaire prohibé conc	ernant les biens</t>
  </si>
  <si>
    <t xml:space="preserve">	Infraction relative à la monnaie(re	production – mutilation)</t>
  </si>
  <si>
    <t>Charger une personne de commettre	une infraction au profit</t>
  </si>
  <si>
    <t xml:space="preserve">Infraction au profit	</t>
  </si>
  <si>
    <t xml:space="preserve">Participation aux activités	</t>
  </si>
  <si>
    <t>Recrutement de membres par une org	anisation criminelle</t>
  </si>
  <si>
    <t xml:space="preserve">	Recyclage des produits de la crimin	alité</t>
  </si>
  <si>
    <t>Toute autre infraction au code cri	minel</t>
  </si>
  <si>
    <t xml:space="preserve">	Autre substance possession	</t>
  </si>
  <si>
    <t xml:space="preserve">	Autre substance trafic	</t>
  </si>
  <si>
    <t xml:space="preserve">	Méthamphétamines trafic	</t>
  </si>
  <si>
    <t xml:space="preserve">	Ecstasy trafic	</t>
  </si>
  <si>
    <t xml:space="preserve">Héroïne poss trafic	</t>
  </si>
  <si>
    <t xml:space="preserve">Cocaïne poss trafic	</t>
  </si>
  <si>
    <t xml:space="preserve">Autre substance poss trafic	</t>
  </si>
  <si>
    <t xml:space="preserve">Crack poss trafic	</t>
  </si>
  <si>
    <t xml:space="preserve">Cannabis poss trafic	</t>
  </si>
  <si>
    <t xml:space="preserve">Méthamphétamines poss trafic	</t>
  </si>
  <si>
    <t xml:space="preserve">	Héroïne import-export	</t>
  </si>
  <si>
    <t xml:space="preserve">	Cocaïne import-export	</t>
  </si>
  <si>
    <t xml:space="preserve">	Autre substance import-export	</t>
  </si>
  <si>
    <t xml:space="preserve">Crack import-export	</t>
  </si>
  <si>
    <t xml:space="preserve">	Cannabis import-export	</t>
  </si>
  <si>
    <t xml:space="preserve">	Méthamphétamines import-export	</t>
  </si>
  <si>
    <t xml:space="preserve">	Ecstasy import-export	</t>
  </si>
  <si>
    <t xml:space="preserve">	Héroïne production	</t>
  </si>
  <si>
    <t xml:space="preserve">	Cocaïne production	</t>
  </si>
  <si>
    <t xml:space="preserve">	Autres drogues production	</t>
  </si>
  <si>
    <t xml:space="preserve">Production de crack	</t>
  </si>
  <si>
    <t xml:space="preserve">Cannabis hydroponique	</t>
  </si>
  <si>
    <t xml:space="preserve">Cannabis en terre	</t>
  </si>
  <si>
    <t xml:space="preserve">	Méthamphétamines production	</t>
  </si>
  <si>
    <t xml:space="preserve">	Ecstasy production	</t>
  </si>
  <si>
    <t xml:space="preserve">	Précurseurs / Équip de production	</t>
  </si>
  <si>
    <t xml:space="preserve">	Visites multiples	</t>
  </si>
  <si>
    <t xml:space="preserve">	Fausse ordonnance	</t>
  </si>
  <si>
    <t xml:space="preserve">	Supposition de personne	</t>
  </si>
  <si>
    <t xml:space="preserve">	Toute autre infraction LRCDAS	</t>
  </si>
  <si>
    <t xml:space="preserve">	Loi sur la faillite	</t>
  </si>
  <si>
    <t xml:space="preserve">	Loi de l’impôt sur le revenu	</t>
  </si>
  <si>
    <t xml:space="preserve">	Loi sur la marine marchande du Cana	da</t>
  </si>
  <si>
    <t xml:space="preserve">	Loi sur la santé publique	</t>
  </si>
  <si>
    <t xml:space="preserve">	Loi sur les douanes	</t>
  </si>
  <si>
    <t xml:space="preserve">	Loi sur la concurrence	</t>
  </si>
  <si>
    <t xml:space="preserve">	Loi sur l’accise	</t>
  </si>
  <si>
    <t xml:space="preserve">	Loi sur les jeunes contrevenants	</t>
  </si>
  <si>
    <t xml:space="preserve">	Loi sur l’immigration et protection	des réfugiés</t>
  </si>
  <si>
    <t xml:space="preserve">	Traite de personnes	</t>
  </si>
  <si>
    <t xml:space="preserve">	Introduction de clandestins (-10)	</t>
  </si>
  <si>
    <t xml:space="preserve">	Introduction de clandestins (10 et	+)</t>
  </si>
  <si>
    <t xml:space="preserve">	Loi sur les armes à feu	</t>
  </si>
  <si>
    <t xml:space="preserve">	Loi sur la défense nationale	</t>
  </si>
  <si>
    <t xml:space="preserve">Loi sur les explosifs	</t>
  </si>
  <si>
    <t xml:space="preserve">Loi C-35 transport interprovincial	</t>
  </si>
  <si>
    <t xml:space="preserve">Autre loi fédérale	</t>
  </si>
  <si>
    <t xml:space="preserve">Permissionnaire moins de 18 ans	</t>
  </si>
  <si>
    <t xml:space="preserve">Vente sans permis	</t>
  </si>
  <si>
    <t xml:space="preserve">Autre LIMBA	</t>
  </si>
  <si>
    <t xml:space="preserve">Vente après les heures	</t>
  </si>
  <si>
    <t xml:space="preserve">Bouteilles non timbrées	</t>
  </si>
  <si>
    <t xml:space="preserve">B.A. non achetée à la SAQ	</t>
  </si>
  <si>
    <t xml:space="preserve">	Loi des valeurs mobilières	</t>
  </si>
  <si>
    <t xml:space="preserve">Loi du cinéma	</t>
  </si>
  <si>
    <t xml:space="preserve">Loi loteries et courses	</t>
  </si>
  <si>
    <t xml:space="preserve">Ordonnance générale sur camionnage	</t>
  </si>
  <si>
    <t>Règlement sur le camionnage en vra	c</t>
  </si>
  <si>
    <t xml:space="preserve">Loi sur le transport par taxi	</t>
  </si>
  <si>
    <t xml:space="preserve">Loi sur les transports	</t>
  </si>
  <si>
    <t xml:space="preserve">Autobus	</t>
  </si>
  <si>
    <t>Règlement sur le transport par tax	i</t>
  </si>
  <si>
    <t>Règlement sur le transport des déc	hets</t>
  </si>
  <si>
    <t>Règlement sur le transport scolair	e</t>
  </si>
  <si>
    <t xml:space="preserve">Loi LPECVL Loi 430	</t>
  </si>
  <si>
    <t xml:space="preserve">Autre loi provinciale	</t>
  </si>
  <si>
    <t xml:space="preserve">Autres règlements	</t>
  </si>
  <si>
    <t xml:space="preserve">Loi sur la sécurité privée	</t>
  </si>
  <si>
    <t>Règlement d’application de la loi	sur la sécurité privée</t>
  </si>
  <si>
    <t xml:space="preserve">Loi sur l’assurance auto du Québec	</t>
  </si>
  <si>
    <t xml:space="preserve">GEV (3 infractions et plus)	</t>
  </si>
  <si>
    <t xml:space="preserve">Loi sur le tabac (Taxe)	</t>
  </si>
  <si>
    <t xml:space="preserve">	Lois sur le tabac (Autre)	</t>
  </si>
  <si>
    <t xml:space="preserve">	Loi Anastasia	</t>
  </si>
  <si>
    <t xml:space="preserve">	Règlement municipal	</t>
  </si>
  <si>
    <t xml:space="preserve">Poursuite / mort	</t>
  </si>
  <si>
    <t xml:space="preserve">Conduite dangereuse / mort	</t>
  </si>
  <si>
    <t xml:space="preserve">Poursuite / lésions	</t>
  </si>
  <si>
    <t xml:space="preserve">Conduite dangereuse / lésions	</t>
  </si>
  <si>
    <t>Conduite dangereuse / accident mat	ériel</t>
  </si>
  <si>
    <t xml:space="preserve">Poursuite / accident matériel	</t>
  </si>
  <si>
    <t xml:space="preserve">Poursuite / sans accident	</t>
  </si>
  <si>
    <t>Conduite dangereuse / sans acciden	t</t>
  </si>
  <si>
    <t xml:space="preserve">	Cap. cond. affaiblie / mort	</t>
  </si>
  <si>
    <t xml:space="preserve">	Cap. cond. affaiblie drogue / mort	</t>
  </si>
  <si>
    <t xml:space="preserve">	Cap. cond. affaiblie / lésions	</t>
  </si>
  <si>
    <t xml:space="preserve">	Cap. cond. affaiblie drogue / lésio	ns</t>
  </si>
  <si>
    <t>Cap. cond. affaiblie / accident ma	tériel</t>
  </si>
  <si>
    <t>Cap. cond. affaiblie / garde ou co	ntrôle</t>
  </si>
  <si>
    <t xml:space="preserve">Cap. cond. affaiblie	</t>
  </si>
  <si>
    <t>Cap. cond. affaiblie drogue / acc	mat.</t>
  </si>
  <si>
    <t>Garde et contrôle cap. affaiblie d	rogue</t>
  </si>
  <si>
    <t xml:space="preserve">Cap. cond. affaiblie drogue autre	</t>
  </si>
  <si>
    <t>Refus échantillon d’haleine / alco	otest</t>
  </si>
  <si>
    <t xml:space="preserve">Refus ECM alcool	</t>
  </si>
  <si>
    <t xml:space="preserve">Refus ECM drogue	</t>
  </si>
  <si>
    <t xml:space="preserve">Refus évaluation drogue	</t>
  </si>
  <si>
    <t xml:space="preserve">	Refus échantillon de sang	</t>
  </si>
  <si>
    <t xml:space="preserve">	Refus prélèvement subst. Corporelle	</t>
  </si>
  <si>
    <t xml:space="preserve">	Refus sans preuve de coordination	</t>
  </si>
  <si>
    <t xml:space="preserve">Délit de fuite / mort	</t>
  </si>
  <si>
    <t xml:space="preserve">Délit de fuite / lésions	</t>
  </si>
  <si>
    <t>Délit de fuite / victime sans lési	ons</t>
  </si>
  <si>
    <t xml:space="preserve">	Délit de fuite (sans victime)	</t>
  </si>
  <si>
    <t xml:space="preserve">	Conduite de V.R. pendant interdicti	on</t>
  </si>
  <si>
    <t xml:space="preserve">	Autres infraction circulation au C.	cr.</t>
  </si>
  <si>
    <t xml:space="preserve">	Course mort négligence crim.	</t>
  </si>
  <si>
    <t xml:space="preserve">	Course blessures négligence crim.	</t>
  </si>
  <si>
    <t xml:space="preserve">	Course mort cond. dang.	</t>
  </si>
  <si>
    <t xml:space="preserve">	Course blessures cond. dang.	</t>
  </si>
  <si>
    <t xml:space="preserve">	Course conduite dangereuse	</t>
  </si>
  <si>
    <t xml:space="preserve">	Ministère de l’environnement et de	la faune secteur environnement</t>
  </si>
  <si>
    <t xml:space="preserve">	MEF – secteur faune	</t>
  </si>
  <si>
    <t xml:space="preserve">	Ministère du revenu	</t>
  </si>
  <si>
    <t xml:space="preserve">	Ministère de l’emploi	</t>
  </si>
  <si>
    <t xml:space="preserve">	Autre ministère du Québec	</t>
  </si>
  <si>
    <t xml:space="preserve">	Ministère autre que Québec	</t>
  </si>
  <si>
    <t xml:space="preserve">	Enquête accident pour ministère	</t>
  </si>
  <si>
    <t xml:space="preserve">	Assistance aux ambulanciers	</t>
  </si>
  <si>
    <t xml:space="preserve">	Municipalité – autre service munici	pal que la police</t>
  </si>
  <si>
    <t xml:space="preserve">	Assistance – autre organisme</t>
  </si>
  <si>
    <t xml:space="preserve"> A311</t>
  </si>
  <si>
    <t xml:space="preserve"> Colis suspect</t>
  </si>
  <si>
    <t>Enlèvement, plaque ou permis</t>
  </si>
  <si>
    <t xml:space="preserve">	Perception de cautionnement	</t>
  </si>
  <si>
    <t xml:space="preserve">	Commission rogatoire et entraide Ju	ridique</t>
  </si>
  <si>
    <t>A810</t>
  </si>
  <si>
    <t xml:space="preserve">	Demande d’engagement faite par un c	itoyen (art. 810 c.cr.)</t>
  </si>
  <si>
    <t xml:space="preserve">	Demande d’ordonnance d’interdiction	d’armes</t>
  </si>
  <si>
    <t xml:space="preserve">	Demande d’ordonnance de confiscatio	n d’armes</t>
  </si>
  <si>
    <t xml:space="preserve">	Demande de destruction d’armes	</t>
  </si>
  <si>
    <t xml:space="preserve">	Signalement Loi Anastasia	</t>
  </si>
  <si>
    <t xml:space="preserve">	Signalement blessé par balle	</t>
  </si>
  <si>
    <t xml:space="preserve">	Demande de disposition d’arme à feu	(amnistie)</t>
  </si>
  <si>
    <t xml:space="preserve">	Demande d’enregistrement d’une arme	à autorisation restreinte (amnistie)</t>
  </si>
  <si>
    <t xml:space="preserve">	Alarme contre incendie	</t>
  </si>
  <si>
    <t xml:space="preserve">	Alarme dignitaire / ministre	</t>
  </si>
  <si>
    <t xml:space="preserve">	Collision mortelle	</t>
  </si>
  <si>
    <t>D519</t>
  </si>
  <si>
    <t xml:space="preserve">	Collision avec blessés graves</t>
  </si>
  <si>
    <t xml:space="preserve">	Collision avec blessés légers</t>
  </si>
  <si>
    <t xml:space="preserve">	Collision matériel de + 2000$	</t>
  </si>
  <si>
    <t xml:space="preserve">	Collision matériel de – 2000$	</t>
  </si>
  <si>
    <t xml:space="preserve">	Collision hors route mortelle	</t>
  </si>
  <si>
    <t xml:space="preserve">	Collision hors route avec blessé	</t>
  </si>
  <si>
    <t xml:space="preserve">	Collision hors route. de + 2000$	</t>
  </si>
  <si>
    <t xml:space="preserve">	Collision hors route de – 2000$	</t>
  </si>
  <si>
    <t xml:space="preserve">	Collision délit de fuite (C.S.R.)	</t>
  </si>
  <si>
    <t xml:space="preserve">	Analyse problématique routière	</t>
  </si>
  <si>
    <t xml:space="preserve">	Mort – naturelle	</t>
  </si>
  <si>
    <t xml:space="preserve">	Mort – noyade	</t>
  </si>
  <si>
    <t xml:space="preserve">	Mort – incendie (non criminel)	</t>
  </si>
  <si>
    <t xml:space="preserve">	Mort – chasse et pêche	</t>
  </si>
  <si>
    <t xml:space="preserve">	Mort – avion	</t>
  </si>
  <si>
    <t xml:space="preserve">	Mort – tracteur	</t>
  </si>
  <si>
    <t xml:space="preserve">	Mort – causes inconnues	</t>
  </si>
  <si>
    <t xml:space="preserve">	Mort – suicide	</t>
  </si>
  <si>
    <t xml:space="preserve">	Mort – explosif	</t>
  </si>
  <si>
    <t xml:space="preserve">	Mort – autre excluant circulation	</t>
  </si>
  <si>
    <t xml:space="preserve">	Mort – machinerie construction	</t>
  </si>
  <si>
    <t xml:space="preserve">	Mort – machinerie industrielle	</t>
  </si>
  <si>
    <t xml:space="preserve">	Mort – accident / activité nautique	</t>
  </si>
  <si>
    <t xml:space="preserve">	Accident nautique – blessé	</t>
  </si>
  <si>
    <t xml:space="preserve">	Accident nautique – matériel	</t>
  </si>
  <si>
    <t xml:space="preserve">	Accident avec blessures – explosif	</t>
  </si>
  <si>
    <t xml:space="preserve">	Accident avec blessures – avion	</t>
  </si>
  <si>
    <t xml:space="preserve">	Accident avec blessures – autre	</t>
  </si>
  <si>
    <t xml:space="preserve">	Personne égarée	</t>
  </si>
  <si>
    <t xml:space="preserve">	Disparition d’une famille d’accueil	</t>
  </si>
  <si>
    <t xml:space="preserve">	Disparition d’un foyer naturel	</t>
  </si>
  <si>
    <t xml:space="preserve">	Disparition d’un centre d’accueil	</t>
  </si>
  <si>
    <t xml:space="preserve">	Disparition d’un hôpital	</t>
  </si>
  <si>
    <t xml:space="preserve">	Disparition d’une institution psych	iatrique</t>
  </si>
  <si>
    <t xml:space="preserve">	Disparition – Autre	</t>
  </si>
  <si>
    <t xml:space="preserve">	Corps ou ossements non identifiés	</t>
  </si>
  <si>
    <t xml:space="preserve">	Toutes les saisies au C.S.R.	</t>
  </si>
  <si>
    <t xml:space="preserve">	Enquête de solvabilité	</t>
  </si>
  <si>
    <t xml:space="preserve">	Tentative de suicide victime	</t>
  </si>
  <si>
    <t xml:space="preserve">	État mental perturbé victime	</t>
  </si>
  <si>
    <t xml:space="preserve">	Incendie non criminel	</t>
  </si>
  <si>
    <t xml:space="preserve">	Enquête / renseignement criminel	</t>
  </si>
  <si>
    <t xml:space="preserve">	Gestion des enquêtes de crime en sé	rie</t>
  </si>
  <si>
    <t xml:space="preserve">	Enquête indépendante	</t>
  </si>
  <si>
    <t xml:space="preserve">	Inspection de dépistage	</t>
  </si>
  <si>
    <t xml:space="preserve">	Inspection systématique	</t>
  </si>
  <si>
    <t xml:space="preserve">	Inspection demandée par la RACJ	</t>
  </si>
  <si>
    <t xml:space="preserve">	Suspension et scellés	</t>
  </si>
  <si>
    <t xml:space="preserve">	Révocation avec saisie	</t>
  </si>
  <si>
    <t xml:space="preserve">	Révocation sans saisie	</t>
  </si>
  <si>
    <t xml:space="preserve">	Enquête administrative (RACJ)	</t>
  </si>
  <si>
    <t xml:space="preserve">	Descente	</t>
  </si>
  <si>
    <t xml:space="preserve">	Autre – Permis d’alcool	</t>
  </si>
  <si>
    <t xml:space="preserve">	Cas problème RACJ	</t>
  </si>
  <si>
    <t xml:space="preserve">	Avertissement LIMBA	</t>
  </si>
  <si>
    <t xml:space="preserve">	Systématique / Accès	</t>
  </si>
  <si>
    <t xml:space="preserve">	Alcool / Accès	</t>
  </si>
  <si>
    <t xml:space="preserve">	Tabac / Accès	</t>
  </si>
  <si>
    <t xml:space="preserve">	Jeux / Accès	</t>
  </si>
  <si>
    <t xml:space="preserve">	Plainte de la RACJ	</t>
  </si>
  <si>
    <t xml:space="preserve">	Mandat d’arrestation à exécuter	</t>
  </si>
  <si>
    <t xml:space="preserve">	Mandat d’arrestation de l’unité -ex	écuté par l’unité</t>
  </si>
  <si>
    <t xml:space="preserve">	Mandat d’arrestation de l’unité – e	xécuté par autre unité</t>
  </si>
  <si>
    <t xml:space="preserve">	Mandat d’arrestation d’une autre un	ité ou d’un autre service de police –exécuté par l’unité</t>
  </si>
  <si>
    <t xml:space="preserve">	Mandat d’amener à exécuter	</t>
  </si>
  <si>
    <t xml:space="preserve">	Mandat d’amener de l’unité -exécuté	par l’unité</t>
  </si>
  <si>
    <t xml:space="preserve">	Mandat d’amener de l’unité – exécut	é par autre unité</t>
  </si>
  <si>
    <t xml:space="preserve">	Mandat d’amener d’une autre unité o	u d’un autre service de police – exécuté par l’unité</t>
  </si>
  <si>
    <t xml:space="preserve">	Mandat d’amener (pénal) à exécuter	</t>
  </si>
  <si>
    <t xml:space="preserve">	Mandat d’amener de l’unité (pénal)	– exécuté par l’unité</t>
  </si>
  <si>
    <t xml:space="preserve">	Mandat d’amener de l’unité (pénal)	– exécuté par autre unité</t>
  </si>
  <si>
    <t xml:space="preserve">	Mandat d’amener (pénal) d’une autre	unité ou d’un autre service de police – exécuté par l’unité</t>
  </si>
  <si>
    <t xml:space="preserve">	Mandat d’emprisonnement à exécuter	</t>
  </si>
  <si>
    <t xml:space="preserve">	Mandat d’emprisonnement de l’unité	– exécuté par l’unité</t>
  </si>
  <si>
    <t xml:space="preserve">	Mandat d’emprisonnement de l’unité	– exécuté par autre unité</t>
  </si>
  <si>
    <t xml:space="preserve">	Mandat d’emprisonnement d’une autre	unité ou d’un autre service de police – exécuté par l’unité</t>
  </si>
  <si>
    <t xml:space="preserve">	Marchandise trouvée	</t>
  </si>
  <si>
    <t xml:space="preserve">	Marchandise perdue	</t>
  </si>
  <si>
    <t xml:space="preserve">	Plaque d’immatriculation perdue	</t>
  </si>
  <si>
    <t xml:space="preserve">	Plaque d’immatriculation trouvée	</t>
  </si>
  <si>
    <t xml:space="preserve">	Objets saisis autres que CSR	</t>
  </si>
  <si>
    <t xml:space="preserve">	Passeport étranger perdu	</t>
  </si>
  <si>
    <t xml:space="preserve">	Plainte de bruit	</t>
  </si>
  <si>
    <t xml:space="preserve">	Trouble dans un endroit public	</t>
  </si>
  <si>
    <t xml:space="preserve">	Chicane de famille	</t>
  </si>
  <si>
    <t xml:space="preserve">	Service d’ordre	</t>
  </si>
  <si>
    <t xml:space="preserve">	Escorte	</t>
  </si>
  <si>
    <t xml:space="preserve">	Appel en rapport avec un animal	</t>
  </si>
  <si>
    <t xml:space="preserve">	Affaire civile	</t>
  </si>
  <si>
    <t xml:space="preserve">	Transfert de détenu	</t>
  </si>
  <si>
    <t xml:space="preserve">	Transfert de personne en crise	</t>
  </si>
  <si>
    <t xml:space="preserve">	Assistance au public	</t>
  </si>
  <si>
    <t xml:space="preserve">	Information reçue du public	</t>
  </si>
  <si>
    <t xml:space="preserve">	Correction de numéro de série de v.	r.</t>
  </si>
  <si>
    <t xml:space="preserve">	Prise d’empreintes digitales	</t>
  </si>
  <si>
    <t xml:space="preserve">	Personne en détresse	</t>
  </si>
  <si>
    <t xml:space="preserve">	Embarcation en détresse	</t>
  </si>
  <si>
    <t xml:space="preserve">	Aéronef en détresse	</t>
  </si>
  <si>
    <t xml:space="preserve">	Séc. dév. compromis	</t>
  </si>
  <si>
    <t>R600</t>
  </si>
  <si>
    <t xml:space="preserve">	Avertissement – Loi 2001 sur la mar	ine marchande</t>
  </si>
  <si>
    <t xml:space="preserve">	Visite commerçant / recycleur	</t>
  </si>
  <si>
    <t xml:space="preserve">	Comportement à risque – arme à feu	/ explosif</t>
  </si>
  <si>
    <t xml:space="preserve">	Inspections explosifs	</t>
  </si>
  <si>
    <t xml:space="preserve">	Incidents explosif	</t>
  </si>
  <si>
    <t xml:space="preserve">	Accréditation sécurité civile	</t>
  </si>
  <si>
    <t xml:space="preserve">	Véhicule volé à l’extérieur du Québ	ec et retrouvé</t>
  </si>
  <si>
    <t xml:space="preserve">	Véhicule remisé	</t>
  </si>
  <si>
    <t xml:space="preserve">	Véhicule déplacé	</t>
  </si>
  <si>
    <t xml:space="preserve">	Personne interpellée	</t>
  </si>
  <si>
    <t xml:space="preserve">	Personne observée	</t>
  </si>
  <si>
    <t xml:space="preserve">	Signalement personne suspecte	</t>
  </si>
  <si>
    <t xml:space="preserve">	Véhicule observé statut	</t>
  </si>
  <si>
    <t xml:space="preserve">	Signalement véhicule suspecte statu	t</t>
  </si>
  <si>
    <t>X824</t>
  </si>
  <si>
    <t xml:space="preserve">	Mandat retourné non exécuté (SQ D10	)</t>
  </si>
  <si>
    <t xml:space="preserve">	Dossier d’archives	</t>
  </si>
  <si>
    <t xml:space="preserve">	Dossier annulé	</t>
  </si>
  <si>
    <t>Landry, Vincent</t>
  </si>
  <si>
    <t xml:space="preserve">	Héroïne	 (trafic)</t>
  </si>
  <si>
    <t xml:space="preserve">	Cocaïne	 (trafic)</t>
  </si>
  <si>
    <t>Crack	 (trafic)</t>
  </si>
  <si>
    <t xml:space="preserve">	Cannabis	 (trafic)</t>
  </si>
  <si>
    <t xml:space="preserve">	Véhicule volé au Québec à l’extérie	ur de son territoire et retrouvé sur son territoire </t>
  </si>
  <si>
    <t>---</t>
  </si>
  <si>
    <t>suspension de permis de conduire</t>
  </si>
  <si>
    <t>Rue des Cardinaux</t>
  </si>
  <si>
    <t>Rue des Colibris</t>
  </si>
  <si>
    <t>Rue des Tourterelles</t>
  </si>
  <si>
    <t xml:space="preserve">Possession 	Héroïne	</t>
  </si>
  <si>
    <t>Possession de Cocaïne</t>
  </si>
  <si>
    <t>Possession Crack</t>
  </si>
  <si>
    <t xml:space="preserve">Possession 	Cannabis	</t>
  </si>
  <si>
    <t>Possession 	Méthamphétamines</t>
  </si>
  <si>
    <t>Possession 	Ecsta</t>
  </si>
  <si>
    <t>Nadeau, Marie-Claude</t>
  </si>
  <si>
    <t>Paquin, Laurent</t>
  </si>
  <si>
    <t>Étiquettes de lignes</t>
  </si>
  <si>
    <t>Total général</t>
  </si>
  <si>
    <t>(vide)</t>
  </si>
  <si>
    <t>Nombre de Colonne</t>
  </si>
  <si>
    <t xml:space="preserve">	Alarme contre intrusion (NÉGATIVE)</t>
  </si>
  <si>
    <t xml:space="preserve">Fraude par Carte de service	</t>
  </si>
  <si>
    <t xml:space="preserve">Fraude par Chèque	</t>
  </si>
  <si>
    <t xml:space="preserve">Fraude par Guichet automatique	</t>
  </si>
  <si>
    <t>Fraude (Obtention de gîte -nourriture	)</t>
  </si>
  <si>
    <t xml:space="preserve">Fraude - Changement d’étiquette	</t>
  </si>
  <si>
    <t xml:space="preserve">Fraude - Supposition de personne	</t>
  </si>
  <si>
    <t xml:space="preserve">Fraude - Marketing de masse	</t>
  </si>
  <si>
    <t>Fraude - Valeurs mobilières, instruments fi	nanciers</t>
  </si>
  <si>
    <t xml:space="preserve">Fraude - Fausse réclamation assurances	</t>
  </si>
  <si>
    <t>Carlos, Richard</t>
  </si>
  <si>
    <t>Blais, Michael</t>
  </si>
  <si>
    <t>Martin, Audrey</t>
  </si>
  <si>
    <t>Guilbault, Marc</t>
  </si>
  <si>
    <t>Vachon, Steve</t>
  </si>
  <si>
    <t>Dubuc, Philippe</t>
  </si>
  <si>
    <t>Lamoureux, Julie</t>
  </si>
  <si>
    <t>Hamel-Théberge, Audrey-Ève</t>
  </si>
  <si>
    <t>Lahaye, Marc-Antoine</t>
  </si>
  <si>
    <t>Refus échantillon d’haleine / appareil de détection</t>
  </si>
  <si>
    <t>X801</t>
  </si>
  <si>
    <t>saisie de véhicule CSR</t>
  </si>
  <si>
    <t>X802</t>
  </si>
  <si>
    <t>Assistance autres unités ou enquêtes</t>
  </si>
  <si>
    <t>Rue Lemire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</si>
</sst>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dd"/>
  </numFmts>
  <fonts count="20" x14ac:knownFonts="1">
    <font>
      <sz val="10"/>
      <name val="Arial"/>
    </font>
    <font>
      <b/>
      <sz val="8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8"/>
      <name val="Arial"/>
      <family val="2"/>
    </font>
    <font>
      <b/>
      <sz val="16"/>
      <color indexed="48"/>
      <name val="Arial"/>
      <family val="2"/>
    </font>
    <font>
      <sz val="10"/>
      <name val="Tahoma"/>
      <family val="2"/>
    </font>
    <font>
      <sz val="8"/>
      <name val="Tahoma"/>
      <family val="2"/>
    </font>
    <font>
      <b/>
      <sz val="10"/>
      <name val="Tahoma"/>
      <family val="2"/>
    </font>
    <font>
      <sz val="10"/>
      <name val="Arial"/>
      <family val="2"/>
    </font>
    <font>
      <b/>
      <sz val="24"/>
      <name val="Arial"/>
      <family val="2"/>
    </font>
    <font>
      <sz val="12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20"/>
      <name val="Arial"/>
      <family val="2"/>
    </font>
    <font>
      <b/>
      <sz val="14"/>
      <color rgb="FF000000"/>
      <name val="Arial"/>
      <family val="2"/>
    </font>
    <font>
      <sz val="12"/>
      <color rgb="FF000000"/>
      <name val="Arial Black"/>
      <family val="2"/>
    </font>
    <font>
      <sz val="10"/>
      <color theme="1"/>
      <name val="Tahoma"/>
      <family val="2"/>
    </font>
    <font>
      <b/>
      <sz val="14"/>
      <color theme="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7" fillId="0" borderId="0"/>
    <xf numFmtId="0" fontId="7" fillId="0" borderId="0"/>
  </cellStyleXfs>
  <cellXfs count="85">
    <xf numFmtId="0" fontId="0" fillId="0" borderId="0" xfId="0"/>
    <xf numFmtId="0" fontId="0" fillId="0" borderId="0" xfId="0" applyAlignment="1" applyProtection="1">
      <alignment vertical="center"/>
    </xf>
    <xf numFmtId="0" fontId="0" fillId="0" borderId="0" xfId="0" applyAlignment="1">
      <alignment shrinkToFit="1"/>
    </xf>
    <xf numFmtId="0" fontId="0" fillId="0" borderId="0" xfId="0" applyBorder="1"/>
    <xf numFmtId="0" fontId="2" fillId="2" borderId="1" xfId="0" applyFont="1" applyFill="1" applyBorder="1" applyAlignment="1">
      <alignment horizontal="center"/>
    </xf>
    <xf numFmtId="0" fontId="9" fillId="0" borderId="0" xfId="2" applyFont="1" applyAlignment="1">
      <alignment horizontal="center"/>
    </xf>
    <xf numFmtId="0" fontId="7" fillId="0" borderId="0" xfId="2"/>
    <xf numFmtId="0" fontId="7" fillId="0" borderId="0" xfId="1"/>
    <xf numFmtId="1" fontId="10" fillId="0" borderId="1" xfId="0" applyNumberFormat="1" applyFont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 wrapText="1"/>
    </xf>
    <xf numFmtId="0" fontId="0" fillId="0" borderId="0" xfId="0" applyBorder="1" applyAlignment="1">
      <alignment wrapText="1"/>
    </xf>
    <xf numFmtId="0" fontId="7" fillId="0" borderId="0" xfId="1" applyFont="1"/>
    <xf numFmtId="0" fontId="0" fillId="0" borderId="0" xfId="0" applyFill="1" applyBorder="1" applyAlignment="1">
      <alignment horizontal="center" wrapText="1"/>
    </xf>
    <xf numFmtId="0" fontId="0" fillId="0" borderId="0" xfId="0" applyFill="1" applyBorder="1" applyAlignment="1">
      <alignment wrapText="1"/>
    </xf>
    <xf numFmtId="0" fontId="0" fillId="0" borderId="0" xfId="0" applyFill="1" applyAlignment="1" applyProtection="1">
      <alignment vertical="center"/>
    </xf>
    <xf numFmtId="0" fontId="10" fillId="0" borderId="0" xfId="0" applyFont="1" applyBorder="1" applyAlignment="1">
      <alignment horizontal="center" vertical="center" shrinkToFit="1"/>
    </xf>
    <xf numFmtId="0" fontId="10" fillId="0" borderId="0" xfId="0" applyFont="1" applyBorder="1" applyAlignment="1">
      <alignment vertical="center" shrinkToFit="1"/>
    </xf>
    <xf numFmtId="49" fontId="0" fillId="0" borderId="0" xfId="0" applyNumberFormat="1" applyAlignment="1">
      <alignment wrapText="1"/>
    </xf>
    <xf numFmtId="49" fontId="0" fillId="0" borderId="0" xfId="0" quotePrefix="1" applyNumberFormat="1" applyAlignment="1">
      <alignment wrapText="1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Fill="1" applyBorder="1" applyAlignment="1">
      <alignment horizontal="left" vertical="center" wrapText="1"/>
    </xf>
    <xf numFmtId="0" fontId="2" fillId="0" borderId="0" xfId="0" applyFont="1" applyFill="1" applyAlignment="1" applyProtection="1">
      <alignment vertical="center" wrapText="1"/>
    </xf>
    <xf numFmtId="49" fontId="7" fillId="0" borderId="0" xfId="1" applyNumberFormat="1" applyFont="1"/>
    <xf numFmtId="49" fontId="7" fillId="0" borderId="0" xfId="1" applyNumberFormat="1"/>
    <xf numFmtId="0" fontId="2" fillId="0" borderId="0" xfId="0" applyFont="1" applyFill="1" applyAlignment="1" applyProtection="1">
      <alignment vertical="center"/>
    </xf>
    <xf numFmtId="0" fontId="2" fillId="0" borderId="2" xfId="0" applyFont="1" applyFill="1" applyBorder="1" applyAlignment="1" applyProtection="1">
      <alignment horizontal="left" vertical="center" wrapText="1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1" xfId="0" applyNumberFormat="1" applyFont="1" applyFill="1" applyBorder="1" applyAlignment="1" applyProtection="1">
      <alignment horizontal="left" vertical="center" wrapText="1" shrinkToFit="1"/>
    </xf>
    <xf numFmtId="0" fontId="14" fillId="0" borderId="1" xfId="0" applyNumberFormat="1" applyFont="1" applyFill="1" applyBorder="1" applyAlignment="1" applyProtection="1">
      <alignment horizontal="left" vertical="center" wrapText="1" shrinkToFit="1"/>
    </xf>
    <xf numFmtId="0" fontId="10" fillId="0" borderId="1" xfId="0" applyFont="1" applyBorder="1" applyAlignment="1" applyProtection="1">
      <alignment horizontal="center" vertical="center" wrapText="1"/>
      <protection locked="0"/>
    </xf>
    <xf numFmtId="49" fontId="4" fillId="0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2" xfId="0" applyFont="1" applyBorder="1" applyAlignment="1" applyProtection="1">
      <alignment horizontal="center" vertical="center"/>
      <protection locked="0"/>
    </xf>
    <xf numFmtId="0" fontId="1" fillId="3" borderId="3" xfId="0" applyFont="1" applyFill="1" applyBorder="1" applyAlignment="1" applyProtection="1">
      <alignment horizontal="center" vertical="center"/>
    </xf>
    <xf numFmtId="20" fontId="10" fillId="0" borderId="1" xfId="0" applyNumberFormat="1" applyFont="1" applyBorder="1" applyAlignment="1" applyProtection="1">
      <alignment horizontal="center" vertical="center" wrapText="1"/>
      <protection locked="0"/>
    </xf>
    <xf numFmtId="0" fontId="0" fillId="0" borderId="2" xfId="0" quotePrefix="1" applyNumberFormat="1" applyBorder="1" applyAlignment="1" applyProtection="1">
      <alignment horizontal="center" vertical="center"/>
      <protection locked="0"/>
    </xf>
    <xf numFmtId="0" fontId="0" fillId="0" borderId="2" xfId="0" applyNumberFormat="1" applyBorder="1" applyAlignment="1" applyProtection="1">
      <alignment horizontal="center" vertical="center"/>
      <protection locked="0"/>
    </xf>
    <xf numFmtId="49" fontId="11" fillId="0" borderId="6" xfId="0" applyNumberFormat="1" applyFont="1" applyFill="1" applyBorder="1" applyAlignment="1" applyProtection="1">
      <alignment vertical="center"/>
      <protection locked="0"/>
    </xf>
    <xf numFmtId="0" fontId="0" fillId="0" borderId="1" xfId="0" applyBorder="1" applyAlignment="1" applyProtection="1">
      <alignment horizontal="left" vertical="center" wrapText="1" shrinkToFit="1"/>
    </xf>
    <xf numFmtId="49" fontId="15" fillId="0" borderId="5" xfId="0" applyNumberFormat="1" applyFont="1" applyFill="1" applyBorder="1" applyAlignment="1" applyProtection="1">
      <alignment horizontal="center" vertical="center"/>
      <protection locked="0"/>
    </xf>
    <xf numFmtId="49" fontId="16" fillId="0" borderId="1" xfId="0" applyNumberFormat="1" applyFont="1" applyFill="1" applyBorder="1" applyAlignment="1" applyProtection="1">
      <alignment horizontal="center" vertical="center"/>
      <protection locked="0"/>
    </xf>
    <xf numFmtId="0" fontId="10" fillId="0" borderId="0" xfId="0" applyFont="1" applyFill="1" applyBorder="1" applyAlignment="1">
      <alignment wrapText="1"/>
    </xf>
    <xf numFmtId="0" fontId="12" fillId="0" borderId="5" xfId="0" applyFont="1" applyFill="1" applyBorder="1" applyAlignment="1" applyProtection="1">
      <alignment horizontal="center" vertical="center"/>
    </xf>
    <xf numFmtId="0" fontId="1" fillId="3" borderId="1" xfId="0" applyFont="1" applyFill="1" applyBorder="1" applyAlignment="1" applyProtection="1">
      <alignment horizontal="center" vertical="center"/>
    </xf>
    <xf numFmtId="0" fontId="0" fillId="0" borderId="0" xfId="0"/>
    <xf numFmtId="0" fontId="12" fillId="0" borderId="4" xfId="0" applyFont="1" applyFill="1" applyBorder="1" applyAlignment="1" applyProtection="1">
      <alignment horizontal="center" vertical="center"/>
    </xf>
    <xf numFmtId="1" fontId="10" fillId="0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49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center" vertical="center"/>
    </xf>
    <xf numFmtId="0" fontId="12" fillId="0" borderId="4" xfId="0" applyFont="1" applyFill="1" applyBorder="1" applyAlignment="1" applyProtection="1">
      <alignment horizontal="center" vertical="center"/>
    </xf>
    <xf numFmtId="0" fontId="12" fillId="0" borderId="5" xfId="0" applyFont="1" applyFill="1" applyBorder="1" applyAlignment="1" applyProtection="1">
      <alignment horizontal="center" vertical="center"/>
    </xf>
    <xf numFmtId="0" fontId="18" fillId="0" borderId="0" xfId="0" applyFont="1" applyAlignment="1">
      <alignment horizontal="center"/>
    </xf>
    <xf numFmtId="0" fontId="9" fillId="0" borderId="0" xfId="2" applyFont="1" applyAlignment="1">
      <alignment horizontal="left"/>
    </xf>
    <xf numFmtId="49" fontId="18" fillId="0" borderId="0" xfId="0" applyNumberFormat="1" applyFont="1" applyAlignment="1">
      <alignment horizontal="left"/>
    </xf>
    <xf numFmtId="0" fontId="18" fillId="0" borderId="0" xfId="0" applyFont="1" applyAlignment="1">
      <alignment horizontal="left"/>
    </xf>
    <xf numFmtId="49" fontId="16" fillId="4" borderId="1" xfId="0" applyNumberFormat="1" applyFont="1" applyFill="1" applyBorder="1" applyAlignment="1" applyProtection="1">
      <alignment horizontal="center" vertical="center"/>
      <protection locked="0"/>
    </xf>
    <xf numFmtId="49" fontId="16" fillId="5" borderId="1" xfId="0" applyNumberFormat="1" applyFont="1" applyFill="1" applyBorder="1" applyAlignment="1" applyProtection="1">
      <alignment horizontal="center" vertical="center"/>
      <protection locked="0"/>
    </xf>
    <xf numFmtId="0" fontId="12" fillId="0" borderId="4" xfId="0" applyFont="1" applyFill="1" applyBorder="1" applyAlignment="1" applyProtection="1">
      <alignment horizontal="center" vertical="center"/>
    </xf>
    <xf numFmtId="0" fontId="12" fillId="0" borderId="5" xfId="0" applyFont="1" applyFill="1" applyBorder="1" applyAlignment="1" applyProtection="1">
      <alignment horizontal="center" vertical="center"/>
    </xf>
    <xf numFmtId="0" fontId="1" fillId="3" borderId="1" xfId="0" applyFont="1" applyFill="1" applyBorder="1" applyAlignment="1" applyProtection="1">
      <alignment horizontal="center" vertical="center"/>
    </xf>
    <xf numFmtId="0" fontId="18" fillId="0" borderId="0" xfId="0" quotePrefix="1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49" fontId="19" fillId="6" borderId="1" xfId="0" applyNumberFormat="1" applyFont="1" applyFill="1" applyBorder="1" applyAlignment="1" applyProtection="1">
      <alignment horizontal="center" vertical="center"/>
      <protection locked="0"/>
    </xf>
    <xf numFmtId="0" fontId="10" fillId="0" borderId="0" xfId="0" applyFont="1"/>
    <xf numFmtId="164" fontId="15" fillId="0" borderId="6" xfId="0" applyNumberFormat="1" applyFont="1" applyFill="1" applyBorder="1" applyAlignment="1" applyProtection="1">
      <alignment horizontal="center" vertical="center"/>
      <protection locked="0"/>
    </xf>
    <xf numFmtId="14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</xf>
    <xf numFmtId="0" fontId="0" fillId="0" borderId="0" xfId="0"/>
    <xf numFmtId="0" fontId="12" fillId="0" borderId="4" xfId="0" applyFont="1" applyFill="1" applyBorder="1" applyAlignment="1" applyProtection="1">
      <alignment horizontal="center" vertical="center"/>
    </xf>
    <xf numFmtId="0" fontId="12" fillId="0" borderId="5" xfId="0" applyFont="1" applyFill="1" applyBorder="1" applyAlignment="1" applyProtection="1">
      <alignment horizontal="center" vertical="center"/>
    </xf>
    <xf numFmtId="0" fontId="1" fillId="3" borderId="1" xfId="0" applyFont="1" applyFill="1" applyBorder="1" applyAlignment="1" applyProtection="1">
      <alignment horizontal="center" vertical="center" wrapText="1"/>
    </xf>
    <xf numFmtId="0" fontId="1" fillId="3" borderId="8" xfId="0" applyFont="1" applyFill="1" applyBorder="1" applyAlignment="1" applyProtection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9" xfId="0" applyBorder="1"/>
    <xf numFmtId="0" fontId="2" fillId="3" borderId="10" xfId="0" applyFont="1" applyFill="1" applyBorder="1" applyAlignment="1" applyProtection="1">
      <alignment horizontal="center" vertical="center" wrapText="1"/>
    </xf>
    <xf numFmtId="0" fontId="2" fillId="3" borderId="9" xfId="0" applyFont="1" applyFill="1" applyBorder="1" applyAlignment="1" applyProtection="1">
      <alignment horizontal="center" vertical="center" wrapText="1"/>
    </xf>
    <xf numFmtId="0" fontId="2" fillId="3" borderId="11" xfId="0" applyFont="1" applyFill="1" applyBorder="1" applyAlignment="1" applyProtection="1">
      <alignment horizontal="center" vertical="center" wrapText="1"/>
    </xf>
    <xf numFmtId="0" fontId="0" fillId="0" borderId="1" xfId="0" applyBorder="1" applyAlignment="1" applyProtection="1">
      <alignment horizontal="left" vertical="center" wrapText="1"/>
    </xf>
    <xf numFmtId="0" fontId="1" fillId="3" borderId="1" xfId="0" applyFont="1" applyFill="1" applyBorder="1" applyAlignment="1" applyProtection="1">
      <alignment horizontal="center" vertical="center"/>
    </xf>
    <xf numFmtId="0" fontId="2" fillId="3" borderId="7" xfId="0" applyFont="1" applyFill="1" applyBorder="1" applyAlignment="1" applyProtection="1">
      <alignment horizontal="center" vertical="center"/>
    </xf>
  </cellXfs>
  <cellStyles count="3">
    <cellStyle name="Normal" xfId="0" builtinId="0"/>
    <cellStyle name="Normal_Classeur3" xfId="1" xr:uid="{00000000-0005-0000-0000-000001000000}"/>
    <cellStyle name="Normal_Liste des codes d'événements et d'activités" xfId="2" xr:uid="{00000000-0005-0000-0000-000002000000}"/>
  </cellStyles>
  <dxfs count="188"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1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http://intranet-surete/publications/gqg/logos/LogoSQco2.jpg" TargetMode="External"/><Relationship Id="rId2" Type="http://schemas.openxmlformats.org/officeDocument/2006/relationships/image" Target="../media/image3.jpeg"/><Relationship Id="rId1" Type="http://schemas.openxmlformats.org/officeDocument/2006/relationships/hyperlink" Target="http://intranet-surete/pages/outils/logos/logo_banque_01.html" TargetMode="External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http://intranet-surete/publications/gqg/logos/LogoSQco2.jpg" TargetMode="External"/><Relationship Id="rId2" Type="http://schemas.openxmlformats.org/officeDocument/2006/relationships/image" Target="../media/image3.jpeg"/><Relationship Id="rId1" Type="http://schemas.openxmlformats.org/officeDocument/2006/relationships/hyperlink" Target="http://intranet-surete/pages/outils/logos/logo_banque_01.html" TargetMode="External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http://intranet-surete/publications/gqg/logos/LogoSQco2.jpg" TargetMode="External"/><Relationship Id="rId2" Type="http://schemas.openxmlformats.org/officeDocument/2006/relationships/image" Target="../media/image3.jpeg"/><Relationship Id="rId1" Type="http://schemas.openxmlformats.org/officeDocument/2006/relationships/hyperlink" Target="http://intranet-surete/pages/outils/logos/logo_banque_01.html" TargetMode="External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http://intranet-surete/publications/gqg/logos/LogoSQco2.jpg" TargetMode="External"/><Relationship Id="rId2" Type="http://schemas.openxmlformats.org/officeDocument/2006/relationships/image" Target="../media/image3.jpeg"/><Relationship Id="rId1" Type="http://schemas.openxmlformats.org/officeDocument/2006/relationships/hyperlink" Target="http://intranet-surete/pages/outils/logos/logo_banque_01.html" TargetMode="External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http://intranet-surete/publications/gqg/logos/LogoSQco2.jpg" TargetMode="External"/><Relationship Id="rId2" Type="http://schemas.openxmlformats.org/officeDocument/2006/relationships/image" Target="../media/image3.jpeg"/><Relationship Id="rId1" Type="http://schemas.openxmlformats.org/officeDocument/2006/relationships/hyperlink" Target="http://intranet-surete/pages/outils/logos/logo_banque_01.html" TargetMode="External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http://intranet-surete/publications/gqg/logos/LogoSQco2.jpg" TargetMode="External"/><Relationship Id="rId2" Type="http://schemas.openxmlformats.org/officeDocument/2006/relationships/image" Target="../media/image3.jpeg"/><Relationship Id="rId1" Type="http://schemas.openxmlformats.org/officeDocument/2006/relationships/hyperlink" Target="http://intranet-surete/pages/outils/logos/logo_banque_01.html" TargetMode="External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http://intranet-surete/publications/gqg/logos/LogoSQco2.jpg" TargetMode="External"/><Relationship Id="rId2" Type="http://schemas.openxmlformats.org/officeDocument/2006/relationships/image" Target="../media/image3.jpeg"/><Relationship Id="rId1" Type="http://schemas.openxmlformats.org/officeDocument/2006/relationships/hyperlink" Target="http://intranet-surete/pages/outils/logos/logo_banque_01.html" TargetMode="External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http://intranet-surete/publications/gqg/logos/LogoSQco2.jpg" TargetMode="External"/><Relationship Id="rId2" Type="http://schemas.openxmlformats.org/officeDocument/2006/relationships/image" Target="../media/image3.jpeg"/><Relationship Id="rId1" Type="http://schemas.openxmlformats.org/officeDocument/2006/relationships/hyperlink" Target="http://intranet-surete/pages/outils/logos/logo_banque_01.html" TargetMode="External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http://intranet-surete/publications/gqg/logos/LogoSQco2.jpg" TargetMode="External"/><Relationship Id="rId2" Type="http://schemas.openxmlformats.org/officeDocument/2006/relationships/image" Target="../media/image3.jpeg"/><Relationship Id="rId1" Type="http://schemas.openxmlformats.org/officeDocument/2006/relationships/hyperlink" Target="http://intranet-surete/pages/outils/logos/logo_banque_01.html" TargetMode="External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http://intranet-surete/publications/gqg/logos/LogoSQco2.jpg" TargetMode="External"/><Relationship Id="rId2" Type="http://schemas.openxmlformats.org/officeDocument/2006/relationships/image" Target="../media/image3.jpeg"/><Relationship Id="rId1" Type="http://schemas.openxmlformats.org/officeDocument/2006/relationships/hyperlink" Target="http://intranet-surete/pages/outils/logos/logo_banque_01.html" TargetMode="External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http://intranet-surete/publications/gqg/logos/LogoSQco2.jpg" TargetMode="External"/><Relationship Id="rId2" Type="http://schemas.openxmlformats.org/officeDocument/2006/relationships/image" Target="../media/image3.jpeg"/><Relationship Id="rId1" Type="http://schemas.openxmlformats.org/officeDocument/2006/relationships/hyperlink" Target="http://intranet-surete/pages/outils/logos/logo_banque_01.html" TargetMode="External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http://intranet-surete/publications/gqg/logos/LogoSQco2.jpg" TargetMode="External"/><Relationship Id="rId2" Type="http://schemas.openxmlformats.org/officeDocument/2006/relationships/image" Target="../media/image3.jpeg"/><Relationship Id="rId1" Type="http://schemas.openxmlformats.org/officeDocument/2006/relationships/hyperlink" Target="http://intranet-surete/pages/outils/logos/logo_banque_01.html" TargetMode="External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http://intranet-surete/publications/gqg/logos/LogoSQco2.jpg" TargetMode="External"/><Relationship Id="rId2" Type="http://schemas.openxmlformats.org/officeDocument/2006/relationships/image" Target="../media/image3.jpeg"/><Relationship Id="rId1" Type="http://schemas.openxmlformats.org/officeDocument/2006/relationships/hyperlink" Target="http://intranet-surete/pages/outils/logos/logo_banque_01.html" TargetMode="External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http://intranet-surete/publications/gqg/logos/LogoSQco2.jpg" TargetMode="External"/><Relationship Id="rId2" Type="http://schemas.openxmlformats.org/officeDocument/2006/relationships/image" Target="../media/image3.jpeg"/><Relationship Id="rId1" Type="http://schemas.openxmlformats.org/officeDocument/2006/relationships/hyperlink" Target="http://intranet-surete/pages/outils/logos/logo_banque_01.html" TargetMode="External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http://intranet-surete/publications/gqg/logos/LogoSQco2.jpg" TargetMode="External"/><Relationship Id="rId2" Type="http://schemas.openxmlformats.org/officeDocument/2006/relationships/image" Target="../media/image3.jpeg"/><Relationship Id="rId1" Type="http://schemas.openxmlformats.org/officeDocument/2006/relationships/hyperlink" Target="http://intranet-surete/pages/outils/logos/logo_banque_01.html" TargetMode="External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http://intranet-surete/publications/gqg/logos/LogoSQco2.jpg" TargetMode="External"/><Relationship Id="rId2" Type="http://schemas.openxmlformats.org/officeDocument/2006/relationships/image" Target="../media/image3.jpeg"/><Relationship Id="rId1" Type="http://schemas.openxmlformats.org/officeDocument/2006/relationships/hyperlink" Target="http://intranet-surete/pages/outils/logos/logo_banque_01.html" TargetMode="External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http://intranet-surete/publications/gqg/logos/LogoSQco2.jpg" TargetMode="External"/><Relationship Id="rId2" Type="http://schemas.openxmlformats.org/officeDocument/2006/relationships/image" Target="../media/image3.jpeg"/><Relationship Id="rId1" Type="http://schemas.openxmlformats.org/officeDocument/2006/relationships/hyperlink" Target="http://intranet-surete/pages/outils/logos/logo_banque_01.html" TargetMode="External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http://intranet-surete/publications/gqg/logos/LogoSQco2.jpg" TargetMode="External"/><Relationship Id="rId2" Type="http://schemas.openxmlformats.org/officeDocument/2006/relationships/image" Target="../media/image3.jpeg"/><Relationship Id="rId1" Type="http://schemas.openxmlformats.org/officeDocument/2006/relationships/hyperlink" Target="http://intranet-surete/pages/outils/logos/logo_banque_01.html" TargetMode="External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http://intranet-surete/publications/gqg/logos/LogoSQco2.jpg" TargetMode="External"/><Relationship Id="rId2" Type="http://schemas.openxmlformats.org/officeDocument/2006/relationships/image" Target="../media/image3.jpeg"/><Relationship Id="rId1" Type="http://schemas.openxmlformats.org/officeDocument/2006/relationships/hyperlink" Target="http://intranet-surete/pages/outils/logos/logo_banque_01.html" TargetMode="External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http://intranet-surete/publications/gqg/logos/LogoSQco2.jpg" TargetMode="External"/><Relationship Id="rId2" Type="http://schemas.openxmlformats.org/officeDocument/2006/relationships/image" Target="../media/image3.jpeg"/><Relationship Id="rId1" Type="http://schemas.openxmlformats.org/officeDocument/2006/relationships/hyperlink" Target="http://intranet-surete/pages/outils/logos/logo_banque_01.html" TargetMode="External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http://intranet-surete/publications/gqg/logos/LogoSQco2.jpg" TargetMode="External"/><Relationship Id="rId2" Type="http://schemas.openxmlformats.org/officeDocument/2006/relationships/image" Target="../media/image3.jpeg"/><Relationship Id="rId1" Type="http://schemas.openxmlformats.org/officeDocument/2006/relationships/hyperlink" Target="http://intranet-surete/pages/outils/logos/logo_banque_01.html" TargetMode="External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http://intranet-surete/publications/gqg/logos/LogoSQco2.jpg" TargetMode="External"/><Relationship Id="rId2" Type="http://schemas.openxmlformats.org/officeDocument/2006/relationships/image" Target="../media/image3.jpeg"/><Relationship Id="rId1" Type="http://schemas.openxmlformats.org/officeDocument/2006/relationships/hyperlink" Target="http://intranet-surete/pages/outils/logos/logo_banque_01.html" TargetMode="External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http://intranet-surete/publications/gqg/logos/LogoSQco2.jpg" TargetMode="External"/><Relationship Id="rId2" Type="http://schemas.openxmlformats.org/officeDocument/2006/relationships/image" Target="../media/image3.jpeg"/><Relationship Id="rId1" Type="http://schemas.openxmlformats.org/officeDocument/2006/relationships/hyperlink" Target="http://intranet-surete/pages/outils/logos/logo_banque_01.html" TargetMode="External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http://intranet-surete/publications/gqg/logos/LogoSQco2.jpg" TargetMode="External"/><Relationship Id="rId2" Type="http://schemas.openxmlformats.org/officeDocument/2006/relationships/image" Target="../media/image3.jpeg"/><Relationship Id="rId1" Type="http://schemas.openxmlformats.org/officeDocument/2006/relationships/hyperlink" Target="http://intranet-surete/pages/outils/logos/logo_banque_01.html" TargetMode="External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http://intranet-surete/publications/gqg/logos/LogoSQco2.jpg" TargetMode="External"/><Relationship Id="rId2" Type="http://schemas.openxmlformats.org/officeDocument/2006/relationships/image" Target="../media/image3.jpeg"/><Relationship Id="rId1" Type="http://schemas.openxmlformats.org/officeDocument/2006/relationships/hyperlink" Target="http://intranet-surete/pages/outils/logos/logo_banque_01.html" TargetMode="External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http://intranet-surete/publications/gqg/logos/LogoSQco2.jpg" TargetMode="External"/><Relationship Id="rId2" Type="http://schemas.openxmlformats.org/officeDocument/2006/relationships/image" Target="../media/image3.jpeg"/><Relationship Id="rId1" Type="http://schemas.openxmlformats.org/officeDocument/2006/relationships/hyperlink" Target="http://intranet-surete/pages/outils/logos/logo_banque_01.html" TargetMode="External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http://intranet-surete/publications/gqg/logos/LogoSQco2.jpg" TargetMode="External"/><Relationship Id="rId2" Type="http://schemas.openxmlformats.org/officeDocument/2006/relationships/image" Target="../media/image3.jpeg"/><Relationship Id="rId1" Type="http://schemas.openxmlformats.org/officeDocument/2006/relationships/hyperlink" Target="http://intranet-surete/pages/outils/logos/logo_banque_01.html" TargetMode="External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http://intranet-surete/publications/gqg/logos/LogoSQco2.jpg" TargetMode="External"/><Relationship Id="rId2" Type="http://schemas.openxmlformats.org/officeDocument/2006/relationships/image" Target="../media/image3.jpeg"/><Relationship Id="rId1" Type="http://schemas.openxmlformats.org/officeDocument/2006/relationships/hyperlink" Target="http://intranet-surete/pages/outils/logos/logo_banque_01.html" TargetMode="External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http://intranet-surete/publications/gqg/logos/LogoSQco2.jpg" TargetMode="External"/><Relationship Id="rId2" Type="http://schemas.openxmlformats.org/officeDocument/2006/relationships/image" Target="../media/image3.jpeg"/><Relationship Id="rId1" Type="http://schemas.openxmlformats.org/officeDocument/2006/relationships/hyperlink" Target="http://intranet-surete/pages/outils/logos/logo_banque_01.html" TargetMode="External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http://intranet-surete/publications/gqg/logos/LogoSQco2.jpg" TargetMode="External"/><Relationship Id="rId2" Type="http://schemas.openxmlformats.org/officeDocument/2006/relationships/image" Target="../media/image3.jpeg"/><Relationship Id="rId1" Type="http://schemas.openxmlformats.org/officeDocument/2006/relationships/hyperlink" Target="http://intranet-surete/pages/outils/logos/logo_banque_01.html" TargetMode="External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image" Target="http://intranet-surete/publications/gqg/logos/LogoSQco2.jpg" TargetMode="External"/><Relationship Id="rId2" Type="http://schemas.openxmlformats.org/officeDocument/2006/relationships/image" Target="../media/image3.jpeg"/><Relationship Id="rId1" Type="http://schemas.openxmlformats.org/officeDocument/2006/relationships/hyperlink" Target="http://intranet-surete/pages/outils/logos/logo_banque_01.html" TargetMode="External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3.emf"/></Relationships>
</file>

<file path=xl/drawings/_rels/vmlDrawing18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21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2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23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24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2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26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27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28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29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30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31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sp macro="" textlink="">
      <xdr:nvSpPr>
        <xdr:cNvPr id="138241" name="ComboBox1" hidden="1">
          <a:extLst>
            <a:ext uri="{63B3BB69-23CF-44E3-9099-C40C66FF867C}">
              <a14:compatExt xmlns:a14="http://schemas.microsoft.com/office/drawing/2010/main" spid="_x0000_s138241"/>
            </a:ext>
            <a:ext uri="{FF2B5EF4-FFF2-40B4-BE49-F238E27FC236}">
              <a16:creationId xmlns:a16="http://schemas.microsoft.com/office/drawing/2014/main" id="{00000000-0008-0000-0000-0000011C02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138242" name="ComboBox2" hidden="1">
          <a:extLst>
            <a:ext uri="{63B3BB69-23CF-44E3-9099-C40C66FF867C}">
              <a14:compatExt xmlns:a14="http://schemas.microsoft.com/office/drawing/2010/main" spid="_x0000_s138242"/>
            </a:ext>
            <a:ext uri="{FF2B5EF4-FFF2-40B4-BE49-F238E27FC236}">
              <a16:creationId xmlns:a16="http://schemas.microsoft.com/office/drawing/2014/main" id="{00000000-0008-0000-0000-0000021C02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180975</xdr:colOff>
      <xdr:row>0</xdr:row>
      <xdr:rowOff>0</xdr:rowOff>
    </xdr:from>
    <xdr:to>
      <xdr:col>3</xdr:col>
      <xdr:colOff>0</xdr:colOff>
      <xdr:row>4</xdr:row>
      <xdr:rowOff>152400</xdr:rowOff>
    </xdr:to>
    <xdr:pic>
      <xdr:nvPicPr>
        <xdr:cNvPr id="4" name="Picture 4" descr="http://intranet-surete/publications/gqg/logos/LogoSQco2.jpg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0"/>
          <a:ext cx="647700" cy="838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222250</xdr:colOff>
          <xdr:row>1</xdr:row>
          <xdr:rowOff>139700</xdr:rowOff>
        </xdr:from>
        <xdr:to>
          <xdr:col>9</xdr:col>
          <xdr:colOff>819150</xdr:colOff>
          <xdr:row>4</xdr:row>
          <xdr:rowOff>107950</xdr:rowOff>
        </xdr:to>
        <xdr:sp macro="" textlink="">
          <xdr:nvSpPr>
            <xdr:cNvPr id="138243" name="Button 3" hidden="1">
              <a:extLst>
                <a:ext uri="{63B3BB69-23CF-44E3-9099-C40C66FF867C}">
                  <a14:compatExt spid="_x0000_s138243"/>
                </a:ext>
                <a:ext uri="{FF2B5EF4-FFF2-40B4-BE49-F238E27FC236}">
                  <a16:creationId xmlns:a16="http://schemas.microsoft.com/office/drawing/2014/main" id="{00000000-0008-0000-0000-000003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fr-CA" sz="1200" b="0" i="0" u="none" strike="noStrike" baseline="0">
                  <a:solidFill>
                    <a:srgbClr val="000000"/>
                  </a:solidFill>
                  <a:latin typeface="Arial Black"/>
                </a:rPr>
                <a:t>IMPRESSION DU REGISTRE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pic>
      <xdr:nvPicPr>
        <xdr:cNvPr id="2" name="ComboBox1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3" name="ComboBox2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11</xdr:col>
          <xdr:colOff>1854200</xdr:colOff>
          <xdr:row>8</xdr:row>
          <xdr:rowOff>38100</xdr:rowOff>
        </xdr:to>
        <xdr:sp macro="" textlink="">
          <xdr:nvSpPr>
            <xdr:cNvPr id="138244" name="ComboBox1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0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38100</xdr:rowOff>
        </xdr:to>
        <xdr:sp macro="" textlink="">
          <xdr:nvSpPr>
            <xdr:cNvPr id="138245" name="ComboBox2" hidden="1">
              <a:extLst>
                <a:ext uri="{63B3BB69-23CF-44E3-9099-C40C66FF867C}">
                  <a14:compatExt spid="_x0000_s138245"/>
                </a:ext>
                <a:ext uri="{FF2B5EF4-FFF2-40B4-BE49-F238E27FC236}">
                  <a16:creationId xmlns:a16="http://schemas.microsoft.com/office/drawing/2014/main" id="{00000000-0008-0000-0000-000005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10" name="ComboBox2" hidden="1">
          <a:extLst>
            <a:ext uri="{63B3BB69-23CF-44E3-9099-C40C66FF867C}">
              <a14:compatExt xmlns:a14="http://schemas.microsoft.com/office/drawing/2010/main" spid="_x0000_s137218"/>
            </a:ex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11" name="ComboBox2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sp macro="" textlink="">
      <xdr:nvSpPr>
        <xdr:cNvPr id="2" name="ComboBox1" hidden="1">
          <a:extLst>
            <a:ext uri="{63B3BB69-23CF-44E3-9099-C40C66FF867C}">
              <a14:compatExt xmlns:a14="http://schemas.microsoft.com/office/drawing/2010/main" spid="_x0000_s138241"/>
            </a:ex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3" name="ComboBox2" hidden="1">
          <a:extLst>
            <a:ext uri="{63B3BB69-23CF-44E3-9099-C40C66FF867C}">
              <a14:compatExt xmlns:a14="http://schemas.microsoft.com/office/drawing/2010/main" spid="_x0000_s138242"/>
            </a:ex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180975</xdr:colOff>
      <xdr:row>0</xdr:row>
      <xdr:rowOff>0</xdr:rowOff>
    </xdr:from>
    <xdr:to>
      <xdr:col>3</xdr:col>
      <xdr:colOff>0</xdr:colOff>
      <xdr:row>4</xdr:row>
      <xdr:rowOff>152400</xdr:rowOff>
    </xdr:to>
    <xdr:pic>
      <xdr:nvPicPr>
        <xdr:cNvPr id="4" name="Picture 4" descr="http://intranet-surete/publications/gqg/logos/LogoSQco2.jpg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0"/>
          <a:ext cx="647700" cy="838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222250</xdr:colOff>
          <xdr:row>1</xdr:row>
          <xdr:rowOff>139700</xdr:rowOff>
        </xdr:from>
        <xdr:to>
          <xdr:col>9</xdr:col>
          <xdr:colOff>1143000</xdr:colOff>
          <xdr:row>4</xdr:row>
          <xdr:rowOff>107950</xdr:rowOff>
        </xdr:to>
        <xdr:sp macro="" textlink="">
          <xdr:nvSpPr>
            <xdr:cNvPr id="143361" name="Button 1" hidden="1">
              <a:extLst>
                <a:ext uri="{63B3BB69-23CF-44E3-9099-C40C66FF867C}">
                  <a14:compatExt spid="_x0000_s143361"/>
                </a:ext>
                <a:ext uri="{FF2B5EF4-FFF2-40B4-BE49-F238E27FC236}">
                  <a16:creationId xmlns:a16="http://schemas.microsoft.com/office/drawing/2014/main" id="{00000000-0008-0000-0100-000001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fr-CA" sz="1200" b="0" i="0" u="none" strike="noStrike" baseline="0">
                  <a:solidFill>
                    <a:srgbClr val="000000"/>
                  </a:solidFill>
                  <a:latin typeface="Arial Black"/>
                </a:rPr>
                <a:t>IMPRESSION DU REGISTRE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pic>
      <xdr:nvPicPr>
        <xdr:cNvPr id="6" name="ComboBox1" hidden="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7" name="ComboBox2" hidden="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11</xdr:col>
          <xdr:colOff>1803400</xdr:colOff>
          <xdr:row>10</xdr:row>
          <xdr:rowOff>38100</xdr:rowOff>
        </xdr:to>
        <xdr:sp macro="" textlink="">
          <xdr:nvSpPr>
            <xdr:cNvPr id="143362" name="ComboBox1" hidden="1">
              <a:extLst>
                <a:ext uri="{63B3BB69-23CF-44E3-9099-C40C66FF867C}">
                  <a14:compatExt spid="_x0000_s143362"/>
                </a:ext>
                <a:ext uri="{FF2B5EF4-FFF2-40B4-BE49-F238E27FC236}">
                  <a16:creationId xmlns:a16="http://schemas.microsoft.com/office/drawing/2014/main" id="{00000000-0008-0000-0100-000002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4</xdr:col>
          <xdr:colOff>2965450</xdr:colOff>
          <xdr:row>8</xdr:row>
          <xdr:rowOff>38100</xdr:rowOff>
        </xdr:to>
        <xdr:sp macro="" textlink="">
          <xdr:nvSpPr>
            <xdr:cNvPr id="143363" name="ComboBox2" hidden="1">
              <a:extLst>
                <a:ext uri="{63B3BB69-23CF-44E3-9099-C40C66FF867C}">
                  <a14:compatExt spid="_x0000_s143363"/>
                </a:ext>
                <a:ext uri="{FF2B5EF4-FFF2-40B4-BE49-F238E27FC236}">
                  <a16:creationId xmlns:a16="http://schemas.microsoft.com/office/drawing/2014/main" id="{00000000-0008-0000-0100-000003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10" name="ComboBox2" hidden="1">
          <a:extLst>
            <a:ext uri="{63B3BB69-23CF-44E3-9099-C40C66FF867C}">
              <a14:compatExt xmlns:a14="http://schemas.microsoft.com/office/drawing/2010/main" spid="_x0000_s137218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11" name="ComboBox2" hidden="1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sp macro="" textlink="">
      <xdr:nvSpPr>
        <xdr:cNvPr id="2" name="ComboBox1" hidden="1">
          <a:extLst>
            <a:ext uri="{63B3BB69-23CF-44E3-9099-C40C66FF867C}">
              <a14:compatExt xmlns:a14="http://schemas.microsoft.com/office/drawing/2010/main" spid="_x0000_s138241"/>
            </a:ex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3" name="ComboBox2" hidden="1">
          <a:extLst>
            <a:ext uri="{63B3BB69-23CF-44E3-9099-C40C66FF867C}">
              <a14:compatExt xmlns:a14="http://schemas.microsoft.com/office/drawing/2010/main" spid="_x0000_s138242"/>
            </a:ex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180975</xdr:colOff>
      <xdr:row>0</xdr:row>
      <xdr:rowOff>0</xdr:rowOff>
    </xdr:from>
    <xdr:to>
      <xdr:col>3</xdr:col>
      <xdr:colOff>0</xdr:colOff>
      <xdr:row>4</xdr:row>
      <xdr:rowOff>152400</xdr:rowOff>
    </xdr:to>
    <xdr:pic>
      <xdr:nvPicPr>
        <xdr:cNvPr id="4" name="Picture 4" descr="http://intranet-surete/publications/gqg/logos/LogoSQco2.jpg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0"/>
          <a:ext cx="647700" cy="838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222250</xdr:colOff>
          <xdr:row>1</xdr:row>
          <xdr:rowOff>139700</xdr:rowOff>
        </xdr:from>
        <xdr:to>
          <xdr:col>9</xdr:col>
          <xdr:colOff>1143000</xdr:colOff>
          <xdr:row>4</xdr:row>
          <xdr:rowOff>107950</xdr:rowOff>
        </xdr:to>
        <xdr:sp macro="" textlink="">
          <xdr:nvSpPr>
            <xdr:cNvPr id="144385" name="Button 1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2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fr-CA" sz="1200" b="0" i="0" u="none" strike="noStrike" baseline="0">
                  <a:solidFill>
                    <a:srgbClr val="000000"/>
                  </a:solidFill>
                  <a:latin typeface="Arial Black"/>
                </a:rPr>
                <a:t>IMPRESSION DU REGISTRE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pic>
      <xdr:nvPicPr>
        <xdr:cNvPr id="6" name="ComboBox1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7" name="ComboBox2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11</xdr:col>
          <xdr:colOff>1803400</xdr:colOff>
          <xdr:row>9</xdr:row>
          <xdr:rowOff>38100</xdr:rowOff>
        </xdr:to>
        <xdr:sp macro="" textlink="">
          <xdr:nvSpPr>
            <xdr:cNvPr id="144386" name="ComboBox1" hidden="1">
              <a:extLst>
                <a:ext uri="{63B3BB69-23CF-44E3-9099-C40C66FF867C}">
                  <a14:compatExt spid="_x0000_s144386"/>
                </a:ext>
                <a:ext uri="{FF2B5EF4-FFF2-40B4-BE49-F238E27FC236}">
                  <a16:creationId xmlns:a16="http://schemas.microsoft.com/office/drawing/2014/main" id="{00000000-0008-0000-0200-000002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4</xdr:col>
          <xdr:colOff>2965450</xdr:colOff>
          <xdr:row>11</xdr:row>
          <xdr:rowOff>38100</xdr:rowOff>
        </xdr:to>
        <xdr:sp macro="" textlink="">
          <xdr:nvSpPr>
            <xdr:cNvPr id="144387" name="ComboBox2" hidden="1">
              <a:extLst>
                <a:ext uri="{63B3BB69-23CF-44E3-9099-C40C66FF867C}">
                  <a14:compatExt spid="_x0000_s144387"/>
                </a:ext>
                <a:ext uri="{FF2B5EF4-FFF2-40B4-BE49-F238E27FC236}">
                  <a16:creationId xmlns:a16="http://schemas.microsoft.com/office/drawing/2014/main" id="{00000000-0008-0000-0200-000003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10" name="ComboBox2" hidden="1">
          <a:extLst>
            <a:ext uri="{63B3BB69-23CF-44E3-9099-C40C66FF867C}">
              <a14:compatExt xmlns:a14="http://schemas.microsoft.com/office/drawing/2010/main" spid="_x0000_s137218"/>
            </a:ex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11" name="ComboBox2" hidden="1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sp macro="" textlink="">
      <xdr:nvSpPr>
        <xdr:cNvPr id="2" name="ComboBox1" hidden="1">
          <a:extLst>
            <a:ext uri="{63B3BB69-23CF-44E3-9099-C40C66FF867C}">
              <a14:compatExt xmlns:a14="http://schemas.microsoft.com/office/drawing/2010/main" spid="_x0000_s138241"/>
            </a:ex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3" name="ComboBox2" hidden="1">
          <a:extLst>
            <a:ext uri="{63B3BB69-23CF-44E3-9099-C40C66FF867C}">
              <a14:compatExt xmlns:a14="http://schemas.microsoft.com/office/drawing/2010/main" spid="_x0000_s138242"/>
            </a:ex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180975</xdr:colOff>
      <xdr:row>0</xdr:row>
      <xdr:rowOff>0</xdr:rowOff>
    </xdr:from>
    <xdr:to>
      <xdr:col>3</xdr:col>
      <xdr:colOff>0</xdr:colOff>
      <xdr:row>4</xdr:row>
      <xdr:rowOff>152400</xdr:rowOff>
    </xdr:to>
    <xdr:pic>
      <xdr:nvPicPr>
        <xdr:cNvPr id="4" name="Picture 4" descr="http://intranet-surete/publications/gqg/logos/LogoSQco2.jpg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0"/>
          <a:ext cx="647700" cy="838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222250</xdr:colOff>
          <xdr:row>1</xdr:row>
          <xdr:rowOff>139700</xdr:rowOff>
        </xdr:from>
        <xdr:to>
          <xdr:col>9</xdr:col>
          <xdr:colOff>1143000</xdr:colOff>
          <xdr:row>4</xdr:row>
          <xdr:rowOff>107950</xdr:rowOff>
        </xdr:to>
        <xdr:sp macro="" textlink="">
          <xdr:nvSpPr>
            <xdr:cNvPr id="145409" name="Button 1" hidden="1">
              <a:extLst>
                <a:ext uri="{63B3BB69-23CF-44E3-9099-C40C66FF867C}">
                  <a14:compatExt spid="_x0000_s145409"/>
                </a:ext>
                <a:ext uri="{FF2B5EF4-FFF2-40B4-BE49-F238E27FC236}">
                  <a16:creationId xmlns:a16="http://schemas.microsoft.com/office/drawing/2014/main" id="{00000000-0008-0000-0300-000001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fr-CA" sz="1200" b="0" i="0" u="none" strike="noStrike" baseline="0">
                  <a:solidFill>
                    <a:srgbClr val="000000"/>
                  </a:solidFill>
                  <a:latin typeface="Arial Black"/>
                </a:rPr>
                <a:t>IMPRESSION DU REGISTRE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pic>
      <xdr:nvPicPr>
        <xdr:cNvPr id="6" name="ComboBox1" hidden="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7" name="ComboBox2" hidden="1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11</xdr:col>
          <xdr:colOff>1803400</xdr:colOff>
          <xdr:row>9</xdr:row>
          <xdr:rowOff>38100</xdr:rowOff>
        </xdr:to>
        <xdr:sp macro="" textlink="">
          <xdr:nvSpPr>
            <xdr:cNvPr id="145410" name="ComboBox1" hidden="1">
              <a:extLst>
                <a:ext uri="{63B3BB69-23CF-44E3-9099-C40C66FF867C}">
                  <a14:compatExt spid="_x0000_s145410"/>
                </a:ext>
                <a:ext uri="{FF2B5EF4-FFF2-40B4-BE49-F238E27FC236}">
                  <a16:creationId xmlns:a16="http://schemas.microsoft.com/office/drawing/2014/main" id="{00000000-0008-0000-0300-000002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4</xdr:col>
          <xdr:colOff>2965450</xdr:colOff>
          <xdr:row>11</xdr:row>
          <xdr:rowOff>38100</xdr:rowOff>
        </xdr:to>
        <xdr:sp macro="" textlink="">
          <xdr:nvSpPr>
            <xdr:cNvPr id="145411" name="ComboBox2" hidden="1">
              <a:extLst>
                <a:ext uri="{63B3BB69-23CF-44E3-9099-C40C66FF867C}">
                  <a14:compatExt spid="_x0000_s145411"/>
                </a:ext>
                <a:ext uri="{FF2B5EF4-FFF2-40B4-BE49-F238E27FC236}">
                  <a16:creationId xmlns:a16="http://schemas.microsoft.com/office/drawing/2014/main" id="{00000000-0008-0000-0300-000003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10" name="ComboBox2" hidden="1">
          <a:extLst>
            <a:ext uri="{63B3BB69-23CF-44E3-9099-C40C66FF867C}">
              <a14:compatExt xmlns:a14="http://schemas.microsoft.com/office/drawing/2010/main" spid="_x0000_s137218"/>
            </a:ex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11" name="ComboBox2" hidden="1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sp macro="" textlink="">
      <xdr:nvSpPr>
        <xdr:cNvPr id="2" name="ComboBox1" hidden="1">
          <a:extLst>
            <a:ext uri="{63B3BB69-23CF-44E3-9099-C40C66FF867C}">
              <a14:compatExt xmlns:a14="http://schemas.microsoft.com/office/drawing/2010/main" spid="_x0000_s138241"/>
            </a:ex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3" name="ComboBox2" hidden="1">
          <a:extLst>
            <a:ext uri="{63B3BB69-23CF-44E3-9099-C40C66FF867C}">
              <a14:compatExt xmlns:a14="http://schemas.microsoft.com/office/drawing/2010/main" spid="_x0000_s138242"/>
            </a:ex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180975</xdr:colOff>
      <xdr:row>0</xdr:row>
      <xdr:rowOff>0</xdr:rowOff>
    </xdr:from>
    <xdr:to>
      <xdr:col>3</xdr:col>
      <xdr:colOff>0</xdr:colOff>
      <xdr:row>4</xdr:row>
      <xdr:rowOff>152400</xdr:rowOff>
    </xdr:to>
    <xdr:pic>
      <xdr:nvPicPr>
        <xdr:cNvPr id="4" name="Picture 4" descr="http://intranet-surete/publications/gqg/logos/LogoSQco2.jpg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0"/>
          <a:ext cx="647700" cy="838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222250</xdr:colOff>
          <xdr:row>1</xdr:row>
          <xdr:rowOff>139700</xdr:rowOff>
        </xdr:from>
        <xdr:to>
          <xdr:col>9</xdr:col>
          <xdr:colOff>1143000</xdr:colOff>
          <xdr:row>4</xdr:row>
          <xdr:rowOff>107950</xdr:rowOff>
        </xdr:to>
        <xdr:sp macro="" textlink="">
          <xdr:nvSpPr>
            <xdr:cNvPr id="146433" name="Button 1" hidden="1">
              <a:extLst>
                <a:ext uri="{63B3BB69-23CF-44E3-9099-C40C66FF867C}">
                  <a14:compatExt spid="_x0000_s146433"/>
                </a:ext>
                <a:ext uri="{FF2B5EF4-FFF2-40B4-BE49-F238E27FC236}">
                  <a16:creationId xmlns:a16="http://schemas.microsoft.com/office/drawing/2014/main" id="{00000000-0008-0000-0400-000001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fr-CA" sz="1200" b="0" i="0" u="none" strike="noStrike" baseline="0">
                  <a:solidFill>
                    <a:srgbClr val="000000"/>
                  </a:solidFill>
                  <a:latin typeface="Arial Black"/>
                </a:rPr>
                <a:t>IMPRESSION DU REGISTRE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pic>
      <xdr:nvPicPr>
        <xdr:cNvPr id="6" name="ComboBox1" hidden="1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7" name="ComboBox2" hidden="1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11</xdr:col>
          <xdr:colOff>1803400</xdr:colOff>
          <xdr:row>9</xdr:row>
          <xdr:rowOff>38100</xdr:rowOff>
        </xdr:to>
        <xdr:sp macro="" textlink="">
          <xdr:nvSpPr>
            <xdr:cNvPr id="146434" name="ComboBox1" hidden="1">
              <a:extLst>
                <a:ext uri="{63B3BB69-23CF-44E3-9099-C40C66FF867C}">
                  <a14:compatExt spid="_x0000_s146434"/>
                </a:ext>
                <a:ext uri="{FF2B5EF4-FFF2-40B4-BE49-F238E27FC236}">
                  <a16:creationId xmlns:a16="http://schemas.microsoft.com/office/drawing/2014/main" id="{00000000-0008-0000-0400-000002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4</xdr:col>
          <xdr:colOff>2965450</xdr:colOff>
          <xdr:row>11</xdr:row>
          <xdr:rowOff>38100</xdr:rowOff>
        </xdr:to>
        <xdr:sp macro="" textlink="">
          <xdr:nvSpPr>
            <xdr:cNvPr id="146435" name="ComboBox2" hidden="1">
              <a:extLst>
                <a:ext uri="{63B3BB69-23CF-44E3-9099-C40C66FF867C}">
                  <a14:compatExt spid="_x0000_s146435"/>
                </a:ext>
                <a:ext uri="{FF2B5EF4-FFF2-40B4-BE49-F238E27FC236}">
                  <a16:creationId xmlns:a16="http://schemas.microsoft.com/office/drawing/2014/main" id="{00000000-0008-0000-0400-000003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10" name="ComboBox2" hidden="1">
          <a:extLst>
            <a:ext uri="{63B3BB69-23CF-44E3-9099-C40C66FF867C}">
              <a14:compatExt xmlns:a14="http://schemas.microsoft.com/office/drawing/2010/main" spid="_x0000_s137218"/>
            </a:ex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11" name="ComboBox2" hidden="1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sp macro="" textlink="">
      <xdr:nvSpPr>
        <xdr:cNvPr id="2" name="ComboBox1" hidden="1">
          <a:extLst>
            <a:ext uri="{63B3BB69-23CF-44E3-9099-C40C66FF867C}">
              <a14:compatExt xmlns:a14="http://schemas.microsoft.com/office/drawing/2010/main" spid="_x0000_s138241"/>
            </a:ex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3" name="ComboBox2" hidden="1">
          <a:extLst>
            <a:ext uri="{63B3BB69-23CF-44E3-9099-C40C66FF867C}">
              <a14:compatExt xmlns:a14="http://schemas.microsoft.com/office/drawing/2010/main" spid="_x0000_s138242"/>
            </a:ex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180975</xdr:colOff>
      <xdr:row>0</xdr:row>
      <xdr:rowOff>0</xdr:rowOff>
    </xdr:from>
    <xdr:to>
      <xdr:col>3</xdr:col>
      <xdr:colOff>0</xdr:colOff>
      <xdr:row>4</xdr:row>
      <xdr:rowOff>152400</xdr:rowOff>
    </xdr:to>
    <xdr:pic>
      <xdr:nvPicPr>
        <xdr:cNvPr id="4" name="Picture 4" descr="http://intranet-surete/publications/gqg/logos/LogoSQco2.jpg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0"/>
          <a:ext cx="647700" cy="838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222250</xdr:colOff>
          <xdr:row>1</xdr:row>
          <xdr:rowOff>139700</xdr:rowOff>
        </xdr:from>
        <xdr:to>
          <xdr:col>9</xdr:col>
          <xdr:colOff>1143000</xdr:colOff>
          <xdr:row>4</xdr:row>
          <xdr:rowOff>107950</xdr:rowOff>
        </xdr:to>
        <xdr:sp macro="" textlink="">
          <xdr:nvSpPr>
            <xdr:cNvPr id="147457" name="Button 1" hidden="1">
              <a:extLst>
                <a:ext uri="{63B3BB69-23CF-44E3-9099-C40C66FF867C}">
                  <a14:compatExt spid="_x0000_s147457"/>
                </a:ext>
                <a:ext uri="{FF2B5EF4-FFF2-40B4-BE49-F238E27FC236}">
                  <a16:creationId xmlns:a16="http://schemas.microsoft.com/office/drawing/2014/main" id="{00000000-0008-0000-0500-000001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fr-CA" sz="1200" b="0" i="0" u="none" strike="noStrike" baseline="0">
                  <a:solidFill>
                    <a:srgbClr val="000000"/>
                  </a:solidFill>
                  <a:latin typeface="Arial Black"/>
                </a:rPr>
                <a:t>IMPRESSION DU REGISTRE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pic>
      <xdr:nvPicPr>
        <xdr:cNvPr id="6" name="ComboBox1" hidden="1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7" name="ComboBox2" hidden="1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11</xdr:col>
          <xdr:colOff>1803400</xdr:colOff>
          <xdr:row>9</xdr:row>
          <xdr:rowOff>38100</xdr:rowOff>
        </xdr:to>
        <xdr:sp macro="" textlink="">
          <xdr:nvSpPr>
            <xdr:cNvPr id="147458" name="ComboBox1" hidden="1">
              <a:extLst>
                <a:ext uri="{63B3BB69-23CF-44E3-9099-C40C66FF867C}">
                  <a14:compatExt spid="_x0000_s147458"/>
                </a:ext>
                <a:ext uri="{FF2B5EF4-FFF2-40B4-BE49-F238E27FC236}">
                  <a16:creationId xmlns:a16="http://schemas.microsoft.com/office/drawing/2014/main" id="{00000000-0008-0000-0500-000002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4</xdr:col>
          <xdr:colOff>3048000</xdr:colOff>
          <xdr:row>8</xdr:row>
          <xdr:rowOff>38100</xdr:rowOff>
        </xdr:to>
        <xdr:sp macro="" textlink="">
          <xdr:nvSpPr>
            <xdr:cNvPr id="147459" name="ComboBox2" hidden="1">
              <a:extLst>
                <a:ext uri="{63B3BB69-23CF-44E3-9099-C40C66FF867C}">
                  <a14:compatExt spid="_x0000_s147459"/>
                </a:ext>
                <a:ext uri="{FF2B5EF4-FFF2-40B4-BE49-F238E27FC236}">
                  <a16:creationId xmlns:a16="http://schemas.microsoft.com/office/drawing/2014/main" id="{00000000-0008-0000-0500-000003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10" name="ComboBox2" hidden="1">
          <a:extLst>
            <a:ext uri="{63B3BB69-23CF-44E3-9099-C40C66FF867C}">
              <a14:compatExt xmlns:a14="http://schemas.microsoft.com/office/drawing/2010/main" spid="_x0000_s137218"/>
            </a:ex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11" name="ComboBox2" hidden="1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sp macro="" textlink="">
      <xdr:nvSpPr>
        <xdr:cNvPr id="2" name="ComboBox1" hidden="1">
          <a:extLst>
            <a:ext uri="{63B3BB69-23CF-44E3-9099-C40C66FF867C}">
              <a14:compatExt xmlns:a14="http://schemas.microsoft.com/office/drawing/2010/main" spid="_x0000_s138241"/>
            </a:ex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3" name="ComboBox2" hidden="1">
          <a:extLst>
            <a:ext uri="{63B3BB69-23CF-44E3-9099-C40C66FF867C}">
              <a14:compatExt xmlns:a14="http://schemas.microsoft.com/office/drawing/2010/main" spid="_x0000_s138242"/>
            </a:ex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180975</xdr:colOff>
      <xdr:row>0</xdr:row>
      <xdr:rowOff>0</xdr:rowOff>
    </xdr:from>
    <xdr:to>
      <xdr:col>3</xdr:col>
      <xdr:colOff>0</xdr:colOff>
      <xdr:row>4</xdr:row>
      <xdr:rowOff>152400</xdr:rowOff>
    </xdr:to>
    <xdr:pic>
      <xdr:nvPicPr>
        <xdr:cNvPr id="4" name="Picture 4" descr="http://intranet-surete/publications/gqg/logos/LogoSQco2.jpg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0"/>
          <a:ext cx="647700" cy="838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222250</xdr:colOff>
          <xdr:row>1</xdr:row>
          <xdr:rowOff>139700</xdr:rowOff>
        </xdr:from>
        <xdr:to>
          <xdr:col>9</xdr:col>
          <xdr:colOff>1143000</xdr:colOff>
          <xdr:row>4</xdr:row>
          <xdr:rowOff>107950</xdr:rowOff>
        </xdr:to>
        <xdr:sp macro="" textlink="">
          <xdr:nvSpPr>
            <xdr:cNvPr id="148481" name="Button 1" hidden="1">
              <a:extLst>
                <a:ext uri="{63B3BB69-23CF-44E3-9099-C40C66FF867C}">
                  <a14:compatExt spid="_x0000_s148481"/>
                </a:ext>
                <a:ext uri="{FF2B5EF4-FFF2-40B4-BE49-F238E27FC236}">
                  <a16:creationId xmlns:a16="http://schemas.microsoft.com/office/drawing/2014/main" id="{00000000-0008-0000-0600-000001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fr-CA" sz="1200" b="0" i="0" u="none" strike="noStrike" baseline="0">
                  <a:solidFill>
                    <a:srgbClr val="000000"/>
                  </a:solidFill>
                  <a:latin typeface="Arial Black"/>
                </a:rPr>
                <a:t>IMPRESSION DU REGISTRE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pic>
      <xdr:nvPicPr>
        <xdr:cNvPr id="6" name="ComboBox1" hidden="1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7" name="ComboBox2" hidden="1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11</xdr:col>
          <xdr:colOff>1803400</xdr:colOff>
          <xdr:row>9</xdr:row>
          <xdr:rowOff>38100</xdr:rowOff>
        </xdr:to>
        <xdr:sp macro="" textlink="">
          <xdr:nvSpPr>
            <xdr:cNvPr id="148482" name="ComboBox1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6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4</xdr:col>
          <xdr:colOff>2965450</xdr:colOff>
          <xdr:row>11</xdr:row>
          <xdr:rowOff>38100</xdr:rowOff>
        </xdr:to>
        <xdr:sp macro="" textlink="">
          <xdr:nvSpPr>
            <xdr:cNvPr id="148483" name="ComboBox2" hidden="1">
              <a:extLst>
                <a:ext uri="{63B3BB69-23CF-44E3-9099-C40C66FF867C}">
                  <a14:compatExt spid="_x0000_s148483"/>
                </a:ext>
                <a:ext uri="{FF2B5EF4-FFF2-40B4-BE49-F238E27FC236}">
                  <a16:creationId xmlns:a16="http://schemas.microsoft.com/office/drawing/2014/main" id="{00000000-0008-0000-0600-000003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10" name="ComboBox2" hidden="1">
          <a:extLst>
            <a:ext uri="{63B3BB69-23CF-44E3-9099-C40C66FF867C}">
              <a14:compatExt xmlns:a14="http://schemas.microsoft.com/office/drawing/2010/main" spid="_x0000_s137218"/>
            </a:ex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11" name="ComboBox2" hidden="1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sp macro="" textlink="">
      <xdr:nvSpPr>
        <xdr:cNvPr id="2" name="ComboBox1" hidden="1">
          <a:extLst>
            <a:ext uri="{63B3BB69-23CF-44E3-9099-C40C66FF867C}">
              <a14:compatExt xmlns:a14="http://schemas.microsoft.com/office/drawing/2010/main" spid="_x0000_s138241"/>
            </a:ex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3" name="ComboBox2" hidden="1">
          <a:extLst>
            <a:ext uri="{63B3BB69-23CF-44E3-9099-C40C66FF867C}">
              <a14:compatExt xmlns:a14="http://schemas.microsoft.com/office/drawing/2010/main" spid="_x0000_s138242"/>
            </a:ex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180975</xdr:colOff>
      <xdr:row>0</xdr:row>
      <xdr:rowOff>0</xdr:rowOff>
    </xdr:from>
    <xdr:to>
      <xdr:col>3</xdr:col>
      <xdr:colOff>0</xdr:colOff>
      <xdr:row>4</xdr:row>
      <xdr:rowOff>152400</xdr:rowOff>
    </xdr:to>
    <xdr:pic>
      <xdr:nvPicPr>
        <xdr:cNvPr id="4" name="Picture 4" descr="http://intranet-surete/publications/gqg/logos/LogoSQco2.jpg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0"/>
          <a:ext cx="647700" cy="838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222250</xdr:colOff>
          <xdr:row>1</xdr:row>
          <xdr:rowOff>139700</xdr:rowOff>
        </xdr:from>
        <xdr:to>
          <xdr:col>9</xdr:col>
          <xdr:colOff>1143000</xdr:colOff>
          <xdr:row>4</xdr:row>
          <xdr:rowOff>107950</xdr:rowOff>
        </xdr:to>
        <xdr:sp macro="" textlink="">
          <xdr:nvSpPr>
            <xdr:cNvPr id="149505" name="Button 1" hidden="1">
              <a:extLst>
                <a:ext uri="{63B3BB69-23CF-44E3-9099-C40C66FF867C}">
                  <a14:compatExt spid="_x0000_s149505"/>
                </a:ext>
                <a:ext uri="{FF2B5EF4-FFF2-40B4-BE49-F238E27FC236}">
                  <a16:creationId xmlns:a16="http://schemas.microsoft.com/office/drawing/2014/main" id="{00000000-0008-0000-0700-000001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fr-CA" sz="1200" b="0" i="0" u="none" strike="noStrike" baseline="0">
                  <a:solidFill>
                    <a:srgbClr val="000000"/>
                  </a:solidFill>
                  <a:latin typeface="Arial Black"/>
                </a:rPr>
                <a:t>IMPRESSION DU REGISTRE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pic>
      <xdr:nvPicPr>
        <xdr:cNvPr id="6" name="ComboBox1" hidden="1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7" name="ComboBox2" hidden="1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11</xdr:col>
          <xdr:colOff>1803400</xdr:colOff>
          <xdr:row>9</xdr:row>
          <xdr:rowOff>38100</xdr:rowOff>
        </xdr:to>
        <xdr:sp macro="" textlink="">
          <xdr:nvSpPr>
            <xdr:cNvPr id="149506" name="ComboBox1" hidden="1">
              <a:extLst>
                <a:ext uri="{63B3BB69-23CF-44E3-9099-C40C66FF867C}">
                  <a14:compatExt spid="_x0000_s149506"/>
                </a:ext>
                <a:ext uri="{FF2B5EF4-FFF2-40B4-BE49-F238E27FC236}">
                  <a16:creationId xmlns:a16="http://schemas.microsoft.com/office/drawing/2014/main" id="{00000000-0008-0000-0700-000002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4</xdr:col>
          <xdr:colOff>2965450</xdr:colOff>
          <xdr:row>11</xdr:row>
          <xdr:rowOff>38100</xdr:rowOff>
        </xdr:to>
        <xdr:sp macro="" textlink="">
          <xdr:nvSpPr>
            <xdr:cNvPr id="149507" name="ComboBox2" hidden="1">
              <a:extLst>
                <a:ext uri="{63B3BB69-23CF-44E3-9099-C40C66FF867C}">
                  <a14:compatExt spid="_x0000_s149507"/>
                </a:ext>
                <a:ext uri="{FF2B5EF4-FFF2-40B4-BE49-F238E27FC236}">
                  <a16:creationId xmlns:a16="http://schemas.microsoft.com/office/drawing/2014/main" id="{00000000-0008-0000-0700-000003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10" name="ComboBox2" hidden="1">
          <a:extLst>
            <a:ext uri="{63B3BB69-23CF-44E3-9099-C40C66FF867C}">
              <a14:compatExt xmlns:a14="http://schemas.microsoft.com/office/drawing/2010/main" spid="_x0000_s137218"/>
            </a:ex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11" name="ComboBox2" hidden="1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sp macro="" textlink="">
      <xdr:nvSpPr>
        <xdr:cNvPr id="2" name="ComboBox1" hidden="1">
          <a:extLst>
            <a:ext uri="{63B3BB69-23CF-44E3-9099-C40C66FF867C}">
              <a14:compatExt xmlns:a14="http://schemas.microsoft.com/office/drawing/2010/main" spid="_x0000_s138241"/>
            </a:ex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3" name="ComboBox2" hidden="1">
          <a:extLst>
            <a:ext uri="{63B3BB69-23CF-44E3-9099-C40C66FF867C}">
              <a14:compatExt xmlns:a14="http://schemas.microsoft.com/office/drawing/2010/main" spid="_x0000_s138242"/>
            </a:ex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180975</xdr:colOff>
      <xdr:row>0</xdr:row>
      <xdr:rowOff>0</xdr:rowOff>
    </xdr:from>
    <xdr:to>
      <xdr:col>3</xdr:col>
      <xdr:colOff>0</xdr:colOff>
      <xdr:row>4</xdr:row>
      <xdr:rowOff>152400</xdr:rowOff>
    </xdr:to>
    <xdr:pic>
      <xdr:nvPicPr>
        <xdr:cNvPr id="4" name="Picture 4" descr="http://intranet-surete/publications/gqg/logos/LogoSQco2.jpg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0"/>
          <a:ext cx="647700" cy="838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222250</xdr:colOff>
          <xdr:row>1</xdr:row>
          <xdr:rowOff>139700</xdr:rowOff>
        </xdr:from>
        <xdr:to>
          <xdr:col>9</xdr:col>
          <xdr:colOff>1143000</xdr:colOff>
          <xdr:row>4</xdr:row>
          <xdr:rowOff>107950</xdr:rowOff>
        </xdr:to>
        <xdr:sp macro="" textlink="">
          <xdr:nvSpPr>
            <xdr:cNvPr id="150529" name="Button 1" hidden="1">
              <a:extLst>
                <a:ext uri="{63B3BB69-23CF-44E3-9099-C40C66FF867C}">
                  <a14:compatExt spid="_x0000_s150529"/>
                </a:ext>
                <a:ext uri="{FF2B5EF4-FFF2-40B4-BE49-F238E27FC236}">
                  <a16:creationId xmlns:a16="http://schemas.microsoft.com/office/drawing/2014/main" id="{00000000-0008-0000-0800-000001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fr-CA" sz="1200" b="0" i="0" u="none" strike="noStrike" baseline="0">
                  <a:solidFill>
                    <a:srgbClr val="000000"/>
                  </a:solidFill>
                  <a:latin typeface="Arial Black"/>
                </a:rPr>
                <a:t>IMPRESSION DU REGISTRE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pic>
      <xdr:nvPicPr>
        <xdr:cNvPr id="6" name="ComboBox1" hidden="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7" name="ComboBox2" hidden="1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11</xdr:col>
          <xdr:colOff>1803400</xdr:colOff>
          <xdr:row>9</xdr:row>
          <xdr:rowOff>38100</xdr:rowOff>
        </xdr:to>
        <xdr:sp macro="" textlink="">
          <xdr:nvSpPr>
            <xdr:cNvPr id="150530" name="ComboBox1" hidden="1">
              <a:extLst>
                <a:ext uri="{63B3BB69-23CF-44E3-9099-C40C66FF867C}">
                  <a14:compatExt spid="_x0000_s150530"/>
                </a:ext>
                <a:ext uri="{FF2B5EF4-FFF2-40B4-BE49-F238E27FC236}">
                  <a16:creationId xmlns:a16="http://schemas.microsoft.com/office/drawing/2014/main" id="{00000000-0008-0000-0800-000002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4</xdr:col>
          <xdr:colOff>2965450</xdr:colOff>
          <xdr:row>11</xdr:row>
          <xdr:rowOff>38100</xdr:rowOff>
        </xdr:to>
        <xdr:sp macro="" textlink="">
          <xdr:nvSpPr>
            <xdr:cNvPr id="150531" name="ComboBox2" hidden="1">
              <a:extLst>
                <a:ext uri="{63B3BB69-23CF-44E3-9099-C40C66FF867C}">
                  <a14:compatExt spid="_x0000_s150531"/>
                </a:ext>
                <a:ext uri="{FF2B5EF4-FFF2-40B4-BE49-F238E27FC236}">
                  <a16:creationId xmlns:a16="http://schemas.microsoft.com/office/drawing/2014/main" id="{00000000-0008-0000-0800-000003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10" name="ComboBox2" hidden="1">
          <a:extLst>
            <a:ext uri="{63B3BB69-23CF-44E3-9099-C40C66FF867C}">
              <a14:compatExt xmlns:a14="http://schemas.microsoft.com/office/drawing/2010/main" spid="_x0000_s137218"/>
            </a:ex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11" name="ComboBox2" hidden="1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sp macro="" textlink="">
      <xdr:nvSpPr>
        <xdr:cNvPr id="2" name="ComboBox1" hidden="1">
          <a:extLst>
            <a:ext uri="{63B3BB69-23CF-44E3-9099-C40C66FF867C}">
              <a14:compatExt xmlns:a14="http://schemas.microsoft.com/office/drawing/2010/main" spid="_x0000_s138241"/>
            </a:ex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3" name="ComboBox2" hidden="1">
          <a:extLst>
            <a:ext uri="{63B3BB69-23CF-44E3-9099-C40C66FF867C}">
              <a14:compatExt xmlns:a14="http://schemas.microsoft.com/office/drawing/2010/main" spid="_x0000_s138242"/>
            </a:ex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180975</xdr:colOff>
      <xdr:row>0</xdr:row>
      <xdr:rowOff>0</xdr:rowOff>
    </xdr:from>
    <xdr:to>
      <xdr:col>3</xdr:col>
      <xdr:colOff>0</xdr:colOff>
      <xdr:row>4</xdr:row>
      <xdr:rowOff>152400</xdr:rowOff>
    </xdr:to>
    <xdr:pic>
      <xdr:nvPicPr>
        <xdr:cNvPr id="4" name="Picture 4" descr="http://intranet-surete/publications/gqg/logos/LogoSQco2.jpg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0"/>
          <a:ext cx="647700" cy="838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222250</xdr:colOff>
          <xdr:row>1</xdr:row>
          <xdr:rowOff>139700</xdr:rowOff>
        </xdr:from>
        <xdr:to>
          <xdr:col>9</xdr:col>
          <xdr:colOff>1143000</xdr:colOff>
          <xdr:row>4</xdr:row>
          <xdr:rowOff>107950</xdr:rowOff>
        </xdr:to>
        <xdr:sp macro="" textlink="">
          <xdr:nvSpPr>
            <xdr:cNvPr id="151553" name="Button 1" hidden="1">
              <a:extLst>
                <a:ext uri="{63B3BB69-23CF-44E3-9099-C40C66FF867C}">
                  <a14:compatExt spid="_x0000_s151553"/>
                </a:ext>
                <a:ext uri="{FF2B5EF4-FFF2-40B4-BE49-F238E27FC236}">
                  <a16:creationId xmlns:a16="http://schemas.microsoft.com/office/drawing/2014/main" id="{00000000-0008-0000-0900-000001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fr-CA" sz="1200" b="0" i="0" u="none" strike="noStrike" baseline="0">
                  <a:solidFill>
                    <a:srgbClr val="000000"/>
                  </a:solidFill>
                  <a:latin typeface="Arial Black"/>
                </a:rPr>
                <a:t>IMPRESSION DU REGISTRE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pic>
      <xdr:nvPicPr>
        <xdr:cNvPr id="6" name="ComboBox1" hidden="1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7" name="ComboBox2" hidden="1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11</xdr:col>
          <xdr:colOff>1803400</xdr:colOff>
          <xdr:row>9</xdr:row>
          <xdr:rowOff>38100</xdr:rowOff>
        </xdr:to>
        <xdr:sp macro="" textlink="">
          <xdr:nvSpPr>
            <xdr:cNvPr id="151554" name="ComboBox1" hidden="1">
              <a:extLst>
                <a:ext uri="{63B3BB69-23CF-44E3-9099-C40C66FF867C}">
                  <a14:compatExt spid="_x0000_s151554"/>
                </a:ext>
                <a:ext uri="{FF2B5EF4-FFF2-40B4-BE49-F238E27FC236}">
                  <a16:creationId xmlns:a16="http://schemas.microsoft.com/office/drawing/2014/main" id="{00000000-0008-0000-0900-000002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4</xdr:col>
          <xdr:colOff>3048000</xdr:colOff>
          <xdr:row>8</xdr:row>
          <xdr:rowOff>38100</xdr:rowOff>
        </xdr:to>
        <xdr:sp macro="" textlink="">
          <xdr:nvSpPr>
            <xdr:cNvPr id="151555" name="ComboBox2" hidden="1">
              <a:extLst>
                <a:ext uri="{63B3BB69-23CF-44E3-9099-C40C66FF867C}">
                  <a14:compatExt spid="_x0000_s151555"/>
                </a:ext>
                <a:ext uri="{FF2B5EF4-FFF2-40B4-BE49-F238E27FC236}">
                  <a16:creationId xmlns:a16="http://schemas.microsoft.com/office/drawing/2014/main" id="{00000000-0008-0000-0900-000003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10" name="ComboBox2" hidden="1">
          <a:extLst>
            <a:ext uri="{63B3BB69-23CF-44E3-9099-C40C66FF867C}">
              <a14:compatExt xmlns:a14="http://schemas.microsoft.com/office/drawing/2010/main" spid="_x0000_s137218"/>
            </a:ex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11" name="ComboBox2" hidden="1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sp macro="" textlink="">
      <xdr:nvSpPr>
        <xdr:cNvPr id="2" name="ComboBox1" hidden="1">
          <a:extLst>
            <a:ext uri="{63B3BB69-23CF-44E3-9099-C40C66FF867C}">
              <a14:compatExt xmlns:a14="http://schemas.microsoft.com/office/drawing/2010/main" spid="_x0000_s138241"/>
            </a:ex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3" name="ComboBox2" hidden="1">
          <a:extLst>
            <a:ext uri="{63B3BB69-23CF-44E3-9099-C40C66FF867C}">
              <a14:compatExt xmlns:a14="http://schemas.microsoft.com/office/drawing/2010/main" spid="_x0000_s138242"/>
            </a:ex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180975</xdr:colOff>
      <xdr:row>0</xdr:row>
      <xdr:rowOff>0</xdr:rowOff>
    </xdr:from>
    <xdr:to>
      <xdr:col>3</xdr:col>
      <xdr:colOff>0</xdr:colOff>
      <xdr:row>4</xdr:row>
      <xdr:rowOff>152400</xdr:rowOff>
    </xdr:to>
    <xdr:pic>
      <xdr:nvPicPr>
        <xdr:cNvPr id="4" name="Picture 4" descr="http://intranet-surete/publications/gqg/logos/LogoSQco2.jpg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0"/>
          <a:ext cx="647700" cy="838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222250</xdr:colOff>
          <xdr:row>1</xdr:row>
          <xdr:rowOff>139700</xdr:rowOff>
        </xdr:from>
        <xdr:to>
          <xdr:col>9</xdr:col>
          <xdr:colOff>1143000</xdr:colOff>
          <xdr:row>4</xdr:row>
          <xdr:rowOff>107950</xdr:rowOff>
        </xdr:to>
        <xdr:sp macro="" textlink="">
          <xdr:nvSpPr>
            <xdr:cNvPr id="152577" name="Button 1" hidden="1">
              <a:extLst>
                <a:ext uri="{63B3BB69-23CF-44E3-9099-C40C66FF867C}">
                  <a14:compatExt spid="_x0000_s152577"/>
                </a:ext>
                <a:ext uri="{FF2B5EF4-FFF2-40B4-BE49-F238E27FC236}">
                  <a16:creationId xmlns:a16="http://schemas.microsoft.com/office/drawing/2014/main" id="{00000000-0008-0000-0A00-000001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fr-CA" sz="1200" b="0" i="0" u="none" strike="noStrike" baseline="0">
                  <a:solidFill>
                    <a:srgbClr val="000000"/>
                  </a:solidFill>
                  <a:latin typeface="Arial Black"/>
                </a:rPr>
                <a:t>IMPRESSION DU REGISTRE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pic>
      <xdr:nvPicPr>
        <xdr:cNvPr id="6" name="ComboBox1" hidden="1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7" name="ComboBox2" hidden="1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11</xdr:col>
          <xdr:colOff>1803400</xdr:colOff>
          <xdr:row>9</xdr:row>
          <xdr:rowOff>38100</xdr:rowOff>
        </xdr:to>
        <xdr:sp macro="" textlink="">
          <xdr:nvSpPr>
            <xdr:cNvPr id="152578" name="ComboBox1" hidden="1">
              <a:extLst>
                <a:ext uri="{63B3BB69-23CF-44E3-9099-C40C66FF867C}">
                  <a14:compatExt spid="_x0000_s152578"/>
                </a:ext>
                <a:ext uri="{FF2B5EF4-FFF2-40B4-BE49-F238E27FC236}">
                  <a16:creationId xmlns:a16="http://schemas.microsoft.com/office/drawing/2014/main" id="{00000000-0008-0000-0A00-000002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4</xdr:col>
          <xdr:colOff>2965450</xdr:colOff>
          <xdr:row>11</xdr:row>
          <xdr:rowOff>38100</xdr:rowOff>
        </xdr:to>
        <xdr:sp macro="" textlink="">
          <xdr:nvSpPr>
            <xdr:cNvPr id="152579" name="ComboBox2" hidden="1">
              <a:extLst>
                <a:ext uri="{63B3BB69-23CF-44E3-9099-C40C66FF867C}">
                  <a14:compatExt spid="_x0000_s152579"/>
                </a:ext>
                <a:ext uri="{FF2B5EF4-FFF2-40B4-BE49-F238E27FC236}">
                  <a16:creationId xmlns:a16="http://schemas.microsoft.com/office/drawing/2014/main" id="{00000000-0008-0000-0A00-000003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10" name="ComboBox2" hidden="1">
          <a:extLst>
            <a:ext uri="{63B3BB69-23CF-44E3-9099-C40C66FF867C}">
              <a14:compatExt xmlns:a14="http://schemas.microsoft.com/office/drawing/2010/main" spid="_x0000_s137218"/>
            </a:ex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11" name="ComboBox2" hidden="1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sp macro="" textlink="">
      <xdr:nvSpPr>
        <xdr:cNvPr id="2" name="ComboBox1" hidden="1">
          <a:extLst>
            <a:ext uri="{63B3BB69-23CF-44E3-9099-C40C66FF867C}">
              <a14:compatExt xmlns:a14="http://schemas.microsoft.com/office/drawing/2010/main" spid="_x0000_s138241"/>
            </a:ex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3" name="ComboBox2" hidden="1">
          <a:extLst>
            <a:ext uri="{63B3BB69-23CF-44E3-9099-C40C66FF867C}">
              <a14:compatExt xmlns:a14="http://schemas.microsoft.com/office/drawing/2010/main" spid="_x0000_s138242"/>
            </a:ex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180975</xdr:colOff>
      <xdr:row>0</xdr:row>
      <xdr:rowOff>0</xdr:rowOff>
    </xdr:from>
    <xdr:to>
      <xdr:col>3</xdr:col>
      <xdr:colOff>0</xdr:colOff>
      <xdr:row>4</xdr:row>
      <xdr:rowOff>152400</xdr:rowOff>
    </xdr:to>
    <xdr:pic>
      <xdr:nvPicPr>
        <xdr:cNvPr id="4" name="Picture 4" descr="http://intranet-surete/publications/gqg/logos/LogoSQco2.jpg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0"/>
          <a:ext cx="647700" cy="838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222250</xdr:colOff>
          <xdr:row>1</xdr:row>
          <xdr:rowOff>139700</xdr:rowOff>
        </xdr:from>
        <xdr:to>
          <xdr:col>9</xdr:col>
          <xdr:colOff>1143000</xdr:colOff>
          <xdr:row>4</xdr:row>
          <xdr:rowOff>107950</xdr:rowOff>
        </xdr:to>
        <xdr:sp macro="" textlink="">
          <xdr:nvSpPr>
            <xdr:cNvPr id="153601" name="Button 1" hidden="1">
              <a:extLst>
                <a:ext uri="{63B3BB69-23CF-44E3-9099-C40C66FF867C}">
                  <a14:compatExt spid="_x0000_s153601"/>
                </a:ext>
                <a:ext uri="{FF2B5EF4-FFF2-40B4-BE49-F238E27FC236}">
                  <a16:creationId xmlns:a16="http://schemas.microsoft.com/office/drawing/2014/main" id="{00000000-0008-0000-0B00-000001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fr-CA" sz="1200" b="0" i="0" u="none" strike="noStrike" baseline="0">
                  <a:solidFill>
                    <a:srgbClr val="000000"/>
                  </a:solidFill>
                  <a:latin typeface="Arial Black"/>
                </a:rPr>
                <a:t>IMPRESSION DU REGISTRE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pic>
      <xdr:nvPicPr>
        <xdr:cNvPr id="6" name="ComboBox1" hidden="1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7" name="ComboBox2" hidden="1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11</xdr:col>
          <xdr:colOff>1803400</xdr:colOff>
          <xdr:row>9</xdr:row>
          <xdr:rowOff>38100</xdr:rowOff>
        </xdr:to>
        <xdr:sp macro="" textlink="">
          <xdr:nvSpPr>
            <xdr:cNvPr id="153602" name="ComboBox1" hidden="1">
              <a:extLst>
                <a:ext uri="{63B3BB69-23CF-44E3-9099-C40C66FF867C}">
                  <a14:compatExt spid="_x0000_s153602"/>
                </a:ext>
                <a:ext uri="{FF2B5EF4-FFF2-40B4-BE49-F238E27FC236}">
                  <a16:creationId xmlns:a16="http://schemas.microsoft.com/office/drawing/2014/main" id="{00000000-0008-0000-0B00-000002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4</xdr:col>
          <xdr:colOff>2965450</xdr:colOff>
          <xdr:row>11</xdr:row>
          <xdr:rowOff>38100</xdr:rowOff>
        </xdr:to>
        <xdr:sp macro="" textlink="">
          <xdr:nvSpPr>
            <xdr:cNvPr id="153603" name="ComboBox2" hidden="1">
              <a:extLst>
                <a:ext uri="{63B3BB69-23CF-44E3-9099-C40C66FF867C}">
                  <a14:compatExt spid="_x0000_s153603"/>
                </a:ext>
                <a:ext uri="{FF2B5EF4-FFF2-40B4-BE49-F238E27FC236}">
                  <a16:creationId xmlns:a16="http://schemas.microsoft.com/office/drawing/2014/main" id="{00000000-0008-0000-0B00-000003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10" name="ComboBox2" hidden="1">
          <a:extLst>
            <a:ext uri="{63B3BB69-23CF-44E3-9099-C40C66FF867C}">
              <a14:compatExt xmlns:a14="http://schemas.microsoft.com/office/drawing/2010/main" spid="_x0000_s137218"/>
            </a:ex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11" name="ComboBox2" hidden="1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sp macro="" textlink="">
      <xdr:nvSpPr>
        <xdr:cNvPr id="2" name="ComboBox1" hidden="1">
          <a:extLst>
            <a:ext uri="{63B3BB69-23CF-44E3-9099-C40C66FF867C}">
              <a14:compatExt xmlns:a14="http://schemas.microsoft.com/office/drawing/2010/main" spid="_x0000_s138241"/>
            </a:ex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3" name="ComboBox2" hidden="1">
          <a:extLst>
            <a:ext uri="{63B3BB69-23CF-44E3-9099-C40C66FF867C}">
              <a14:compatExt xmlns:a14="http://schemas.microsoft.com/office/drawing/2010/main" spid="_x0000_s138242"/>
            </a:ex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180975</xdr:colOff>
      <xdr:row>0</xdr:row>
      <xdr:rowOff>0</xdr:rowOff>
    </xdr:from>
    <xdr:to>
      <xdr:col>3</xdr:col>
      <xdr:colOff>0</xdr:colOff>
      <xdr:row>4</xdr:row>
      <xdr:rowOff>152400</xdr:rowOff>
    </xdr:to>
    <xdr:pic>
      <xdr:nvPicPr>
        <xdr:cNvPr id="4" name="Picture 4" descr="http://intranet-surete/publications/gqg/logos/LogoSQco2.jpg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0"/>
          <a:ext cx="647700" cy="838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222250</xdr:colOff>
          <xdr:row>1</xdr:row>
          <xdr:rowOff>139700</xdr:rowOff>
        </xdr:from>
        <xdr:to>
          <xdr:col>9</xdr:col>
          <xdr:colOff>1143000</xdr:colOff>
          <xdr:row>4</xdr:row>
          <xdr:rowOff>107950</xdr:rowOff>
        </xdr:to>
        <xdr:sp macro="" textlink="">
          <xdr:nvSpPr>
            <xdr:cNvPr id="154625" name="Button 1" hidden="1">
              <a:extLst>
                <a:ext uri="{63B3BB69-23CF-44E3-9099-C40C66FF867C}">
                  <a14:compatExt spid="_x0000_s154625"/>
                </a:ext>
                <a:ext uri="{FF2B5EF4-FFF2-40B4-BE49-F238E27FC236}">
                  <a16:creationId xmlns:a16="http://schemas.microsoft.com/office/drawing/2014/main" id="{00000000-0008-0000-0C00-00000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fr-CA" sz="1200" b="0" i="0" u="none" strike="noStrike" baseline="0">
                  <a:solidFill>
                    <a:srgbClr val="000000"/>
                  </a:solidFill>
                  <a:latin typeface="Arial Black"/>
                </a:rPr>
                <a:t>IMPRESSION DU REGISTRE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pic>
      <xdr:nvPicPr>
        <xdr:cNvPr id="6" name="ComboBox1" hidden="1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7" name="ComboBox2" hidden="1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11</xdr:col>
          <xdr:colOff>1803400</xdr:colOff>
          <xdr:row>9</xdr:row>
          <xdr:rowOff>38100</xdr:rowOff>
        </xdr:to>
        <xdr:sp macro="" textlink="">
          <xdr:nvSpPr>
            <xdr:cNvPr id="154626" name="ComboBox1" hidden="1">
              <a:extLst>
                <a:ext uri="{63B3BB69-23CF-44E3-9099-C40C66FF867C}">
                  <a14:compatExt spid="_x0000_s154626"/>
                </a:ext>
                <a:ext uri="{FF2B5EF4-FFF2-40B4-BE49-F238E27FC236}">
                  <a16:creationId xmlns:a16="http://schemas.microsoft.com/office/drawing/2014/main" id="{00000000-0008-0000-0C00-00000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4</xdr:col>
          <xdr:colOff>3048000</xdr:colOff>
          <xdr:row>10</xdr:row>
          <xdr:rowOff>38100</xdr:rowOff>
        </xdr:to>
        <xdr:sp macro="" textlink="">
          <xdr:nvSpPr>
            <xdr:cNvPr id="154627" name="ComboBox2" hidden="1">
              <a:extLst>
                <a:ext uri="{63B3BB69-23CF-44E3-9099-C40C66FF867C}">
                  <a14:compatExt spid="_x0000_s154627"/>
                </a:ext>
                <a:ext uri="{FF2B5EF4-FFF2-40B4-BE49-F238E27FC236}">
                  <a16:creationId xmlns:a16="http://schemas.microsoft.com/office/drawing/2014/main" id="{00000000-0008-0000-0C00-00000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10" name="ComboBox2" hidden="1">
          <a:extLst>
            <a:ext uri="{63B3BB69-23CF-44E3-9099-C40C66FF867C}">
              <a14:compatExt xmlns:a14="http://schemas.microsoft.com/office/drawing/2010/main" spid="_x0000_s137218"/>
            </a:ex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11" name="ComboBox2" hidden="1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sp macro="" textlink="">
      <xdr:nvSpPr>
        <xdr:cNvPr id="2" name="ComboBox1" hidden="1">
          <a:extLst>
            <a:ext uri="{63B3BB69-23CF-44E3-9099-C40C66FF867C}">
              <a14:compatExt xmlns:a14="http://schemas.microsoft.com/office/drawing/2010/main" spid="_x0000_s138241"/>
            </a:ex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3" name="ComboBox2" hidden="1">
          <a:extLst>
            <a:ext uri="{63B3BB69-23CF-44E3-9099-C40C66FF867C}">
              <a14:compatExt xmlns:a14="http://schemas.microsoft.com/office/drawing/2010/main" spid="_x0000_s138242"/>
            </a:ex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180975</xdr:colOff>
      <xdr:row>0</xdr:row>
      <xdr:rowOff>0</xdr:rowOff>
    </xdr:from>
    <xdr:to>
      <xdr:col>3</xdr:col>
      <xdr:colOff>0</xdr:colOff>
      <xdr:row>4</xdr:row>
      <xdr:rowOff>152400</xdr:rowOff>
    </xdr:to>
    <xdr:pic>
      <xdr:nvPicPr>
        <xdr:cNvPr id="4" name="Picture 4" descr="http://intranet-surete/publications/gqg/logos/LogoSQco2.jpg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0"/>
          <a:ext cx="647700" cy="838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222250</xdr:colOff>
          <xdr:row>1</xdr:row>
          <xdr:rowOff>139700</xdr:rowOff>
        </xdr:from>
        <xdr:to>
          <xdr:col>9</xdr:col>
          <xdr:colOff>1143000</xdr:colOff>
          <xdr:row>4</xdr:row>
          <xdr:rowOff>107950</xdr:rowOff>
        </xdr:to>
        <xdr:sp macro="" textlink="">
          <xdr:nvSpPr>
            <xdr:cNvPr id="155649" name="Button 1" hidden="1">
              <a:extLst>
                <a:ext uri="{63B3BB69-23CF-44E3-9099-C40C66FF867C}">
                  <a14:compatExt spid="_x0000_s155649"/>
                </a:ext>
                <a:ext uri="{FF2B5EF4-FFF2-40B4-BE49-F238E27FC236}">
                  <a16:creationId xmlns:a16="http://schemas.microsoft.com/office/drawing/2014/main" id="{00000000-0008-0000-0D00-000001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fr-CA" sz="1200" b="0" i="0" u="none" strike="noStrike" baseline="0">
                  <a:solidFill>
                    <a:srgbClr val="000000"/>
                  </a:solidFill>
                  <a:latin typeface="Arial Black"/>
                </a:rPr>
                <a:t>IMPRESSION DU REGISTRE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pic>
      <xdr:nvPicPr>
        <xdr:cNvPr id="6" name="ComboBox1" hidden="1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7" name="ComboBox2" hidden="1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11</xdr:col>
          <xdr:colOff>1803400</xdr:colOff>
          <xdr:row>9</xdr:row>
          <xdr:rowOff>38100</xdr:rowOff>
        </xdr:to>
        <xdr:sp macro="" textlink="">
          <xdr:nvSpPr>
            <xdr:cNvPr id="155650" name="ComboBox1" hidden="1">
              <a:extLst>
                <a:ext uri="{63B3BB69-23CF-44E3-9099-C40C66FF867C}">
                  <a14:compatExt spid="_x0000_s155650"/>
                </a:ext>
                <a:ext uri="{FF2B5EF4-FFF2-40B4-BE49-F238E27FC236}">
                  <a16:creationId xmlns:a16="http://schemas.microsoft.com/office/drawing/2014/main" id="{00000000-0008-0000-0D00-000002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4</xdr:col>
          <xdr:colOff>2965450</xdr:colOff>
          <xdr:row>11</xdr:row>
          <xdr:rowOff>38100</xdr:rowOff>
        </xdr:to>
        <xdr:sp macro="" textlink="">
          <xdr:nvSpPr>
            <xdr:cNvPr id="155651" name="ComboBox2" hidden="1">
              <a:extLst>
                <a:ext uri="{63B3BB69-23CF-44E3-9099-C40C66FF867C}">
                  <a14:compatExt spid="_x0000_s155651"/>
                </a:ext>
                <a:ext uri="{FF2B5EF4-FFF2-40B4-BE49-F238E27FC236}">
                  <a16:creationId xmlns:a16="http://schemas.microsoft.com/office/drawing/2014/main" id="{00000000-0008-0000-0D00-000003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10" name="ComboBox2" hidden="1">
          <a:extLst>
            <a:ext uri="{63B3BB69-23CF-44E3-9099-C40C66FF867C}">
              <a14:compatExt xmlns:a14="http://schemas.microsoft.com/office/drawing/2010/main" spid="_x0000_s137218"/>
            </a:ex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11" name="ComboBox2" hidden="1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sp macro="" textlink="">
      <xdr:nvSpPr>
        <xdr:cNvPr id="2" name="ComboBox1" hidden="1">
          <a:extLst>
            <a:ext uri="{63B3BB69-23CF-44E3-9099-C40C66FF867C}">
              <a14:compatExt xmlns:a14="http://schemas.microsoft.com/office/drawing/2010/main" spid="_x0000_s138241"/>
            </a:ex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3" name="ComboBox2" hidden="1">
          <a:extLst>
            <a:ext uri="{63B3BB69-23CF-44E3-9099-C40C66FF867C}">
              <a14:compatExt xmlns:a14="http://schemas.microsoft.com/office/drawing/2010/main" spid="_x0000_s138242"/>
            </a:ex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180975</xdr:colOff>
      <xdr:row>0</xdr:row>
      <xdr:rowOff>0</xdr:rowOff>
    </xdr:from>
    <xdr:to>
      <xdr:col>3</xdr:col>
      <xdr:colOff>0</xdr:colOff>
      <xdr:row>4</xdr:row>
      <xdr:rowOff>152400</xdr:rowOff>
    </xdr:to>
    <xdr:pic>
      <xdr:nvPicPr>
        <xdr:cNvPr id="4" name="Picture 4" descr="http://intranet-surete/publications/gqg/logos/LogoSQco2.jpg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0"/>
          <a:ext cx="647700" cy="838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222250</xdr:colOff>
          <xdr:row>1</xdr:row>
          <xdr:rowOff>139700</xdr:rowOff>
        </xdr:from>
        <xdr:to>
          <xdr:col>9</xdr:col>
          <xdr:colOff>1143000</xdr:colOff>
          <xdr:row>4</xdr:row>
          <xdr:rowOff>107950</xdr:rowOff>
        </xdr:to>
        <xdr:sp macro="" textlink="">
          <xdr:nvSpPr>
            <xdr:cNvPr id="156673" name="Button 1" hidden="1">
              <a:extLst>
                <a:ext uri="{63B3BB69-23CF-44E3-9099-C40C66FF867C}">
                  <a14:compatExt spid="_x0000_s156673"/>
                </a:ext>
                <a:ext uri="{FF2B5EF4-FFF2-40B4-BE49-F238E27FC236}">
                  <a16:creationId xmlns:a16="http://schemas.microsoft.com/office/drawing/2014/main" id="{00000000-0008-0000-0E00-000001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fr-CA" sz="1200" b="0" i="0" u="none" strike="noStrike" baseline="0">
                  <a:solidFill>
                    <a:srgbClr val="000000"/>
                  </a:solidFill>
                  <a:latin typeface="Arial Black"/>
                </a:rPr>
                <a:t>IMPRESSION DU REGISTRE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pic>
      <xdr:nvPicPr>
        <xdr:cNvPr id="6" name="ComboBox1" hidden="1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7" name="ComboBox2" hidden="1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11</xdr:col>
          <xdr:colOff>1803400</xdr:colOff>
          <xdr:row>9</xdr:row>
          <xdr:rowOff>38100</xdr:rowOff>
        </xdr:to>
        <xdr:sp macro="" textlink="">
          <xdr:nvSpPr>
            <xdr:cNvPr id="156674" name="ComboBox1" hidden="1">
              <a:extLst>
                <a:ext uri="{63B3BB69-23CF-44E3-9099-C40C66FF867C}">
                  <a14:compatExt spid="_x0000_s156674"/>
                </a:ext>
                <a:ext uri="{FF2B5EF4-FFF2-40B4-BE49-F238E27FC236}">
                  <a16:creationId xmlns:a16="http://schemas.microsoft.com/office/drawing/2014/main" id="{00000000-0008-0000-0E00-000002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4</xdr:col>
          <xdr:colOff>2965450</xdr:colOff>
          <xdr:row>11</xdr:row>
          <xdr:rowOff>38100</xdr:rowOff>
        </xdr:to>
        <xdr:sp macro="" textlink="">
          <xdr:nvSpPr>
            <xdr:cNvPr id="156675" name="ComboBox2" hidden="1">
              <a:extLst>
                <a:ext uri="{63B3BB69-23CF-44E3-9099-C40C66FF867C}">
                  <a14:compatExt spid="_x0000_s156675"/>
                </a:ext>
                <a:ext uri="{FF2B5EF4-FFF2-40B4-BE49-F238E27FC236}">
                  <a16:creationId xmlns:a16="http://schemas.microsoft.com/office/drawing/2014/main" id="{00000000-0008-0000-0E00-000003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10" name="ComboBox2" hidden="1">
          <a:extLst>
            <a:ext uri="{63B3BB69-23CF-44E3-9099-C40C66FF867C}">
              <a14:compatExt xmlns:a14="http://schemas.microsoft.com/office/drawing/2010/main" spid="_x0000_s137218"/>
            </a:ex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11" name="ComboBox2" hidden="1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sp macro="" textlink="">
      <xdr:nvSpPr>
        <xdr:cNvPr id="2" name="ComboBox1" hidden="1">
          <a:extLst>
            <a:ext uri="{63B3BB69-23CF-44E3-9099-C40C66FF867C}">
              <a14:compatExt xmlns:a14="http://schemas.microsoft.com/office/drawing/2010/main" spid="_x0000_s138241"/>
            </a:ex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3" name="ComboBox2" hidden="1">
          <a:extLst>
            <a:ext uri="{63B3BB69-23CF-44E3-9099-C40C66FF867C}">
              <a14:compatExt xmlns:a14="http://schemas.microsoft.com/office/drawing/2010/main" spid="_x0000_s138242"/>
            </a:ex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180975</xdr:colOff>
      <xdr:row>0</xdr:row>
      <xdr:rowOff>0</xdr:rowOff>
    </xdr:from>
    <xdr:to>
      <xdr:col>3</xdr:col>
      <xdr:colOff>0</xdr:colOff>
      <xdr:row>4</xdr:row>
      <xdr:rowOff>152400</xdr:rowOff>
    </xdr:to>
    <xdr:pic>
      <xdr:nvPicPr>
        <xdr:cNvPr id="4" name="Picture 4" descr="http://intranet-surete/publications/gqg/logos/LogoSQco2.jpg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0"/>
          <a:ext cx="647700" cy="838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222250</xdr:colOff>
          <xdr:row>1</xdr:row>
          <xdr:rowOff>139700</xdr:rowOff>
        </xdr:from>
        <xdr:to>
          <xdr:col>9</xdr:col>
          <xdr:colOff>1143000</xdr:colOff>
          <xdr:row>4</xdr:row>
          <xdr:rowOff>107950</xdr:rowOff>
        </xdr:to>
        <xdr:sp macro="" textlink="">
          <xdr:nvSpPr>
            <xdr:cNvPr id="157697" name="Button 1" hidden="1">
              <a:extLst>
                <a:ext uri="{63B3BB69-23CF-44E3-9099-C40C66FF867C}">
                  <a14:compatExt spid="_x0000_s157697"/>
                </a:ext>
                <a:ext uri="{FF2B5EF4-FFF2-40B4-BE49-F238E27FC236}">
                  <a16:creationId xmlns:a16="http://schemas.microsoft.com/office/drawing/2014/main" id="{00000000-0008-0000-0F00-000001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fr-CA" sz="1200" b="0" i="0" u="none" strike="noStrike" baseline="0">
                  <a:solidFill>
                    <a:srgbClr val="000000"/>
                  </a:solidFill>
                  <a:latin typeface="Arial Black"/>
                </a:rPr>
                <a:t>IMPRESSION DU REGISTRE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pic>
      <xdr:nvPicPr>
        <xdr:cNvPr id="6" name="ComboBox1" hidden="1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7" name="ComboBox2" hidden="1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11</xdr:col>
          <xdr:colOff>1803400</xdr:colOff>
          <xdr:row>9</xdr:row>
          <xdr:rowOff>38100</xdr:rowOff>
        </xdr:to>
        <xdr:sp macro="" textlink="">
          <xdr:nvSpPr>
            <xdr:cNvPr id="157698" name="ComboBox1" hidden="1">
              <a:extLst>
                <a:ext uri="{63B3BB69-23CF-44E3-9099-C40C66FF867C}">
                  <a14:compatExt spid="_x0000_s157698"/>
                </a:ext>
                <a:ext uri="{FF2B5EF4-FFF2-40B4-BE49-F238E27FC236}">
                  <a16:creationId xmlns:a16="http://schemas.microsoft.com/office/drawing/2014/main" id="{00000000-0008-0000-0F00-000002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4</xdr:col>
          <xdr:colOff>2965450</xdr:colOff>
          <xdr:row>11</xdr:row>
          <xdr:rowOff>38100</xdr:rowOff>
        </xdr:to>
        <xdr:sp macro="" textlink="">
          <xdr:nvSpPr>
            <xdr:cNvPr id="157699" name="ComboBox2" hidden="1">
              <a:extLst>
                <a:ext uri="{63B3BB69-23CF-44E3-9099-C40C66FF867C}">
                  <a14:compatExt spid="_x0000_s157699"/>
                </a:ext>
                <a:ext uri="{FF2B5EF4-FFF2-40B4-BE49-F238E27FC236}">
                  <a16:creationId xmlns:a16="http://schemas.microsoft.com/office/drawing/2014/main" id="{00000000-0008-0000-0F00-000003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10" name="ComboBox2" hidden="1">
          <a:extLst>
            <a:ext uri="{63B3BB69-23CF-44E3-9099-C40C66FF867C}">
              <a14:compatExt xmlns:a14="http://schemas.microsoft.com/office/drawing/2010/main" spid="_x0000_s137218"/>
            </a:ex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11" name="ComboBox2" hidden="1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sp macro="" textlink="">
      <xdr:nvSpPr>
        <xdr:cNvPr id="2" name="ComboBox1" hidden="1">
          <a:extLst>
            <a:ext uri="{63B3BB69-23CF-44E3-9099-C40C66FF867C}">
              <a14:compatExt xmlns:a14="http://schemas.microsoft.com/office/drawing/2010/main" spid="_x0000_s138241"/>
            </a:ex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3" name="ComboBox2" hidden="1">
          <a:extLst>
            <a:ext uri="{63B3BB69-23CF-44E3-9099-C40C66FF867C}">
              <a14:compatExt xmlns:a14="http://schemas.microsoft.com/office/drawing/2010/main" spid="_x0000_s138242"/>
            </a:ex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180975</xdr:colOff>
      <xdr:row>0</xdr:row>
      <xdr:rowOff>0</xdr:rowOff>
    </xdr:from>
    <xdr:to>
      <xdr:col>3</xdr:col>
      <xdr:colOff>0</xdr:colOff>
      <xdr:row>4</xdr:row>
      <xdr:rowOff>152400</xdr:rowOff>
    </xdr:to>
    <xdr:pic>
      <xdr:nvPicPr>
        <xdr:cNvPr id="4" name="Picture 4" descr="http://intranet-surete/publications/gqg/logos/LogoSQco2.jpg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0"/>
          <a:ext cx="647700" cy="838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222250</xdr:colOff>
          <xdr:row>1</xdr:row>
          <xdr:rowOff>139700</xdr:rowOff>
        </xdr:from>
        <xdr:to>
          <xdr:col>9</xdr:col>
          <xdr:colOff>1143000</xdr:colOff>
          <xdr:row>4</xdr:row>
          <xdr:rowOff>107950</xdr:rowOff>
        </xdr:to>
        <xdr:sp macro="" textlink="">
          <xdr:nvSpPr>
            <xdr:cNvPr id="158721" name="Button 1" hidden="1">
              <a:extLst>
                <a:ext uri="{63B3BB69-23CF-44E3-9099-C40C66FF867C}">
                  <a14:compatExt spid="_x0000_s158721"/>
                </a:ext>
                <a:ext uri="{FF2B5EF4-FFF2-40B4-BE49-F238E27FC236}">
                  <a16:creationId xmlns:a16="http://schemas.microsoft.com/office/drawing/2014/main" id="{00000000-0008-0000-1000-000001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fr-CA" sz="1200" b="0" i="0" u="none" strike="noStrike" baseline="0">
                  <a:solidFill>
                    <a:srgbClr val="000000"/>
                  </a:solidFill>
                  <a:latin typeface="Arial Black"/>
                </a:rPr>
                <a:t>IMPRESSION DU REGISTRE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pic>
      <xdr:nvPicPr>
        <xdr:cNvPr id="6" name="ComboBox1" hidden="1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7" name="ComboBox2" hidden="1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11</xdr:col>
          <xdr:colOff>1803400</xdr:colOff>
          <xdr:row>9</xdr:row>
          <xdr:rowOff>38100</xdr:rowOff>
        </xdr:to>
        <xdr:sp macro="" textlink="">
          <xdr:nvSpPr>
            <xdr:cNvPr id="158722" name="ComboBox1" hidden="1">
              <a:extLst>
                <a:ext uri="{63B3BB69-23CF-44E3-9099-C40C66FF867C}">
                  <a14:compatExt spid="_x0000_s158722"/>
                </a:ext>
                <a:ext uri="{FF2B5EF4-FFF2-40B4-BE49-F238E27FC236}">
                  <a16:creationId xmlns:a16="http://schemas.microsoft.com/office/drawing/2014/main" id="{00000000-0008-0000-1000-000002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4</xdr:col>
          <xdr:colOff>3048000</xdr:colOff>
          <xdr:row>8</xdr:row>
          <xdr:rowOff>38100</xdr:rowOff>
        </xdr:to>
        <xdr:sp macro="" textlink="">
          <xdr:nvSpPr>
            <xdr:cNvPr id="158723" name="ComboBox2" hidden="1">
              <a:extLst>
                <a:ext uri="{63B3BB69-23CF-44E3-9099-C40C66FF867C}">
                  <a14:compatExt spid="_x0000_s158723"/>
                </a:ext>
                <a:ext uri="{FF2B5EF4-FFF2-40B4-BE49-F238E27FC236}">
                  <a16:creationId xmlns:a16="http://schemas.microsoft.com/office/drawing/2014/main" id="{00000000-0008-0000-1000-000003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10" name="ComboBox2" hidden="1">
          <a:extLst>
            <a:ext uri="{63B3BB69-23CF-44E3-9099-C40C66FF867C}">
              <a14:compatExt xmlns:a14="http://schemas.microsoft.com/office/drawing/2010/main" spid="_x0000_s137218"/>
            </a:ex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11" name="ComboBox2" hidden="1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sp macro="" textlink="">
      <xdr:nvSpPr>
        <xdr:cNvPr id="2" name="ComboBox1" hidden="1">
          <a:extLst>
            <a:ext uri="{63B3BB69-23CF-44E3-9099-C40C66FF867C}">
              <a14:compatExt xmlns:a14="http://schemas.microsoft.com/office/drawing/2010/main" spid="_x0000_s138241"/>
            </a:ex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3" name="ComboBox2" hidden="1">
          <a:extLst>
            <a:ext uri="{63B3BB69-23CF-44E3-9099-C40C66FF867C}">
              <a14:compatExt xmlns:a14="http://schemas.microsoft.com/office/drawing/2010/main" spid="_x0000_s138242"/>
            </a:ex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180975</xdr:colOff>
      <xdr:row>0</xdr:row>
      <xdr:rowOff>0</xdr:rowOff>
    </xdr:from>
    <xdr:to>
      <xdr:col>3</xdr:col>
      <xdr:colOff>0</xdr:colOff>
      <xdr:row>4</xdr:row>
      <xdr:rowOff>152400</xdr:rowOff>
    </xdr:to>
    <xdr:pic>
      <xdr:nvPicPr>
        <xdr:cNvPr id="4" name="Picture 4" descr="http://intranet-surete/publications/gqg/logos/LogoSQco2.jpg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0"/>
          <a:ext cx="647700" cy="838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222250</xdr:colOff>
          <xdr:row>1</xdr:row>
          <xdr:rowOff>139700</xdr:rowOff>
        </xdr:from>
        <xdr:to>
          <xdr:col>9</xdr:col>
          <xdr:colOff>1143000</xdr:colOff>
          <xdr:row>4</xdr:row>
          <xdr:rowOff>107950</xdr:rowOff>
        </xdr:to>
        <xdr:sp macro="" textlink="">
          <xdr:nvSpPr>
            <xdr:cNvPr id="159745" name="Button 1" hidden="1">
              <a:extLst>
                <a:ext uri="{63B3BB69-23CF-44E3-9099-C40C66FF867C}">
                  <a14:compatExt spid="_x0000_s159745"/>
                </a:ext>
                <a:ext uri="{FF2B5EF4-FFF2-40B4-BE49-F238E27FC236}">
                  <a16:creationId xmlns:a16="http://schemas.microsoft.com/office/drawing/2014/main" id="{00000000-0008-0000-1100-000001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fr-CA" sz="1200" b="0" i="0" u="none" strike="noStrike" baseline="0">
                  <a:solidFill>
                    <a:srgbClr val="000000"/>
                  </a:solidFill>
                  <a:latin typeface="Arial Black"/>
                </a:rPr>
                <a:t>IMPRESSION DU REGISTRE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pic>
      <xdr:nvPicPr>
        <xdr:cNvPr id="6" name="ComboBox1" hidden="1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7" name="ComboBox2" hidden="1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11</xdr:col>
          <xdr:colOff>1803400</xdr:colOff>
          <xdr:row>9</xdr:row>
          <xdr:rowOff>38100</xdr:rowOff>
        </xdr:to>
        <xdr:sp macro="" textlink="">
          <xdr:nvSpPr>
            <xdr:cNvPr id="159746" name="ComboBox1" hidden="1">
              <a:extLst>
                <a:ext uri="{63B3BB69-23CF-44E3-9099-C40C66FF867C}">
                  <a14:compatExt spid="_x0000_s159746"/>
                </a:ext>
                <a:ext uri="{FF2B5EF4-FFF2-40B4-BE49-F238E27FC236}">
                  <a16:creationId xmlns:a16="http://schemas.microsoft.com/office/drawing/2014/main" id="{00000000-0008-0000-1100-000002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4</xdr:col>
          <xdr:colOff>2965450</xdr:colOff>
          <xdr:row>11</xdr:row>
          <xdr:rowOff>38100</xdr:rowOff>
        </xdr:to>
        <xdr:sp macro="" textlink="">
          <xdr:nvSpPr>
            <xdr:cNvPr id="159747" name="ComboBox2" hidden="1">
              <a:extLst>
                <a:ext uri="{63B3BB69-23CF-44E3-9099-C40C66FF867C}">
                  <a14:compatExt spid="_x0000_s159747"/>
                </a:ext>
                <a:ext uri="{FF2B5EF4-FFF2-40B4-BE49-F238E27FC236}">
                  <a16:creationId xmlns:a16="http://schemas.microsoft.com/office/drawing/2014/main" id="{00000000-0008-0000-1100-000003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10" name="ComboBox2" hidden="1">
          <a:extLst>
            <a:ext uri="{63B3BB69-23CF-44E3-9099-C40C66FF867C}">
              <a14:compatExt xmlns:a14="http://schemas.microsoft.com/office/drawing/2010/main" spid="_x0000_s137218"/>
            </a:ex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11" name="ComboBox2" hidden="1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sp macro="" textlink="">
      <xdr:nvSpPr>
        <xdr:cNvPr id="2" name="ComboBox1" hidden="1">
          <a:extLst>
            <a:ext uri="{63B3BB69-23CF-44E3-9099-C40C66FF867C}">
              <a14:compatExt xmlns:a14="http://schemas.microsoft.com/office/drawing/2010/main" spid="_x0000_s138241"/>
            </a:ex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3" name="ComboBox2" hidden="1">
          <a:extLst>
            <a:ext uri="{63B3BB69-23CF-44E3-9099-C40C66FF867C}">
              <a14:compatExt xmlns:a14="http://schemas.microsoft.com/office/drawing/2010/main" spid="_x0000_s138242"/>
            </a:ex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180975</xdr:colOff>
      <xdr:row>0</xdr:row>
      <xdr:rowOff>0</xdr:rowOff>
    </xdr:from>
    <xdr:to>
      <xdr:col>3</xdr:col>
      <xdr:colOff>0</xdr:colOff>
      <xdr:row>4</xdr:row>
      <xdr:rowOff>152400</xdr:rowOff>
    </xdr:to>
    <xdr:pic>
      <xdr:nvPicPr>
        <xdr:cNvPr id="4" name="Picture 4" descr="http://intranet-surete/publications/gqg/logos/LogoSQco2.jpg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0"/>
          <a:ext cx="647700" cy="838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222250</xdr:colOff>
          <xdr:row>1</xdr:row>
          <xdr:rowOff>139700</xdr:rowOff>
        </xdr:from>
        <xdr:to>
          <xdr:col>9</xdr:col>
          <xdr:colOff>1143000</xdr:colOff>
          <xdr:row>4</xdr:row>
          <xdr:rowOff>107950</xdr:rowOff>
        </xdr:to>
        <xdr:sp macro="" textlink="">
          <xdr:nvSpPr>
            <xdr:cNvPr id="160769" name="Button 1" hidden="1">
              <a:extLst>
                <a:ext uri="{63B3BB69-23CF-44E3-9099-C40C66FF867C}">
                  <a14:compatExt spid="_x0000_s160769"/>
                </a:ext>
                <a:ext uri="{FF2B5EF4-FFF2-40B4-BE49-F238E27FC236}">
                  <a16:creationId xmlns:a16="http://schemas.microsoft.com/office/drawing/2014/main" id="{00000000-0008-0000-1200-000001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fr-CA" sz="1200" b="0" i="0" u="none" strike="noStrike" baseline="0">
                  <a:solidFill>
                    <a:srgbClr val="000000"/>
                  </a:solidFill>
                  <a:latin typeface="Arial Black"/>
                </a:rPr>
                <a:t>IMPRESSION DU REGISTRE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pic>
      <xdr:nvPicPr>
        <xdr:cNvPr id="6" name="ComboBox1" hidden="1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7" name="ComboBox2" hidden="1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11</xdr:col>
          <xdr:colOff>1803400</xdr:colOff>
          <xdr:row>9</xdr:row>
          <xdr:rowOff>38100</xdr:rowOff>
        </xdr:to>
        <xdr:sp macro="" textlink="">
          <xdr:nvSpPr>
            <xdr:cNvPr id="160770" name="ComboBox1" hidden="1">
              <a:extLst>
                <a:ext uri="{63B3BB69-23CF-44E3-9099-C40C66FF867C}">
                  <a14:compatExt spid="_x0000_s160770"/>
                </a:ext>
                <a:ext uri="{FF2B5EF4-FFF2-40B4-BE49-F238E27FC236}">
                  <a16:creationId xmlns:a16="http://schemas.microsoft.com/office/drawing/2014/main" id="{00000000-0008-0000-1200-000002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4</xdr:col>
          <xdr:colOff>2965450</xdr:colOff>
          <xdr:row>11</xdr:row>
          <xdr:rowOff>38100</xdr:rowOff>
        </xdr:to>
        <xdr:sp macro="" textlink="">
          <xdr:nvSpPr>
            <xdr:cNvPr id="160771" name="ComboBox2" hidden="1">
              <a:extLst>
                <a:ext uri="{63B3BB69-23CF-44E3-9099-C40C66FF867C}">
                  <a14:compatExt spid="_x0000_s160771"/>
                </a:ext>
                <a:ext uri="{FF2B5EF4-FFF2-40B4-BE49-F238E27FC236}">
                  <a16:creationId xmlns:a16="http://schemas.microsoft.com/office/drawing/2014/main" id="{00000000-0008-0000-1200-000003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10" name="ComboBox2" hidden="1">
          <a:extLst>
            <a:ext uri="{63B3BB69-23CF-44E3-9099-C40C66FF867C}">
              <a14:compatExt xmlns:a14="http://schemas.microsoft.com/office/drawing/2010/main" spid="_x0000_s137218"/>
            </a:ext>
            <a:ext uri="{FF2B5EF4-FFF2-40B4-BE49-F238E27FC236}">
              <a16:creationId xmlns:a16="http://schemas.microsoft.com/office/drawing/2014/main" id="{00000000-0008-0000-1200-00000A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11" name="ComboBox2" hidden="1">
          <a:extLst>
            <a:ext uri="{FF2B5EF4-FFF2-40B4-BE49-F238E27FC236}">
              <a16:creationId xmlns:a16="http://schemas.microsoft.com/office/drawing/2014/main" id="{00000000-0008-0000-1200-00000B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sp macro="" textlink="">
      <xdr:nvSpPr>
        <xdr:cNvPr id="2" name="ComboBox1" hidden="1">
          <a:extLst>
            <a:ext uri="{63B3BB69-23CF-44E3-9099-C40C66FF867C}">
              <a14:compatExt xmlns:a14="http://schemas.microsoft.com/office/drawing/2010/main" spid="_x0000_s138241"/>
            </a:ex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3" name="ComboBox2" hidden="1">
          <a:extLst>
            <a:ext uri="{63B3BB69-23CF-44E3-9099-C40C66FF867C}">
              <a14:compatExt xmlns:a14="http://schemas.microsoft.com/office/drawing/2010/main" spid="_x0000_s138242"/>
            </a:ex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180975</xdr:colOff>
      <xdr:row>0</xdr:row>
      <xdr:rowOff>0</xdr:rowOff>
    </xdr:from>
    <xdr:to>
      <xdr:col>3</xdr:col>
      <xdr:colOff>0</xdr:colOff>
      <xdr:row>4</xdr:row>
      <xdr:rowOff>152400</xdr:rowOff>
    </xdr:to>
    <xdr:pic>
      <xdr:nvPicPr>
        <xdr:cNvPr id="4" name="Picture 4" descr="http://intranet-surete/publications/gqg/logos/LogoSQco2.jpg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0"/>
          <a:ext cx="647700" cy="838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222250</xdr:colOff>
          <xdr:row>1</xdr:row>
          <xdr:rowOff>139700</xdr:rowOff>
        </xdr:from>
        <xdr:to>
          <xdr:col>9</xdr:col>
          <xdr:colOff>1143000</xdr:colOff>
          <xdr:row>4</xdr:row>
          <xdr:rowOff>107950</xdr:rowOff>
        </xdr:to>
        <xdr:sp macro="" textlink="">
          <xdr:nvSpPr>
            <xdr:cNvPr id="161793" name="Button 1" hidden="1">
              <a:extLst>
                <a:ext uri="{63B3BB69-23CF-44E3-9099-C40C66FF867C}">
                  <a14:compatExt spid="_x0000_s161793"/>
                </a:ext>
                <a:ext uri="{FF2B5EF4-FFF2-40B4-BE49-F238E27FC236}">
                  <a16:creationId xmlns:a16="http://schemas.microsoft.com/office/drawing/2014/main" id="{00000000-0008-0000-1300-000001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fr-CA" sz="1200" b="0" i="0" u="none" strike="noStrike" baseline="0">
                  <a:solidFill>
                    <a:srgbClr val="000000"/>
                  </a:solidFill>
                  <a:latin typeface="Arial Black"/>
                </a:rPr>
                <a:t>IMPRESSION DU REGISTRE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pic>
      <xdr:nvPicPr>
        <xdr:cNvPr id="6" name="ComboBox1" hidden="1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7" name="ComboBox2" hidden="1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11</xdr:col>
          <xdr:colOff>1803400</xdr:colOff>
          <xdr:row>9</xdr:row>
          <xdr:rowOff>38100</xdr:rowOff>
        </xdr:to>
        <xdr:sp macro="" textlink="">
          <xdr:nvSpPr>
            <xdr:cNvPr id="161794" name="ComboBox1" hidden="1">
              <a:extLst>
                <a:ext uri="{63B3BB69-23CF-44E3-9099-C40C66FF867C}">
                  <a14:compatExt spid="_x0000_s161794"/>
                </a:ext>
                <a:ext uri="{FF2B5EF4-FFF2-40B4-BE49-F238E27FC236}">
                  <a16:creationId xmlns:a16="http://schemas.microsoft.com/office/drawing/2014/main" id="{00000000-0008-0000-1300-000002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4</xdr:col>
          <xdr:colOff>2965450</xdr:colOff>
          <xdr:row>11</xdr:row>
          <xdr:rowOff>38100</xdr:rowOff>
        </xdr:to>
        <xdr:sp macro="" textlink="">
          <xdr:nvSpPr>
            <xdr:cNvPr id="161795" name="ComboBox2" hidden="1">
              <a:extLst>
                <a:ext uri="{63B3BB69-23CF-44E3-9099-C40C66FF867C}">
                  <a14:compatExt spid="_x0000_s161795"/>
                </a:ext>
                <a:ext uri="{FF2B5EF4-FFF2-40B4-BE49-F238E27FC236}">
                  <a16:creationId xmlns:a16="http://schemas.microsoft.com/office/drawing/2014/main" id="{00000000-0008-0000-1300-000003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10" name="ComboBox2" hidden="1">
          <a:extLst>
            <a:ext uri="{63B3BB69-23CF-44E3-9099-C40C66FF867C}">
              <a14:compatExt xmlns:a14="http://schemas.microsoft.com/office/drawing/2010/main" spid="_x0000_s137218"/>
            </a:ex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11" name="ComboBox2" hidden="1"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sp macro="" textlink="">
      <xdr:nvSpPr>
        <xdr:cNvPr id="2" name="ComboBox1" hidden="1">
          <a:extLst>
            <a:ext uri="{63B3BB69-23CF-44E3-9099-C40C66FF867C}">
              <a14:compatExt xmlns:a14="http://schemas.microsoft.com/office/drawing/2010/main" spid="_x0000_s138241"/>
            </a:ex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3" name="ComboBox2" hidden="1">
          <a:extLst>
            <a:ext uri="{63B3BB69-23CF-44E3-9099-C40C66FF867C}">
              <a14:compatExt xmlns:a14="http://schemas.microsoft.com/office/drawing/2010/main" spid="_x0000_s138242"/>
            </a:ex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180975</xdr:colOff>
      <xdr:row>0</xdr:row>
      <xdr:rowOff>0</xdr:rowOff>
    </xdr:from>
    <xdr:to>
      <xdr:col>3</xdr:col>
      <xdr:colOff>0</xdr:colOff>
      <xdr:row>4</xdr:row>
      <xdr:rowOff>152400</xdr:rowOff>
    </xdr:to>
    <xdr:pic>
      <xdr:nvPicPr>
        <xdr:cNvPr id="4" name="Picture 4" descr="http://intranet-surete/publications/gqg/logos/LogoSQco2.jpg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0"/>
          <a:ext cx="647700" cy="838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222250</xdr:colOff>
          <xdr:row>1</xdr:row>
          <xdr:rowOff>139700</xdr:rowOff>
        </xdr:from>
        <xdr:to>
          <xdr:col>9</xdr:col>
          <xdr:colOff>1143000</xdr:colOff>
          <xdr:row>4</xdr:row>
          <xdr:rowOff>107950</xdr:rowOff>
        </xdr:to>
        <xdr:sp macro="" textlink="">
          <xdr:nvSpPr>
            <xdr:cNvPr id="162817" name="Button 1" hidden="1">
              <a:extLst>
                <a:ext uri="{63B3BB69-23CF-44E3-9099-C40C66FF867C}">
                  <a14:compatExt spid="_x0000_s162817"/>
                </a:ext>
                <a:ext uri="{FF2B5EF4-FFF2-40B4-BE49-F238E27FC236}">
                  <a16:creationId xmlns:a16="http://schemas.microsoft.com/office/drawing/2014/main" id="{00000000-0008-0000-1400-000001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fr-CA" sz="1200" b="0" i="0" u="none" strike="noStrike" baseline="0">
                  <a:solidFill>
                    <a:srgbClr val="000000"/>
                  </a:solidFill>
                  <a:latin typeface="Arial Black"/>
                </a:rPr>
                <a:t>IMPRESSION DU REGISTRE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pic>
      <xdr:nvPicPr>
        <xdr:cNvPr id="6" name="ComboBox1" hidden="1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7" name="ComboBox2" hidden="1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11</xdr:col>
          <xdr:colOff>1803400</xdr:colOff>
          <xdr:row>9</xdr:row>
          <xdr:rowOff>38100</xdr:rowOff>
        </xdr:to>
        <xdr:sp macro="" textlink="">
          <xdr:nvSpPr>
            <xdr:cNvPr id="162818" name="ComboBox1" hidden="1">
              <a:extLst>
                <a:ext uri="{63B3BB69-23CF-44E3-9099-C40C66FF867C}">
                  <a14:compatExt spid="_x0000_s162818"/>
                </a:ext>
                <a:ext uri="{FF2B5EF4-FFF2-40B4-BE49-F238E27FC236}">
                  <a16:creationId xmlns:a16="http://schemas.microsoft.com/office/drawing/2014/main" id="{00000000-0008-0000-1400-000002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4</xdr:col>
          <xdr:colOff>2965450</xdr:colOff>
          <xdr:row>11</xdr:row>
          <xdr:rowOff>38100</xdr:rowOff>
        </xdr:to>
        <xdr:sp macro="" textlink="">
          <xdr:nvSpPr>
            <xdr:cNvPr id="162819" name="ComboBox2" hidden="1">
              <a:extLst>
                <a:ext uri="{63B3BB69-23CF-44E3-9099-C40C66FF867C}">
                  <a14:compatExt spid="_x0000_s162819"/>
                </a:ext>
                <a:ext uri="{FF2B5EF4-FFF2-40B4-BE49-F238E27FC236}">
                  <a16:creationId xmlns:a16="http://schemas.microsoft.com/office/drawing/2014/main" id="{00000000-0008-0000-1400-000003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10" name="ComboBox2" hidden="1">
          <a:extLst>
            <a:ext uri="{63B3BB69-23CF-44E3-9099-C40C66FF867C}">
              <a14:compatExt xmlns:a14="http://schemas.microsoft.com/office/drawing/2010/main" spid="_x0000_s137218"/>
            </a:ex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11" name="ComboBox2" hidden="1"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sp macro="" textlink="">
      <xdr:nvSpPr>
        <xdr:cNvPr id="2" name="ComboBox1" hidden="1">
          <a:extLst>
            <a:ext uri="{63B3BB69-23CF-44E3-9099-C40C66FF867C}">
              <a14:compatExt xmlns:a14="http://schemas.microsoft.com/office/drawing/2010/main" spid="_x0000_s138241"/>
            </a:ex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3" name="ComboBox2" hidden="1">
          <a:extLst>
            <a:ext uri="{63B3BB69-23CF-44E3-9099-C40C66FF867C}">
              <a14:compatExt xmlns:a14="http://schemas.microsoft.com/office/drawing/2010/main" spid="_x0000_s138242"/>
            </a:ex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180975</xdr:colOff>
      <xdr:row>0</xdr:row>
      <xdr:rowOff>0</xdr:rowOff>
    </xdr:from>
    <xdr:to>
      <xdr:col>3</xdr:col>
      <xdr:colOff>0</xdr:colOff>
      <xdr:row>4</xdr:row>
      <xdr:rowOff>152400</xdr:rowOff>
    </xdr:to>
    <xdr:pic>
      <xdr:nvPicPr>
        <xdr:cNvPr id="4" name="Picture 4" descr="http://intranet-surete/publications/gqg/logos/LogoSQco2.jpg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0"/>
          <a:ext cx="647700" cy="838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222250</xdr:colOff>
          <xdr:row>1</xdr:row>
          <xdr:rowOff>139700</xdr:rowOff>
        </xdr:from>
        <xdr:to>
          <xdr:col>9</xdr:col>
          <xdr:colOff>1143000</xdr:colOff>
          <xdr:row>4</xdr:row>
          <xdr:rowOff>107950</xdr:rowOff>
        </xdr:to>
        <xdr:sp macro="" textlink="">
          <xdr:nvSpPr>
            <xdr:cNvPr id="163841" name="Button 1" hidden="1">
              <a:extLst>
                <a:ext uri="{63B3BB69-23CF-44E3-9099-C40C66FF867C}">
                  <a14:compatExt spid="_x0000_s163841"/>
                </a:ext>
                <a:ext uri="{FF2B5EF4-FFF2-40B4-BE49-F238E27FC236}">
                  <a16:creationId xmlns:a16="http://schemas.microsoft.com/office/drawing/2014/main" id="{00000000-0008-0000-1500-000001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fr-CA" sz="1200" b="0" i="0" u="none" strike="noStrike" baseline="0">
                  <a:solidFill>
                    <a:srgbClr val="000000"/>
                  </a:solidFill>
                  <a:latin typeface="Arial Black"/>
                </a:rPr>
                <a:t>IMPRESSION DU REGISTRE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pic>
      <xdr:nvPicPr>
        <xdr:cNvPr id="6" name="ComboBox1" hidden="1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7" name="ComboBox2" hidden="1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11</xdr:col>
          <xdr:colOff>1803400</xdr:colOff>
          <xdr:row>9</xdr:row>
          <xdr:rowOff>38100</xdr:rowOff>
        </xdr:to>
        <xdr:sp macro="" textlink="">
          <xdr:nvSpPr>
            <xdr:cNvPr id="163842" name="ComboBox1" hidden="1">
              <a:extLst>
                <a:ext uri="{63B3BB69-23CF-44E3-9099-C40C66FF867C}">
                  <a14:compatExt spid="_x0000_s163842"/>
                </a:ext>
                <a:ext uri="{FF2B5EF4-FFF2-40B4-BE49-F238E27FC236}">
                  <a16:creationId xmlns:a16="http://schemas.microsoft.com/office/drawing/2014/main" id="{00000000-0008-0000-1500-000002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4</xdr:col>
          <xdr:colOff>2965450</xdr:colOff>
          <xdr:row>11</xdr:row>
          <xdr:rowOff>38100</xdr:rowOff>
        </xdr:to>
        <xdr:sp macro="" textlink="">
          <xdr:nvSpPr>
            <xdr:cNvPr id="163843" name="ComboBox2" hidden="1">
              <a:extLst>
                <a:ext uri="{63B3BB69-23CF-44E3-9099-C40C66FF867C}">
                  <a14:compatExt spid="_x0000_s163843"/>
                </a:ext>
                <a:ext uri="{FF2B5EF4-FFF2-40B4-BE49-F238E27FC236}">
                  <a16:creationId xmlns:a16="http://schemas.microsoft.com/office/drawing/2014/main" id="{00000000-0008-0000-1500-000003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10" name="ComboBox2" hidden="1">
          <a:extLst>
            <a:ext uri="{63B3BB69-23CF-44E3-9099-C40C66FF867C}">
              <a14:compatExt xmlns:a14="http://schemas.microsoft.com/office/drawing/2010/main" spid="_x0000_s137218"/>
            </a:ext>
            <a:ext uri="{FF2B5EF4-FFF2-40B4-BE49-F238E27FC236}">
              <a16:creationId xmlns:a16="http://schemas.microsoft.com/office/drawing/2014/main" id="{00000000-0008-0000-1500-00000A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11" name="ComboBox2" hidden="1">
          <a:extLst>
            <a:ext uri="{FF2B5EF4-FFF2-40B4-BE49-F238E27FC236}">
              <a16:creationId xmlns:a16="http://schemas.microsoft.com/office/drawing/2014/main" id="{00000000-0008-0000-1500-00000B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sp macro="" textlink="">
      <xdr:nvSpPr>
        <xdr:cNvPr id="2" name="ComboBox1" hidden="1">
          <a:extLst>
            <a:ext uri="{63B3BB69-23CF-44E3-9099-C40C66FF867C}">
              <a14:compatExt xmlns:a14="http://schemas.microsoft.com/office/drawing/2010/main" spid="_x0000_s138241"/>
            </a:ex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3" name="ComboBox2" hidden="1">
          <a:extLst>
            <a:ext uri="{63B3BB69-23CF-44E3-9099-C40C66FF867C}">
              <a14:compatExt xmlns:a14="http://schemas.microsoft.com/office/drawing/2010/main" spid="_x0000_s138242"/>
            </a:ex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180975</xdr:colOff>
      <xdr:row>0</xdr:row>
      <xdr:rowOff>0</xdr:rowOff>
    </xdr:from>
    <xdr:to>
      <xdr:col>3</xdr:col>
      <xdr:colOff>0</xdr:colOff>
      <xdr:row>4</xdr:row>
      <xdr:rowOff>152400</xdr:rowOff>
    </xdr:to>
    <xdr:pic>
      <xdr:nvPicPr>
        <xdr:cNvPr id="4" name="Picture 4" descr="http://intranet-surete/publications/gqg/logos/LogoSQco2.jpg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0"/>
          <a:ext cx="647700" cy="838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222250</xdr:colOff>
          <xdr:row>1</xdr:row>
          <xdr:rowOff>139700</xdr:rowOff>
        </xdr:from>
        <xdr:to>
          <xdr:col>9</xdr:col>
          <xdr:colOff>1143000</xdr:colOff>
          <xdr:row>4</xdr:row>
          <xdr:rowOff>107950</xdr:rowOff>
        </xdr:to>
        <xdr:sp macro="" textlink="">
          <xdr:nvSpPr>
            <xdr:cNvPr id="164865" name="Button 1" hidden="1">
              <a:extLst>
                <a:ext uri="{63B3BB69-23CF-44E3-9099-C40C66FF867C}">
                  <a14:compatExt spid="_x0000_s164865"/>
                </a:ext>
                <a:ext uri="{FF2B5EF4-FFF2-40B4-BE49-F238E27FC236}">
                  <a16:creationId xmlns:a16="http://schemas.microsoft.com/office/drawing/2014/main" id="{00000000-0008-0000-1600-0000018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fr-CA" sz="1200" b="0" i="0" u="none" strike="noStrike" baseline="0">
                  <a:solidFill>
                    <a:srgbClr val="000000"/>
                  </a:solidFill>
                  <a:latin typeface="Arial Black"/>
                </a:rPr>
                <a:t>IMPRESSION DU REGISTRE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pic>
      <xdr:nvPicPr>
        <xdr:cNvPr id="6" name="ComboBox1" hidden="1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7" name="ComboBox2" hidden="1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11</xdr:col>
          <xdr:colOff>1803400</xdr:colOff>
          <xdr:row>9</xdr:row>
          <xdr:rowOff>38100</xdr:rowOff>
        </xdr:to>
        <xdr:sp macro="" textlink="">
          <xdr:nvSpPr>
            <xdr:cNvPr id="164866" name="ComboBox1" hidden="1">
              <a:extLst>
                <a:ext uri="{63B3BB69-23CF-44E3-9099-C40C66FF867C}">
                  <a14:compatExt spid="_x0000_s164866"/>
                </a:ext>
                <a:ext uri="{FF2B5EF4-FFF2-40B4-BE49-F238E27FC236}">
                  <a16:creationId xmlns:a16="http://schemas.microsoft.com/office/drawing/2014/main" id="{00000000-0008-0000-1600-0000028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4</xdr:col>
          <xdr:colOff>2965450</xdr:colOff>
          <xdr:row>11</xdr:row>
          <xdr:rowOff>38100</xdr:rowOff>
        </xdr:to>
        <xdr:sp macro="" textlink="">
          <xdr:nvSpPr>
            <xdr:cNvPr id="164867" name="ComboBox2" hidden="1">
              <a:extLst>
                <a:ext uri="{63B3BB69-23CF-44E3-9099-C40C66FF867C}">
                  <a14:compatExt spid="_x0000_s164867"/>
                </a:ext>
                <a:ext uri="{FF2B5EF4-FFF2-40B4-BE49-F238E27FC236}">
                  <a16:creationId xmlns:a16="http://schemas.microsoft.com/office/drawing/2014/main" id="{00000000-0008-0000-1600-0000038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10" name="ComboBox2" hidden="1">
          <a:extLst>
            <a:ext uri="{63B3BB69-23CF-44E3-9099-C40C66FF867C}">
              <a14:compatExt xmlns:a14="http://schemas.microsoft.com/office/drawing/2010/main" spid="_x0000_s137218"/>
            </a:ex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11" name="ComboBox2" hidden="1">
          <a:extLst>
            <a:ext uri="{FF2B5EF4-FFF2-40B4-BE49-F238E27FC236}">
              <a16:creationId xmlns:a16="http://schemas.microsoft.com/office/drawing/2014/main" id="{00000000-0008-0000-1600-00000B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sp macro="" textlink="">
      <xdr:nvSpPr>
        <xdr:cNvPr id="2" name="ComboBox1" hidden="1">
          <a:extLst>
            <a:ext uri="{63B3BB69-23CF-44E3-9099-C40C66FF867C}">
              <a14:compatExt xmlns:a14="http://schemas.microsoft.com/office/drawing/2010/main" spid="_x0000_s138241"/>
            </a:ex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3" name="ComboBox2" hidden="1">
          <a:extLst>
            <a:ext uri="{63B3BB69-23CF-44E3-9099-C40C66FF867C}">
              <a14:compatExt xmlns:a14="http://schemas.microsoft.com/office/drawing/2010/main" spid="_x0000_s138242"/>
            </a:ex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180975</xdr:colOff>
      <xdr:row>0</xdr:row>
      <xdr:rowOff>0</xdr:rowOff>
    </xdr:from>
    <xdr:to>
      <xdr:col>3</xdr:col>
      <xdr:colOff>0</xdr:colOff>
      <xdr:row>4</xdr:row>
      <xdr:rowOff>152400</xdr:rowOff>
    </xdr:to>
    <xdr:pic>
      <xdr:nvPicPr>
        <xdr:cNvPr id="4" name="Picture 4" descr="http://intranet-surete/publications/gqg/logos/LogoSQco2.jpg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0"/>
          <a:ext cx="647700" cy="838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222250</xdr:colOff>
          <xdr:row>1</xdr:row>
          <xdr:rowOff>139700</xdr:rowOff>
        </xdr:from>
        <xdr:to>
          <xdr:col>9</xdr:col>
          <xdr:colOff>1143000</xdr:colOff>
          <xdr:row>4</xdr:row>
          <xdr:rowOff>107950</xdr:rowOff>
        </xdr:to>
        <xdr:sp macro="" textlink="">
          <xdr:nvSpPr>
            <xdr:cNvPr id="165889" name="Button 1" hidden="1">
              <a:extLst>
                <a:ext uri="{63B3BB69-23CF-44E3-9099-C40C66FF867C}">
                  <a14:compatExt spid="_x0000_s165889"/>
                </a:ext>
                <a:ext uri="{FF2B5EF4-FFF2-40B4-BE49-F238E27FC236}">
                  <a16:creationId xmlns:a16="http://schemas.microsoft.com/office/drawing/2014/main" id="{00000000-0008-0000-1700-0000018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fr-CA" sz="1200" b="0" i="0" u="none" strike="noStrike" baseline="0">
                  <a:solidFill>
                    <a:srgbClr val="000000"/>
                  </a:solidFill>
                  <a:latin typeface="Arial Black"/>
                </a:rPr>
                <a:t>IMPRESSION DU REGISTRE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pic>
      <xdr:nvPicPr>
        <xdr:cNvPr id="6" name="ComboBox1" hidden="1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7" name="ComboBox2" hidden="1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11</xdr:col>
          <xdr:colOff>1803400</xdr:colOff>
          <xdr:row>9</xdr:row>
          <xdr:rowOff>38100</xdr:rowOff>
        </xdr:to>
        <xdr:sp macro="" textlink="">
          <xdr:nvSpPr>
            <xdr:cNvPr id="165890" name="ComboBox1" hidden="1">
              <a:extLst>
                <a:ext uri="{63B3BB69-23CF-44E3-9099-C40C66FF867C}">
                  <a14:compatExt spid="_x0000_s165890"/>
                </a:ext>
                <a:ext uri="{FF2B5EF4-FFF2-40B4-BE49-F238E27FC236}">
                  <a16:creationId xmlns:a16="http://schemas.microsoft.com/office/drawing/2014/main" id="{00000000-0008-0000-1700-0000028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4</xdr:col>
          <xdr:colOff>2965450</xdr:colOff>
          <xdr:row>11</xdr:row>
          <xdr:rowOff>38100</xdr:rowOff>
        </xdr:to>
        <xdr:sp macro="" textlink="">
          <xdr:nvSpPr>
            <xdr:cNvPr id="165891" name="ComboBox2" hidden="1">
              <a:extLst>
                <a:ext uri="{63B3BB69-23CF-44E3-9099-C40C66FF867C}">
                  <a14:compatExt spid="_x0000_s165891"/>
                </a:ext>
                <a:ext uri="{FF2B5EF4-FFF2-40B4-BE49-F238E27FC236}">
                  <a16:creationId xmlns:a16="http://schemas.microsoft.com/office/drawing/2014/main" id="{00000000-0008-0000-1700-0000038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10" name="ComboBox2" hidden="1">
          <a:extLst>
            <a:ext uri="{63B3BB69-23CF-44E3-9099-C40C66FF867C}">
              <a14:compatExt xmlns:a14="http://schemas.microsoft.com/office/drawing/2010/main" spid="_x0000_s137218"/>
            </a:ex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11" name="ComboBox2" hidden="1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sp macro="" textlink="">
      <xdr:nvSpPr>
        <xdr:cNvPr id="2" name="ComboBox1" hidden="1">
          <a:extLst>
            <a:ext uri="{63B3BB69-23CF-44E3-9099-C40C66FF867C}">
              <a14:compatExt xmlns:a14="http://schemas.microsoft.com/office/drawing/2010/main" spid="_x0000_s138241"/>
            </a:ex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3" name="ComboBox2" hidden="1">
          <a:extLst>
            <a:ext uri="{63B3BB69-23CF-44E3-9099-C40C66FF867C}">
              <a14:compatExt xmlns:a14="http://schemas.microsoft.com/office/drawing/2010/main" spid="_x0000_s138242"/>
            </a:ex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180975</xdr:colOff>
      <xdr:row>0</xdr:row>
      <xdr:rowOff>0</xdr:rowOff>
    </xdr:from>
    <xdr:to>
      <xdr:col>3</xdr:col>
      <xdr:colOff>0</xdr:colOff>
      <xdr:row>4</xdr:row>
      <xdr:rowOff>152400</xdr:rowOff>
    </xdr:to>
    <xdr:pic>
      <xdr:nvPicPr>
        <xdr:cNvPr id="4" name="Picture 4" descr="http://intranet-surete/publications/gqg/logos/LogoSQco2.jpg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0"/>
          <a:ext cx="647700" cy="838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222250</xdr:colOff>
          <xdr:row>1</xdr:row>
          <xdr:rowOff>139700</xdr:rowOff>
        </xdr:from>
        <xdr:to>
          <xdr:col>9</xdr:col>
          <xdr:colOff>1143000</xdr:colOff>
          <xdr:row>4</xdr:row>
          <xdr:rowOff>107950</xdr:rowOff>
        </xdr:to>
        <xdr:sp macro="" textlink="">
          <xdr:nvSpPr>
            <xdr:cNvPr id="166913" name="Button 1" hidden="1">
              <a:extLst>
                <a:ext uri="{63B3BB69-23CF-44E3-9099-C40C66FF867C}">
                  <a14:compatExt spid="_x0000_s166913"/>
                </a:ext>
                <a:ext uri="{FF2B5EF4-FFF2-40B4-BE49-F238E27FC236}">
                  <a16:creationId xmlns:a16="http://schemas.microsoft.com/office/drawing/2014/main" id="{00000000-0008-0000-1800-000001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fr-CA" sz="1200" b="0" i="0" u="none" strike="noStrike" baseline="0">
                  <a:solidFill>
                    <a:srgbClr val="000000"/>
                  </a:solidFill>
                  <a:latin typeface="Arial Black"/>
                </a:rPr>
                <a:t>IMPRESSION DU REGISTRE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pic>
      <xdr:nvPicPr>
        <xdr:cNvPr id="6" name="ComboBox1" hidden="1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7" name="ComboBox2" hidden="1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11</xdr:col>
          <xdr:colOff>1803400</xdr:colOff>
          <xdr:row>9</xdr:row>
          <xdr:rowOff>38100</xdr:rowOff>
        </xdr:to>
        <xdr:sp macro="" textlink="">
          <xdr:nvSpPr>
            <xdr:cNvPr id="166914" name="ComboBox1" hidden="1">
              <a:extLst>
                <a:ext uri="{63B3BB69-23CF-44E3-9099-C40C66FF867C}">
                  <a14:compatExt spid="_x0000_s166914"/>
                </a:ext>
                <a:ext uri="{FF2B5EF4-FFF2-40B4-BE49-F238E27FC236}">
                  <a16:creationId xmlns:a16="http://schemas.microsoft.com/office/drawing/2014/main" id="{00000000-0008-0000-1800-000002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4</xdr:col>
          <xdr:colOff>2965450</xdr:colOff>
          <xdr:row>11</xdr:row>
          <xdr:rowOff>38100</xdr:rowOff>
        </xdr:to>
        <xdr:sp macro="" textlink="">
          <xdr:nvSpPr>
            <xdr:cNvPr id="166915" name="ComboBox2" hidden="1">
              <a:extLst>
                <a:ext uri="{63B3BB69-23CF-44E3-9099-C40C66FF867C}">
                  <a14:compatExt spid="_x0000_s166915"/>
                </a:ext>
                <a:ext uri="{FF2B5EF4-FFF2-40B4-BE49-F238E27FC236}">
                  <a16:creationId xmlns:a16="http://schemas.microsoft.com/office/drawing/2014/main" id="{00000000-0008-0000-1800-000003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10" name="ComboBox2" hidden="1">
          <a:extLst>
            <a:ext uri="{63B3BB69-23CF-44E3-9099-C40C66FF867C}">
              <a14:compatExt xmlns:a14="http://schemas.microsoft.com/office/drawing/2010/main" spid="_x0000_s137218"/>
            </a:ext>
            <a:ext uri="{FF2B5EF4-FFF2-40B4-BE49-F238E27FC236}">
              <a16:creationId xmlns:a16="http://schemas.microsoft.com/office/drawing/2014/main" id="{00000000-0008-0000-1800-00000A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11" name="ComboBox2" hidden="1">
          <a:extLst>
            <a:ext uri="{FF2B5EF4-FFF2-40B4-BE49-F238E27FC236}">
              <a16:creationId xmlns:a16="http://schemas.microsoft.com/office/drawing/2014/main" id="{00000000-0008-0000-1800-00000B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sp macro="" textlink="">
      <xdr:nvSpPr>
        <xdr:cNvPr id="2" name="ComboBox1" hidden="1">
          <a:extLst>
            <a:ext uri="{63B3BB69-23CF-44E3-9099-C40C66FF867C}">
              <a14:compatExt xmlns:a14="http://schemas.microsoft.com/office/drawing/2010/main" spid="_x0000_s138241"/>
            </a:ex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3" name="ComboBox2" hidden="1">
          <a:extLst>
            <a:ext uri="{63B3BB69-23CF-44E3-9099-C40C66FF867C}">
              <a14:compatExt xmlns:a14="http://schemas.microsoft.com/office/drawing/2010/main" spid="_x0000_s138242"/>
            </a:ex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180975</xdr:colOff>
      <xdr:row>0</xdr:row>
      <xdr:rowOff>0</xdr:rowOff>
    </xdr:from>
    <xdr:to>
      <xdr:col>3</xdr:col>
      <xdr:colOff>0</xdr:colOff>
      <xdr:row>4</xdr:row>
      <xdr:rowOff>152400</xdr:rowOff>
    </xdr:to>
    <xdr:pic>
      <xdr:nvPicPr>
        <xdr:cNvPr id="4" name="Picture 4" descr="http://intranet-surete/publications/gqg/logos/LogoSQco2.jpg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0"/>
          <a:ext cx="647700" cy="838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222250</xdr:colOff>
          <xdr:row>1</xdr:row>
          <xdr:rowOff>139700</xdr:rowOff>
        </xdr:from>
        <xdr:to>
          <xdr:col>9</xdr:col>
          <xdr:colOff>1143000</xdr:colOff>
          <xdr:row>4</xdr:row>
          <xdr:rowOff>107950</xdr:rowOff>
        </xdr:to>
        <xdr:sp macro="" textlink="">
          <xdr:nvSpPr>
            <xdr:cNvPr id="167937" name="Button 1" hidden="1">
              <a:extLst>
                <a:ext uri="{63B3BB69-23CF-44E3-9099-C40C66FF867C}">
                  <a14:compatExt spid="_x0000_s167937"/>
                </a:ext>
                <a:ext uri="{FF2B5EF4-FFF2-40B4-BE49-F238E27FC236}">
                  <a16:creationId xmlns:a16="http://schemas.microsoft.com/office/drawing/2014/main" id="{00000000-0008-0000-1900-0000019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fr-CA" sz="1200" b="0" i="0" u="none" strike="noStrike" baseline="0">
                  <a:solidFill>
                    <a:srgbClr val="000000"/>
                  </a:solidFill>
                  <a:latin typeface="Arial Black"/>
                </a:rPr>
                <a:t>IMPRESSION DU REGISTRE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pic>
      <xdr:nvPicPr>
        <xdr:cNvPr id="6" name="ComboBox1" hidden="1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7" name="ComboBox2" hidden="1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11</xdr:col>
          <xdr:colOff>1803400</xdr:colOff>
          <xdr:row>9</xdr:row>
          <xdr:rowOff>38100</xdr:rowOff>
        </xdr:to>
        <xdr:sp macro="" textlink="">
          <xdr:nvSpPr>
            <xdr:cNvPr id="167938" name="ComboBox1" hidden="1">
              <a:extLst>
                <a:ext uri="{63B3BB69-23CF-44E3-9099-C40C66FF867C}">
                  <a14:compatExt spid="_x0000_s167938"/>
                </a:ext>
                <a:ext uri="{FF2B5EF4-FFF2-40B4-BE49-F238E27FC236}">
                  <a16:creationId xmlns:a16="http://schemas.microsoft.com/office/drawing/2014/main" id="{00000000-0008-0000-1900-0000029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4</xdr:col>
          <xdr:colOff>2965450</xdr:colOff>
          <xdr:row>11</xdr:row>
          <xdr:rowOff>38100</xdr:rowOff>
        </xdr:to>
        <xdr:sp macro="" textlink="">
          <xdr:nvSpPr>
            <xdr:cNvPr id="167939" name="ComboBox2" hidden="1">
              <a:extLst>
                <a:ext uri="{63B3BB69-23CF-44E3-9099-C40C66FF867C}">
                  <a14:compatExt spid="_x0000_s167939"/>
                </a:ext>
                <a:ext uri="{FF2B5EF4-FFF2-40B4-BE49-F238E27FC236}">
                  <a16:creationId xmlns:a16="http://schemas.microsoft.com/office/drawing/2014/main" id="{00000000-0008-0000-1900-0000039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10" name="ComboBox2" hidden="1">
          <a:extLst>
            <a:ext uri="{63B3BB69-23CF-44E3-9099-C40C66FF867C}">
              <a14:compatExt xmlns:a14="http://schemas.microsoft.com/office/drawing/2010/main" spid="_x0000_s137218"/>
            </a:ext>
            <a:ext uri="{FF2B5EF4-FFF2-40B4-BE49-F238E27FC236}">
              <a16:creationId xmlns:a16="http://schemas.microsoft.com/office/drawing/2014/main" id="{00000000-0008-0000-1900-00000A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11" name="ComboBox2" hidden="1">
          <a:extLst>
            <a:ext uri="{FF2B5EF4-FFF2-40B4-BE49-F238E27FC236}">
              <a16:creationId xmlns:a16="http://schemas.microsoft.com/office/drawing/2014/main" id="{00000000-0008-0000-1900-00000B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sp macro="" textlink="">
      <xdr:nvSpPr>
        <xdr:cNvPr id="2" name="ComboBox1" hidden="1">
          <a:extLst>
            <a:ext uri="{63B3BB69-23CF-44E3-9099-C40C66FF867C}">
              <a14:compatExt xmlns:a14="http://schemas.microsoft.com/office/drawing/2010/main" spid="_x0000_s138241"/>
            </a:ex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3" name="ComboBox2" hidden="1">
          <a:extLst>
            <a:ext uri="{63B3BB69-23CF-44E3-9099-C40C66FF867C}">
              <a14:compatExt xmlns:a14="http://schemas.microsoft.com/office/drawing/2010/main" spid="_x0000_s138242"/>
            </a:ex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180975</xdr:colOff>
      <xdr:row>0</xdr:row>
      <xdr:rowOff>0</xdr:rowOff>
    </xdr:from>
    <xdr:to>
      <xdr:col>3</xdr:col>
      <xdr:colOff>0</xdr:colOff>
      <xdr:row>4</xdr:row>
      <xdr:rowOff>152400</xdr:rowOff>
    </xdr:to>
    <xdr:pic>
      <xdr:nvPicPr>
        <xdr:cNvPr id="4" name="Picture 4" descr="http://intranet-surete/publications/gqg/logos/LogoSQco2.jpg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0"/>
          <a:ext cx="647700" cy="838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222250</xdr:colOff>
          <xdr:row>1</xdr:row>
          <xdr:rowOff>139700</xdr:rowOff>
        </xdr:from>
        <xdr:to>
          <xdr:col>9</xdr:col>
          <xdr:colOff>1143000</xdr:colOff>
          <xdr:row>4</xdr:row>
          <xdr:rowOff>107950</xdr:rowOff>
        </xdr:to>
        <xdr:sp macro="" textlink="">
          <xdr:nvSpPr>
            <xdr:cNvPr id="168961" name="Button 1" hidden="1">
              <a:extLst>
                <a:ext uri="{63B3BB69-23CF-44E3-9099-C40C66FF867C}">
                  <a14:compatExt spid="_x0000_s168961"/>
                </a:ext>
                <a:ext uri="{FF2B5EF4-FFF2-40B4-BE49-F238E27FC236}">
                  <a16:creationId xmlns:a16="http://schemas.microsoft.com/office/drawing/2014/main" id="{00000000-0008-0000-1A00-0000019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fr-CA" sz="1200" b="0" i="0" u="none" strike="noStrike" baseline="0">
                  <a:solidFill>
                    <a:srgbClr val="000000"/>
                  </a:solidFill>
                  <a:latin typeface="Arial Black"/>
                </a:rPr>
                <a:t>IMPRESSION DU REGISTRE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pic>
      <xdr:nvPicPr>
        <xdr:cNvPr id="6" name="ComboBox1" hidden="1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7" name="ComboBox2" hidden="1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11</xdr:col>
          <xdr:colOff>1803400</xdr:colOff>
          <xdr:row>9</xdr:row>
          <xdr:rowOff>38100</xdr:rowOff>
        </xdr:to>
        <xdr:sp macro="" textlink="">
          <xdr:nvSpPr>
            <xdr:cNvPr id="168962" name="ComboBox1" hidden="1">
              <a:extLst>
                <a:ext uri="{63B3BB69-23CF-44E3-9099-C40C66FF867C}">
                  <a14:compatExt spid="_x0000_s168962"/>
                </a:ext>
                <a:ext uri="{FF2B5EF4-FFF2-40B4-BE49-F238E27FC236}">
                  <a16:creationId xmlns:a16="http://schemas.microsoft.com/office/drawing/2014/main" id="{00000000-0008-0000-1A00-0000029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4</xdr:col>
          <xdr:colOff>2965450</xdr:colOff>
          <xdr:row>11</xdr:row>
          <xdr:rowOff>38100</xdr:rowOff>
        </xdr:to>
        <xdr:sp macro="" textlink="">
          <xdr:nvSpPr>
            <xdr:cNvPr id="168963" name="ComboBox2" hidden="1">
              <a:extLst>
                <a:ext uri="{63B3BB69-23CF-44E3-9099-C40C66FF867C}">
                  <a14:compatExt spid="_x0000_s168963"/>
                </a:ext>
                <a:ext uri="{FF2B5EF4-FFF2-40B4-BE49-F238E27FC236}">
                  <a16:creationId xmlns:a16="http://schemas.microsoft.com/office/drawing/2014/main" id="{00000000-0008-0000-1A00-0000039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10" name="ComboBox2" hidden="1">
          <a:extLst>
            <a:ext uri="{63B3BB69-23CF-44E3-9099-C40C66FF867C}">
              <a14:compatExt xmlns:a14="http://schemas.microsoft.com/office/drawing/2010/main" spid="_x0000_s137218"/>
            </a:ext>
            <a:ext uri="{FF2B5EF4-FFF2-40B4-BE49-F238E27FC236}">
              <a16:creationId xmlns:a16="http://schemas.microsoft.com/office/drawing/2014/main" id="{00000000-0008-0000-1A00-00000A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11" name="ComboBox2" hidden="1">
          <a:extLst>
            <a:ext uri="{FF2B5EF4-FFF2-40B4-BE49-F238E27FC236}">
              <a16:creationId xmlns:a16="http://schemas.microsoft.com/office/drawing/2014/main" id="{00000000-0008-0000-1A00-00000B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sp macro="" textlink="">
      <xdr:nvSpPr>
        <xdr:cNvPr id="2" name="ComboBox1" hidden="1">
          <a:extLst>
            <a:ext uri="{63B3BB69-23CF-44E3-9099-C40C66FF867C}">
              <a14:compatExt xmlns:a14="http://schemas.microsoft.com/office/drawing/2010/main" spid="_x0000_s138241"/>
            </a:ex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3" name="ComboBox2" hidden="1">
          <a:extLst>
            <a:ext uri="{63B3BB69-23CF-44E3-9099-C40C66FF867C}">
              <a14:compatExt xmlns:a14="http://schemas.microsoft.com/office/drawing/2010/main" spid="_x0000_s138242"/>
            </a:ex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180975</xdr:colOff>
      <xdr:row>0</xdr:row>
      <xdr:rowOff>0</xdr:rowOff>
    </xdr:from>
    <xdr:to>
      <xdr:col>3</xdr:col>
      <xdr:colOff>0</xdr:colOff>
      <xdr:row>4</xdr:row>
      <xdr:rowOff>152400</xdr:rowOff>
    </xdr:to>
    <xdr:pic>
      <xdr:nvPicPr>
        <xdr:cNvPr id="4" name="Picture 4" descr="http://intranet-surete/publications/gqg/logos/LogoSQco2.jpg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0"/>
          <a:ext cx="647700" cy="838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222250</xdr:colOff>
          <xdr:row>1</xdr:row>
          <xdr:rowOff>139700</xdr:rowOff>
        </xdr:from>
        <xdr:to>
          <xdr:col>9</xdr:col>
          <xdr:colOff>1143000</xdr:colOff>
          <xdr:row>4</xdr:row>
          <xdr:rowOff>107950</xdr:rowOff>
        </xdr:to>
        <xdr:sp macro="" textlink="">
          <xdr:nvSpPr>
            <xdr:cNvPr id="169985" name="Button 1" hidden="1">
              <a:extLst>
                <a:ext uri="{63B3BB69-23CF-44E3-9099-C40C66FF867C}">
                  <a14:compatExt spid="_x0000_s169985"/>
                </a:ext>
                <a:ext uri="{FF2B5EF4-FFF2-40B4-BE49-F238E27FC236}">
                  <a16:creationId xmlns:a16="http://schemas.microsoft.com/office/drawing/2014/main" id="{00000000-0008-0000-1B00-0000019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fr-CA" sz="1200" b="0" i="0" u="none" strike="noStrike" baseline="0">
                  <a:solidFill>
                    <a:srgbClr val="000000"/>
                  </a:solidFill>
                  <a:latin typeface="Arial Black"/>
                </a:rPr>
                <a:t>IMPRESSION DU REGISTRE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pic>
      <xdr:nvPicPr>
        <xdr:cNvPr id="6" name="ComboBox1" hidden="1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7" name="ComboBox2" hidden="1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11</xdr:col>
          <xdr:colOff>1803400</xdr:colOff>
          <xdr:row>9</xdr:row>
          <xdr:rowOff>38100</xdr:rowOff>
        </xdr:to>
        <xdr:sp macro="" textlink="">
          <xdr:nvSpPr>
            <xdr:cNvPr id="169986" name="ComboBox1" hidden="1">
              <a:extLst>
                <a:ext uri="{63B3BB69-23CF-44E3-9099-C40C66FF867C}">
                  <a14:compatExt spid="_x0000_s169986"/>
                </a:ext>
                <a:ext uri="{FF2B5EF4-FFF2-40B4-BE49-F238E27FC236}">
                  <a16:creationId xmlns:a16="http://schemas.microsoft.com/office/drawing/2014/main" id="{00000000-0008-0000-1B00-0000029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4</xdr:col>
          <xdr:colOff>2965450</xdr:colOff>
          <xdr:row>11</xdr:row>
          <xdr:rowOff>38100</xdr:rowOff>
        </xdr:to>
        <xdr:sp macro="" textlink="">
          <xdr:nvSpPr>
            <xdr:cNvPr id="169987" name="ComboBox2" hidden="1">
              <a:extLst>
                <a:ext uri="{63B3BB69-23CF-44E3-9099-C40C66FF867C}">
                  <a14:compatExt spid="_x0000_s169987"/>
                </a:ext>
                <a:ext uri="{FF2B5EF4-FFF2-40B4-BE49-F238E27FC236}">
                  <a16:creationId xmlns:a16="http://schemas.microsoft.com/office/drawing/2014/main" id="{00000000-0008-0000-1B00-0000039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10" name="ComboBox2" hidden="1">
          <a:extLst>
            <a:ext uri="{63B3BB69-23CF-44E3-9099-C40C66FF867C}">
              <a14:compatExt xmlns:a14="http://schemas.microsoft.com/office/drawing/2010/main" spid="_x0000_s137218"/>
            </a:ex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11" name="ComboBox2" hidden="1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sp macro="" textlink="">
      <xdr:nvSpPr>
        <xdr:cNvPr id="2" name="ComboBox1" hidden="1">
          <a:extLst>
            <a:ext uri="{63B3BB69-23CF-44E3-9099-C40C66FF867C}">
              <a14:compatExt xmlns:a14="http://schemas.microsoft.com/office/drawing/2010/main" spid="_x0000_s138241"/>
            </a:ex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3" name="ComboBox2" hidden="1">
          <a:extLst>
            <a:ext uri="{63B3BB69-23CF-44E3-9099-C40C66FF867C}">
              <a14:compatExt xmlns:a14="http://schemas.microsoft.com/office/drawing/2010/main" spid="_x0000_s138242"/>
            </a:ex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180975</xdr:colOff>
      <xdr:row>0</xdr:row>
      <xdr:rowOff>0</xdr:rowOff>
    </xdr:from>
    <xdr:to>
      <xdr:col>3</xdr:col>
      <xdr:colOff>0</xdr:colOff>
      <xdr:row>4</xdr:row>
      <xdr:rowOff>152400</xdr:rowOff>
    </xdr:to>
    <xdr:pic>
      <xdr:nvPicPr>
        <xdr:cNvPr id="4" name="Picture 4" descr="http://intranet-surete/publications/gqg/logos/LogoSQco2.jpg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0"/>
          <a:ext cx="647700" cy="838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222250</xdr:colOff>
          <xdr:row>1</xdr:row>
          <xdr:rowOff>139700</xdr:rowOff>
        </xdr:from>
        <xdr:to>
          <xdr:col>9</xdr:col>
          <xdr:colOff>1143000</xdr:colOff>
          <xdr:row>4</xdr:row>
          <xdr:rowOff>107950</xdr:rowOff>
        </xdr:to>
        <xdr:sp macro="" textlink="">
          <xdr:nvSpPr>
            <xdr:cNvPr id="171009" name="Button 1" hidden="1">
              <a:extLst>
                <a:ext uri="{63B3BB69-23CF-44E3-9099-C40C66FF867C}">
                  <a14:compatExt spid="_x0000_s171009"/>
                </a:ext>
                <a:ext uri="{FF2B5EF4-FFF2-40B4-BE49-F238E27FC236}">
                  <a16:creationId xmlns:a16="http://schemas.microsoft.com/office/drawing/2014/main" id="{00000000-0008-0000-1C00-0000019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fr-CA" sz="1200" b="0" i="0" u="none" strike="noStrike" baseline="0">
                  <a:solidFill>
                    <a:srgbClr val="000000"/>
                  </a:solidFill>
                  <a:latin typeface="Arial Black"/>
                </a:rPr>
                <a:t>IMPRESSION DU REGISTRE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pic>
      <xdr:nvPicPr>
        <xdr:cNvPr id="6" name="ComboBox1" hidden="1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7" name="ComboBox2" hidden="1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11</xdr:col>
          <xdr:colOff>1803400</xdr:colOff>
          <xdr:row>9</xdr:row>
          <xdr:rowOff>38100</xdr:rowOff>
        </xdr:to>
        <xdr:sp macro="" textlink="">
          <xdr:nvSpPr>
            <xdr:cNvPr id="171010" name="ComboBox1" hidden="1">
              <a:extLst>
                <a:ext uri="{63B3BB69-23CF-44E3-9099-C40C66FF867C}">
                  <a14:compatExt spid="_x0000_s171010"/>
                </a:ext>
                <a:ext uri="{FF2B5EF4-FFF2-40B4-BE49-F238E27FC236}">
                  <a16:creationId xmlns:a16="http://schemas.microsoft.com/office/drawing/2014/main" id="{00000000-0008-0000-1C00-0000029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4</xdr:col>
          <xdr:colOff>2965450</xdr:colOff>
          <xdr:row>11</xdr:row>
          <xdr:rowOff>38100</xdr:rowOff>
        </xdr:to>
        <xdr:sp macro="" textlink="">
          <xdr:nvSpPr>
            <xdr:cNvPr id="171011" name="ComboBox2" hidden="1">
              <a:extLst>
                <a:ext uri="{63B3BB69-23CF-44E3-9099-C40C66FF867C}">
                  <a14:compatExt spid="_x0000_s171011"/>
                </a:ext>
                <a:ext uri="{FF2B5EF4-FFF2-40B4-BE49-F238E27FC236}">
                  <a16:creationId xmlns:a16="http://schemas.microsoft.com/office/drawing/2014/main" id="{00000000-0008-0000-1C00-0000039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10" name="ComboBox2" hidden="1">
          <a:extLst>
            <a:ext uri="{63B3BB69-23CF-44E3-9099-C40C66FF867C}">
              <a14:compatExt xmlns:a14="http://schemas.microsoft.com/office/drawing/2010/main" spid="_x0000_s137218"/>
            </a:ext>
            <a:ext uri="{FF2B5EF4-FFF2-40B4-BE49-F238E27FC236}">
              <a16:creationId xmlns:a16="http://schemas.microsoft.com/office/drawing/2014/main" id="{00000000-0008-0000-1C00-00000A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11" name="ComboBox2" hidden="1">
          <a:extLst>
            <a:ext uri="{FF2B5EF4-FFF2-40B4-BE49-F238E27FC236}">
              <a16:creationId xmlns:a16="http://schemas.microsoft.com/office/drawing/2014/main" id="{00000000-0008-0000-1C00-00000B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sp macro="" textlink="">
      <xdr:nvSpPr>
        <xdr:cNvPr id="2" name="ComboBox1" hidden="1">
          <a:extLst>
            <a:ext uri="{63B3BB69-23CF-44E3-9099-C40C66FF867C}">
              <a14:compatExt xmlns:a14="http://schemas.microsoft.com/office/drawing/2010/main" spid="_x0000_s138241"/>
            </a:ex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3" name="ComboBox2" hidden="1">
          <a:extLst>
            <a:ext uri="{63B3BB69-23CF-44E3-9099-C40C66FF867C}">
              <a14:compatExt xmlns:a14="http://schemas.microsoft.com/office/drawing/2010/main" spid="_x0000_s138242"/>
            </a:ex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180975</xdr:colOff>
      <xdr:row>0</xdr:row>
      <xdr:rowOff>0</xdr:rowOff>
    </xdr:from>
    <xdr:to>
      <xdr:col>3</xdr:col>
      <xdr:colOff>0</xdr:colOff>
      <xdr:row>4</xdr:row>
      <xdr:rowOff>152400</xdr:rowOff>
    </xdr:to>
    <xdr:pic>
      <xdr:nvPicPr>
        <xdr:cNvPr id="4" name="Picture 4" descr="http://intranet-surete/publications/gqg/logos/LogoSQco2.jpg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0"/>
          <a:ext cx="647700" cy="838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222250</xdr:colOff>
          <xdr:row>1</xdr:row>
          <xdr:rowOff>139700</xdr:rowOff>
        </xdr:from>
        <xdr:to>
          <xdr:col>9</xdr:col>
          <xdr:colOff>1143000</xdr:colOff>
          <xdr:row>4</xdr:row>
          <xdr:rowOff>107950</xdr:rowOff>
        </xdr:to>
        <xdr:sp macro="" textlink="">
          <xdr:nvSpPr>
            <xdr:cNvPr id="172033" name="Button 1" hidden="1">
              <a:extLst>
                <a:ext uri="{63B3BB69-23CF-44E3-9099-C40C66FF867C}">
                  <a14:compatExt spid="_x0000_s172033"/>
                </a:ext>
                <a:ext uri="{FF2B5EF4-FFF2-40B4-BE49-F238E27FC236}">
                  <a16:creationId xmlns:a16="http://schemas.microsoft.com/office/drawing/2014/main" id="{00000000-0008-0000-1D00-000001A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fr-CA" sz="1200" b="0" i="0" u="none" strike="noStrike" baseline="0">
                  <a:solidFill>
                    <a:srgbClr val="000000"/>
                  </a:solidFill>
                  <a:latin typeface="Arial Black"/>
                </a:rPr>
                <a:t>IMPRESSION DU REGISTRE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pic>
      <xdr:nvPicPr>
        <xdr:cNvPr id="6" name="ComboBox1" hidden="1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7" name="ComboBox2" hidden="1"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11</xdr:col>
          <xdr:colOff>1803400</xdr:colOff>
          <xdr:row>9</xdr:row>
          <xdr:rowOff>38100</xdr:rowOff>
        </xdr:to>
        <xdr:sp macro="" textlink="">
          <xdr:nvSpPr>
            <xdr:cNvPr id="172034" name="ComboBox1" hidden="1">
              <a:extLst>
                <a:ext uri="{63B3BB69-23CF-44E3-9099-C40C66FF867C}">
                  <a14:compatExt spid="_x0000_s172034"/>
                </a:ext>
                <a:ext uri="{FF2B5EF4-FFF2-40B4-BE49-F238E27FC236}">
                  <a16:creationId xmlns:a16="http://schemas.microsoft.com/office/drawing/2014/main" id="{00000000-0008-0000-1D00-000002A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4</xdr:col>
          <xdr:colOff>2965450</xdr:colOff>
          <xdr:row>9</xdr:row>
          <xdr:rowOff>38100</xdr:rowOff>
        </xdr:to>
        <xdr:sp macro="" textlink="">
          <xdr:nvSpPr>
            <xdr:cNvPr id="172035" name="ComboBox2" hidden="1">
              <a:extLst>
                <a:ext uri="{63B3BB69-23CF-44E3-9099-C40C66FF867C}">
                  <a14:compatExt spid="_x0000_s172035"/>
                </a:ext>
                <a:ext uri="{FF2B5EF4-FFF2-40B4-BE49-F238E27FC236}">
                  <a16:creationId xmlns:a16="http://schemas.microsoft.com/office/drawing/2014/main" id="{00000000-0008-0000-1D00-000003A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10" name="ComboBox2" hidden="1">
          <a:extLst>
            <a:ext uri="{63B3BB69-23CF-44E3-9099-C40C66FF867C}">
              <a14:compatExt xmlns:a14="http://schemas.microsoft.com/office/drawing/2010/main" spid="_x0000_s137218"/>
            </a:ext>
            <a:ext uri="{FF2B5EF4-FFF2-40B4-BE49-F238E27FC236}">
              <a16:creationId xmlns:a16="http://schemas.microsoft.com/office/drawing/2014/main" id="{00000000-0008-0000-1D00-00000A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11" name="ComboBox2" hidden="1">
          <a:extLst>
            <a:ext uri="{FF2B5EF4-FFF2-40B4-BE49-F238E27FC236}">
              <a16:creationId xmlns:a16="http://schemas.microsoft.com/office/drawing/2014/main" id="{00000000-0008-0000-1D00-00000B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sp macro="" textlink="">
      <xdr:nvSpPr>
        <xdr:cNvPr id="2" name="ComboBox1" hidden="1">
          <a:extLst>
            <a:ext uri="{63B3BB69-23CF-44E3-9099-C40C66FF867C}">
              <a14:compatExt xmlns:a14="http://schemas.microsoft.com/office/drawing/2010/main" spid="_x0000_s138241"/>
            </a:ex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3" name="ComboBox2" hidden="1">
          <a:extLst>
            <a:ext uri="{63B3BB69-23CF-44E3-9099-C40C66FF867C}">
              <a14:compatExt xmlns:a14="http://schemas.microsoft.com/office/drawing/2010/main" spid="_x0000_s138242"/>
            </a:ex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180975</xdr:colOff>
      <xdr:row>0</xdr:row>
      <xdr:rowOff>0</xdr:rowOff>
    </xdr:from>
    <xdr:to>
      <xdr:col>3</xdr:col>
      <xdr:colOff>0</xdr:colOff>
      <xdr:row>4</xdr:row>
      <xdr:rowOff>152400</xdr:rowOff>
    </xdr:to>
    <xdr:pic>
      <xdr:nvPicPr>
        <xdr:cNvPr id="4" name="Picture 4" descr="http://intranet-surete/publications/gqg/logos/LogoSQco2.jpg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0"/>
          <a:ext cx="647700" cy="838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222250</xdr:colOff>
          <xdr:row>1</xdr:row>
          <xdr:rowOff>139700</xdr:rowOff>
        </xdr:from>
        <xdr:to>
          <xdr:col>9</xdr:col>
          <xdr:colOff>1143000</xdr:colOff>
          <xdr:row>4</xdr:row>
          <xdr:rowOff>107950</xdr:rowOff>
        </xdr:to>
        <xdr:sp macro="" textlink="">
          <xdr:nvSpPr>
            <xdr:cNvPr id="177153" name="Button 1" hidden="1">
              <a:extLst>
                <a:ext uri="{63B3BB69-23CF-44E3-9099-C40C66FF867C}">
                  <a14:compatExt spid="_x0000_s177153"/>
                </a:ext>
                <a:ext uri="{FF2B5EF4-FFF2-40B4-BE49-F238E27FC236}">
                  <a16:creationId xmlns:a16="http://schemas.microsoft.com/office/drawing/2014/main" id="{00000000-0008-0000-1E00-000001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fr-CA" sz="1200" b="0" i="0" u="none" strike="noStrike" baseline="0">
                  <a:solidFill>
                    <a:srgbClr val="000000"/>
                  </a:solidFill>
                  <a:latin typeface="Arial Black"/>
                </a:rPr>
                <a:t>IMPRESSION DU REGISTRE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0</xdr:colOff>
      <xdr:row>21</xdr:row>
      <xdr:rowOff>0</xdr:rowOff>
    </xdr:from>
    <xdr:to>
      <xdr:col>12</xdr:col>
      <xdr:colOff>0</xdr:colOff>
      <xdr:row>22</xdr:row>
      <xdr:rowOff>38100</xdr:rowOff>
    </xdr:to>
    <xdr:pic>
      <xdr:nvPicPr>
        <xdr:cNvPr id="6" name="ComboBox1" hidden="1">
          <a:extLst>
            <a:ext uri="{FF2B5EF4-FFF2-40B4-BE49-F238E27FC236}">
              <a16:creationId xmlns:a16="http://schemas.microsoft.com/office/drawing/2014/main" id="{00000000-0008-0000-1E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72550" y="6667500"/>
          <a:ext cx="180022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7" name="ComboBox2" hidden="1">
          <a:extLst>
            <a:ext uri="{FF2B5EF4-FFF2-40B4-BE49-F238E27FC236}">
              <a16:creationId xmlns:a16="http://schemas.microsoft.com/office/drawing/2014/main" id="{00000000-0008-0000-1E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11</xdr:col>
          <xdr:colOff>1803400</xdr:colOff>
          <xdr:row>9</xdr:row>
          <xdr:rowOff>38100</xdr:rowOff>
        </xdr:to>
        <xdr:sp macro="" textlink="">
          <xdr:nvSpPr>
            <xdr:cNvPr id="177154" name="ComboBox1" hidden="1">
              <a:extLst>
                <a:ext uri="{63B3BB69-23CF-44E3-9099-C40C66FF867C}">
                  <a14:compatExt spid="_x0000_s177154"/>
                </a:ext>
                <a:ext uri="{FF2B5EF4-FFF2-40B4-BE49-F238E27FC236}">
                  <a16:creationId xmlns:a16="http://schemas.microsoft.com/office/drawing/2014/main" id="{00000000-0008-0000-1E00-000002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4</xdr:col>
          <xdr:colOff>2965450</xdr:colOff>
          <xdr:row>9</xdr:row>
          <xdr:rowOff>38100</xdr:rowOff>
        </xdr:to>
        <xdr:sp macro="" textlink="">
          <xdr:nvSpPr>
            <xdr:cNvPr id="177155" name="ComboBox2" hidden="1">
              <a:extLst>
                <a:ext uri="{63B3BB69-23CF-44E3-9099-C40C66FF867C}">
                  <a14:compatExt spid="_x0000_s177155"/>
                </a:ext>
                <a:ext uri="{FF2B5EF4-FFF2-40B4-BE49-F238E27FC236}">
                  <a16:creationId xmlns:a16="http://schemas.microsoft.com/office/drawing/2014/main" id="{00000000-0008-0000-1E00-000003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sp macro="" textlink="">
      <xdr:nvSpPr>
        <xdr:cNvPr id="10" name="ComboBox2" hidden="1">
          <a:extLst>
            <a:ext uri="{63B3BB69-23CF-44E3-9099-C40C66FF867C}">
              <a14:compatExt xmlns:a14="http://schemas.microsoft.com/office/drawing/2010/main" spid="_x0000_s137218"/>
            </a:ext>
            <a:ext uri="{FF2B5EF4-FFF2-40B4-BE49-F238E27FC236}">
              <a16:creationId xmlns:a16="http://schemas.microsoft.com/office/drawing/2014/main" id="{00000000-0008-0000-1E00-00000A000000}"/>
            </a:ext>
          </a:extLst>
        </xdr:cNvPr>
        <xdr:cNvSpPr/>
      </xdr:nvSpPr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38100</xdr:rowOff>
    </xdr:to>
    <xdr:pic>
      <xdr:nvPicPr>
        <xdr:cNvPr id="11" name="ComboBox2" hidden="1">
          <a:extLst>
            <a:ext uri="{FF2B5EF4-FFF2-40B4-BE49-F238E27FC236}">
              <a16:creationId xmlns:a16="http://schemas.microsoft.com/office/drawing/2014/main" id="{00000000-0008-0000-1E00-00000B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1333500"/>
          <a:ext cx="2962275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enoît Desjardins" refreshedDate="42331.230855092595" createdVersion="5" refreshedVersion="5" minRefreshableVersion="3" recordCount="1705" xr:uid="{00000000-000A-0000-FFFF-FFFF00000000}">
  <cacheSource type="consolidation">
    <consolidation>
      <pages count="1">
        <page count="31">
          <pageItem name="Élément1"/>
          <pageItem name="Élément2"/>
          <pageItem name="Élément3"/>
          <pageItem name="Élément4"/>
          <pageItem name="Élément5"/>
          <pageItem name="Élément6"/>
          <pageItem name="Élément7"/>
          <pageItem name="Élément8"/>
          <pageItem name="Élément9"/>
          <pageItem name="Élément10"/>
          <pageItem name="Élément11"/>
          <pageItem name="Élément12"/>
          <pageItem name="Élément13"/>
          <pageItem name="Élément14"/>
          <pageItem name="Élément15"/>
          <pageItem name="Élément16"/>
          <pageItem name="Élément17"/>
          <pageItem name="Élément18"/>
          <pageItem name="Élément19"/>
          <pageItem name="Élément20"/>
          <pageItem name="Élément21"/>
          <pageItem name="Élément22"/>
          <pageItem name="Élément23"/>
          <pageItem name="Élément24"/>
          <pageItem name="Élément25"/>
          <pageItem name="Élément26"/>
          <pageItem name="Élément27"/>
          <pageItem name="Élément28"/>
          <pageItem name="Élément29"/>
          <pageItem name="Élément30"/>
          <pageItem name="Élément31"/>
        </page>
      </pages>
      <rangeSets count="31">
        <rangeSet i1="0" ref="E6:F61" sheet="01"/>
        <rangeSet i1="1" ref="E6:F61" sheet="02"/>
        <rangeSet i1="2" ref="E6:F61" sheet="03"/>
        <rangeSet i1="3" ref="E6:F61" sheet="04"/>
        <rangeSet i1="4" ref="E6:F61" sheet="05"/>
        <rangeSet i1="5" ref="E6:F61" sheet="06"/>
        <rangeSet i1="6" ref="E6:F61" sheet="07"/>
        <rangeSet i1="7" ref="E6:F61" sheet="08"/>
        <rangeSet i1="8" ref="E6:F61" sheet="09"/>
        <rangeSet i1="9" ref="E6:F61" sheet="10"/>
        <rangeSet i1="10" ref="E6:F61" sheet="11"/>
        <rangeSet i1="11" ref="E6:F61" sheet="12"/>
        <rangeSet i1="12" ref="E6:F61" sheet="13"/>
        <rangeSet i1="13" ref="E6:F61" sheet="14"/>
        <rangeSet i1="14" ref="E6:F61" sheet="15"/>
        <rangeSet i1="15" ref="E6:F61" sheet="16"/>
        <rangeSet i1="16" ref="E6:F61" sheet="17"/>
        <rangeSet i1="17" ref="E6:F61" sheet="18"/>
        <rangeSet i1="18" ref="E6:F61" sheet="19"/>
        <rangeSet i1="19" ref="E6:F61" sheet="20"/>
        <rangeSet i1="20" ref="E6:F61" sheet="21"/>
        <rangeSet i1="21" ref="E6:F61" sheet="22"/>
        <rangeSet i1="22" ref="E6:F61" sheet="23"/>
        <rangeSet i1="23" ref="E6:F61" sheet="24"/>
        <rangeSet i1="24" ref="E6:F61" sheet="25"/>
        <rangeSet i1="25" ref="E6:F61" sheet="26"/>
        <rangeSet i1="26" ref="E6:F61" sheet="27"/>
        <rangeSet i1="27" ref="E6:F61" sheet="28"/>
        <rangeSet i1="28" ref="E6:F61" sheet="29"/>
        <rangeSet i1="29" ref="E6:F61" sheet="30"/>
        <rangeSet i1="30" ref="E6:F61" sheet="31"/>
      </rangeSets>
    </consolidation>
  </cacheSource>
  <cacheFields count="4">
    <cacheField name="Ligne" numFmtId="0">
      <sharedItems containsBlank="1" count="2">
        <m/>
        <s v=""/>
      </sharedItems>
    </cacheField>
    <cacheField name="Colonne" numFmtId="0">
      <sharedItems count="1">
        <s v="MATRIC. ASSIGNÉ"/>
      </sharedItems>
    </cacheField>
    <cacheField name="Valeur" numFmtId="0">
      <sharedItems containsNonDate="0" containsString="0" containsBlank="1" count="1">
        <m/>
      </sharedItems>
    </cacheField>
    <cacheField name="Page1" numFmtId="0">
      <sharedItems count="31">
        <s v="Élément1"/>
        <s v="Élément2"/>
        <s v="Élément3"/>
        <s v="Élément4"/>
        <s v="Élément5"/>
        <s v="Élément6"/>
        <s v="Élément7"/>
        <s v="Élément8"/>
        <s v="Élément9"/>
        <s v="Élément10"/>
        <s v="Élément11"/>
        <s v="Élément12"/>
        <s v="Élément13"/>
        <s v="Élément14"/>
        <s v="Élément15"/>
        <s v="Élément16"/>
        <s v="Élément17"/>
        <s v="Élément18"/>
        <s v="Élément19"/>
        <s v="Élément20"/>
        <s v="Élément21"/>
        <s v="Élément22"/>
        <s v="Élément23"/>
        <s v="Élément24"/>
        <s v="Élément25"/>
        <s v="Élément26"/>
        <s v="Élément27"/>
        <s v="Élément28"/>
        <s v="Élément29"/>
        <s v="Élément30"/>
        <s v="Élément3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05"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1"/>
  </r>
  <r>
    <x v="0"/>
    <x v="0"/>
    <x v="0"/>
    <x v="1"/>
  </r>
  <r>
    <x v="0"/>
    <x v="0"/>
    <x v="0"/>
    <x v="1"/>
  </r>
  <r>
    <x v="0"/>
    <x v="0"/>
    <x v="0"/>
    <x v="1"/>
  </r>
  <r>
    <x v="1"/>
    <x v="0"/>
    <x v="0"/>
    <x v="1"/>
  </r>
  <r>
    <x v="0"/>
    <x v="0"/>
    <x v="0"/>
    <x v="1"/>
  </r>
  <r>
    <x v="0"/>
    <x v="0"/>
    <x v="0"/>
    <x v="1"/>
  </r>
  <r>
    <x v="0"/>
    <x v="0"/>
    <x v="0"/>
    <x v="1"/>
  </r>
  <r>
    <x v="0"/>
    <x v="0"/>
    <x v="0"/>
    <x v="1"/>
  </r>
  <r>
    <x v="0"/>
    <x v="0"/>
    <x v="0"/>
    <x v="1"/>
  </r>
  <r>
    <x v="0"/>
    <x v="0"/>
    <x v="0"/>
    <x v="1"/>
  </r>
  <r>
    <x v="0"/>
    <x v="0"/>
    <x v="0"/>
    <x v="1"/>
  </r>
  <r>
    <x v="0"/>
    <x v="0"/>
    <x v="0"/>
    <x v="1"/>
  </r>
  <r>
    <x v="0"/>
    <x v="0"/>
    <x v="0"/>
    <x v="1"/>
  </r>
  <r>
    <x v="0"/>
    <x v="0"/>
    <x v="0"/>
    <x v="1"/>
  </r>
  <r>
    <x v="0"/>
    <x v="0"/>
    <x v="0"/>
    <x v="1"/>
  </r>
  <r>
    <x v="0"/>
    <x v="0"/>
    <x v="0"/>
    <x v="1"/>
  </r>
  <r>
    <x v="0"/>
    <x v="0"/>
    <x v="0"/>
    <x v="1"/>
  </r>
  <r>
    <x v="0"/>
    <x v="0"/>
    <x v="0"/>
    <x v="1"/>
  </r>
  <r>
    <x v="0"/>
    <x v="0"/>
    <x v="0"/>
    <x v="1"/>
  </r>
  <r>
    <x v="0"/>
    <x v="0"/>
    <x v="0"/>
    <x v="1"/>
  </r>
  <r>
    <x v="0"/>
    <x v="0"/>
    <x v="0"/>
    <x v="1"/>
  </r>
  <r>
    <x v="0"/>
    <x v="0"/>
    <x v="0"/>
    <x v="1"/>
  </r>
  <r>
    <x v="0"/>
    <x v="0"/>
    <x v="0"/>
    <x v="1"/>
  </r>
  <r>
    <x v="0"/>
    <x v="0"/>
    <x v="0"/>
    <x v="1"/>
  </r>
  <r>
    <x v="0"/>
    <x v="0"/>
    <x v="0"/>
    <x v="1"/>
  </r>
  <r>
    <x v="0"/>
    <x v="0"/>
    <x v="0"/>
    <x v="1"/>
  </r>
  <r>
    <x v="0"/>
    <x v="0"/>
    <x v="0"/>
    <x v="1"/>
  </r>
  <r>
    <x v="0"/>
    <x v="0"/>
    <x v="0"/>
    <x v="1"/>
  </r>
  <r>
    <x v="0"/>
    <x v="0"/>
    <x v="0"/>
    <x v="1"/>
  </r>
  <r>
    <x v="0"/>
    <x v="0"/>
    <x v="0"/>
    <x v="1"/>
  </r>
  <r>
    <x v="0"/>
    <x v="0"/>
    <x v="0"/>
    <x v="1"/>
  </r>
  <r>
    <x v="0"/>
    <x v="0"/>
    <x v="0"/>
    <x v="1"/>
  </r>
  <r>
    <x v="0"/>
    <x v="0"/>
    <x v="0"/>
    <x v="1"/>
  </r>
  <r>
    <x v="0"/>
    <x v="0"/>
    <x v="0"/>
    <x v="1"/>
  </r>
  <r>
    <x v="0"/>
    <x v="0"/>
    <x v="0"/>
    <x v="1"/>
  </r>
  <r>
    <x v="1"/>
    <x v="0"/>
    <x v="0"/>
    <x v="1"/>
  </r>
  <r>
    <x v="0"/>
    <x v="0"/>
    <x v="0"/>
    <x v="1"/>
  </r>
  <r>
    <x v="0"/>
    <x v="0"/>
    <x v="0"/>
    <x v="1"/>
  </r>
  <r>
    <x v="0"/>
    <x v="0"/>
    <x v="0"/>
    <x v="1"/>
  </r>
  <r>
    <x v="0"/>
    <x v="0"/>
    <x v="0"/>
    <x v="1"/>
  </r>
  <r>
    <x v="0"/>
    <x v="0"/>
    <x v="0"/>
    <x v="1"/>
  </r>
  <r>
    <x v="0"/>
    <x v="0"/>
    <x v="0"/>
    <x v="1"/>
  </r>
  <r>
    <x v="0"/>
    <x v="0"/>
    <x v="0"/>
    <x v="1"/>
  </r>
  <r>
    <x v="0"/>
    <x v="0"/>
    <x v="0"/>
    <x v="1"/>
  </r>
  <r>
    <x v="0"/>
    <x v="0"/>
    <x v="0"/>
    <x v="1"/>
  </r>
  <r>
    <x v="0"/>
    <x v="0"/>
    <x v="0"/>
    <x v="1"/>
  </r>
  <r>
    <x v="0"/>
    <x v="0"/>
    <x v="0"/>
    <x v="1"/>
  </r>
  <r>
    <x v="0"/>
    <x v="0"/>
    <x v="0"/>
    <x v="1"/>
  </r>
  <r>
    <x v="0"/>
    <x v="0"/>
    <x v="0"/>
    <x v="1"/>
  </r>
  <r>
    <x v="0"/>
    <x v="0"/>
    <x v="0"/>
    <x v="1"/>
  </r>
  <r>
    <x v="0"/>
    <x v="0"/>
    <x v="0"/>
    <x v="1"/>
  </r>
  <r>
    <x v="0"/>
    <x v="0"/>
    <x v="0"/>
    <x v="1"/>
  </r>
  <r>
    <x v="0"/>
    <x v="0"/>
    <x v="0"/>
    <x v="1"/>
  </r>
  <r>
    <x v="0"/>
    <x v="0"/>
    <x v="0"/>
    <x v="1"/>
  </r>
  <r>
    <x v="0"/>
    <x v="0"/>
    <x v="0"/>
    <x v="2"/>
  </r>
  <r>
    <x v="0"/>
    <x v="0"/>
    <x v="0"/>
    <x v="2"/>
  </r>
  <r>
    <x v="0"/>
    <x v="0"/>
    <x v="0"/>
    <x v="2"/>
  </r>
  <r>
    <x v="0"/>
    <x v="0"/>
    <x v="0"/>
    <x v="2"/>
  </r>
  <r>
    <x v="1"/>
    <x v="0"/>
    <x v="0"/>
    <x v="2"/>
  </r>
  <r>
    <x v="0"/>
    <x v="0"/>
    <x v="0"/>
    <x v="2"/>
  </r>
  <r>
    <x v="0"/>
    <x v="0"/>
    <x v="0"/>
    <x v="2"/>
  </r>
  <r>
    <x v="0"/>
    <x v="0"/>
    <x v="0"/>
    <x v="2"/>
  </r>
  <r>
    <x v="0"/>
    <x v="0"/>
    <x v="0"/>
    <x v="2"/>
  </r>
  <r>
    <x v="0"/>
    <x v="0"/>
    <x v="0"/>
    <x v="2"/>
  </r>
  <r>
    <x v="0"/>
    <x v="0"/>
    <x v="0"/>
    <x v="2"/>
  </r>
  <r>
    <x v="0"/>
    <x v="0"/>
    <x v="0"/>
    <x v="2"/>
  </r>
  <r>
    <x v="0"/>
    <x v="0"/>
    <x v="0"/>
    <x v="2"/>
  </r>
  <r>
    <x v="0"/>
    <x v="0"/>
    <x v="0"/>
    <x v="2"/>
  </r>
  <r>
    <x v="0"/>
    <x v="0"/>
    <x v="0"/>
    <x v="2"/>
  </r>
  <r>
    <x v="0"/>
    <x v="0"/>
    <x v="0"/>
    <x v="2"/>
  </r>
  <r>
    <x v="0"/>
    <x v="0"/>
    <x v="0"/>
    <x v="2"/>
  </r>
  <r>
    <x v="0"/>
    <x v="0"/>
    <x v="0"/>
    <x v="2"/>
  </r>
  <r>
    <x v="0"/>
    <x v="0"/>
    <x v="0"/>
    <x v="2"/>
  </r>
  <r>
    <x v="0"/>
    <x v="0"/>
    <x v="0"/>
    <x v="2"/>
  </r>
  <r>
    <x v="0"/>
    <x v="0"/>
    <x v="0"/>
    <x v="2"/>
  </r>
  <r>
    <x v="0"/>
    <x v="0"/>
    <x v="0"/>
    <x v="2"/>
  </r>
  <r>
    <x v="0"/>
    <x v="0"/>
    <x v="0"/>
    <x v="2"/>
  </r>
  <r>
    <x v="0"/>
    <x v="0"/>
    <x v="0"/>
    <x v="2"/>
  </r>
  <r>
    <x v="0"/>
    <x v="0"/>
    <x v="0"/>
    <x v="2"/>
  </r>
  <r>
    <x v="0"/>
    <x v="0"/>
    <x v="0"/>
    <x v="2"/>
  </r>
  <r>
    <x v="0"/>
    <x v="0"/>
    <x v="0"/>
    <x v="2"/>
  </r>
  <r>
    <x v="0"/>
    <x v="0"/>
    <x v="0"/>
    <x v="2"/>
  </r>
  <r>
    <x v="0"/>
    <x v="0"/>
    <x v="0"/>
    <x v="2"/>
  </r>
  <r>
    <x v="0"/>
    <x v="0"/>
    <x v="0"/>
    <x v="2"/>
  </r>
  <r>
    <x v="0"/>
    <x v="0"/>
    <x v="0"/>
    <x v="2"/>
  </r>
  <r>
    <x v="0"/>
    <x v="0"/>
    <x v="0"/>
    <x v="2"/>
  </r>
  <r>
    <x v="0"/>
    <x v="0"/>
    <x v="0"/>
    <x v="2"/>
  </r>
  <r>
    <x v="0"/>
    <x v="0"/>
    <x v="0"/>
    <x v="2"/>
  </r>
  <r>
    <x v="0"/>
    <x v="0"/>
    <x v="0"/>
    <x v="2"/>
  </r>
  <r>
    <x v="0"/>
    <x v="0"/>
    <x v="0"/>
    <x v="2"/>
  </r>
  <r>
    <x v="1"/>
    <x v="0"/>
    <x v="0"/>
    <x v="2"/>
  </r>
  <r>
    <x v="0"/>
    <x v="0"/>
    <x v="0"/>
    <x v="2"/>
  </r>
  <r>
    <x v="0"/>
    <x v="0"/>
    <x v="0"/>
    <x v="2"/>
  </r>
  <r>
    <x v="0"/>
    <x v="0"/>
    <x v="0"/>
    <x v="2"/>
  </r>
  <r>
    <x v="0"/>
    <x v="0"/>
    <x v="0"/>
    <x v="2"/>
  </r>
  <r>
    <x v="0"/>
    <x v="0"/>
    <x v="0"/>
    <x v="2"/>
  </r>
  <r>
    <x v="0"/>
    <x v="0"/>
    <x v="0"/>
    <x v="2"/>
  </r>
  <r>
    <x v="0"/>
    <x v="0"/>
    <x v="0"/>
    <x v="2"/>
  </r>
  <r>
    <x v="0"/>
    <x v="0"/>
    <x v="0"/>
    <x v="2"/>
  </r>
  <r>
    <x v="0"/>
    <x v="0"/>
    <x v="0"/>
    <x v="2"/>
  </r>
  <r>
    <x v="0"/>
    <x v="0"/>
    <x v="0"/>
    <x v="2"/>
  </r>
  <r>
    <x v="0"/>
    <x v="0"/>
    <x v="0"/>
    <x v="2"/>
  </r>
  <r>
    <x v="0"/>
    <x v="0"/>
    <x v="0"/>
    <x v="2"/>
  </r>
  <r>
    <x v="0"/>
    <x v="0"/>
    <x v="0"/>
    <x v="2"/>
  </r>
  <r>
    <x v="0"/>
    <x v="0"/>
    <x v="0"/>
    <x v="2"/>
  </r>
  <r>
    <x v="0"/>
    <x v="0"/>
    <x v="0"/>
    <x v="2"/>
  </r>
  <r>
    <x v="0"/>
    <x v="0"/>
    <x v="0"/>
    <x v="2"/>
  </r>
  <r>
    <x v="0"/>
    <x v="0"/>
    <x v="0"/>
    <x v="2"/>
  </r>
  <r>
    <x v="0"/>
    <x v="0"/>
    <x v="0"/>
    <x v="2"/>
  </r>
  <r>
    <x v="0"/>
    <x v="0"/>
    <x v="0"/>
    <x v="3"/>
  </r>
  <r>
    <x v="0"/>
    <x v="0"/>
    <x v="0"/>
    <x v="3"/>
  </r>
  <r>
    <x v="0"/>
    <x v="0"/>
    <x v="0"/>
    <x v="3"/>
  </r>
  <r>
    <x v="0"/>
    <x v="0"/>
    <x v="0"/>
    <x v="3"/>
  </r>
  <r>
    <x v="1"/>
    <x v="0"/>
    <x v="0"/>
    <x v="3"/>
  </r>
  <r>
    <x v="0"/>
    <x v="0"/>
    <x v="0"/>
    <x v="3"/>
  </r>
  <r>
    <x v="0"/>
    <x v="0"/>
    <x v="0"/>
    <x v="3"/>
  </r>
  <r>
    <x v="0"/>
    <x v="0"/>
    <x v="0"/>
    <x v="3"/>
  </r>
  <r>
    <x v="0"/>
    <x v="0"/>
    <x v="0"/>
    <x v="3"/>
  </r>
  <r>
    <x v="0"/>
    <x v="0"/>
    <x v="0"/>
    <x v="3"/>
  </r>
  <r>
    <x v="0"/>
    <x v="0"/>
    <x v="0"/>
    <x v="3"/>
  </r>
  <r>
    <x v="0"/>
    <x v="0"/>
    <x v="0"/>
    <x v="3"/>
  </r>
  <r>
    <x v="0"/>
    <x v="0"/>
    <x v="0"/>
    <x v="3"/>
  </r>
  <r>
    <x v="0"/>
    <x v="0"/>
    <x v="0"/>
    <x v="3"/>
  </r>
  <r>
    <x v="0"/>
    <x v="0"/>
    <x v="0"/>
    <x v="3"/>
  </r>
  <r>
    <x v="0"/>
    <x v="0"/>
    <x v="0"/>
    <x v="3"/>
  </r>
  <r>
    <x v="0"/>
    <x v="0"/>
    <x v="0"/>
    <x v="3"/>
  </r>
  <r>
    <x v="0"/>
    <x v="0"/>
    <x v="0"/>
    <x v="3"/>
  </r>
  <r>
    <x v="0"/>
    <x v="0"/>
    <x v="0"/>
    <x v="3"/>
  </r>
  <r>
    <x v="0"/>
    <x v="0"/>
    <x v="0"/>
    <x v="3"/>
  </r>
  <r>
    <x v="0"/>
    <x v="0"/>
    <x v="0"/>
    <x v="3"/>
  </r>
  <r>
    <x v="0"/>
    <x v="0"/>
    <x v="0"/>
    <x v="3"/>
  </r>
  <r>
    <x v="0"/>
    <x v="0"/>
    <x v="0"/>
    <x v="3"/>
  </r>
  <r>
    <x v="0"/>
    <x v="0"/>
    <x v="0"/>
    <x v="3"/>
  </r>
  <r>
    <x v="0"/>
    <x v="0"/>
    <x v="0"/>
    <x v="3"/>
  </r>
  <r>
    <x v="0"/>
    <x v="0"/>
    <x v="0"/>
    <x v="3"/>
  </r>
  <r>
    <x v="0"/>
    <x v="0"/>
    <x v="0"/>
    <x v="3"/>
  </r>
  <r>
    <x v="0"/>
    <x v="0"/>
    <x v="0"/>
    <x v="3"/>
  </r>
  <r>
    <x v="0"/>
    <x v="0"/>
    <x v="0"/>
    <x v="3"/>
  </r>
  <r>
    <x v="0"/>
    <x v="0"/>
    <x v="0"/>
    <x v="3"/>
  </r>
  <r>
    <x v="0"/>
    <x v="0"/>
    <x v="0"/>
    <x v="3"/>
  </r>
  <r>
    <x v="0"/>
    <x v="0"/>
    <x v="0"/>
    <x v="3"/>
  </r>
  <r>
    <x v="0"/>
    <x v="0"/>
    <x v="0"/>
    <x v="3"/>
  </r>
  <r>
    <x v="0"/>
    <x v="0"/>
    <x v="0"/>
    <x v="3"/>
  </r>
  <r>
    <x v="0"/>
    <x v="0"/>
    <x v="0"/>
    <x v="3"/>
  </r>
  <r>
    <x v="0"/>
    <x v="0"/>
    <x v="0"/>
    <x v="3"/>
  </r>
  <r>
    <x v="1"/>
    <x v="0"/>
    <x v="0"/>
    <x v="3"/>
  </r>
  <r>
    <x v="0"/>
    <x v="0"/>
    <x v="0"/>
    <x v="3"/>
  </r>
  <r>
    <x v="0"/>
    <x v="0"/>
    <x v="0"/>
    <x v="3"/>
  </r>
  <r>
    <x v="0"/>
    <x v="0"/>
    <x v="0"/>
    <x v="3"/>
  </r>
  <r>
    <x v="0"/>
    <x v="0"/>
    <x v="0"/>
    <x v="3"/>
  </r>
  <r>
    <x v="0"/>
    <x v="0"/>
    <x v="0"/>
    <x v="3"/>
  </r>
  <r>
    <x v="0"/>
    <x v="0"/>
    <x v="0"/>
    <x v="3"/>
  </r>
  <r>
    <x v="0"/>
    <x v="0"/>
    <x v="0"/>
    <x v="3"/>
  </r>
  <r>
    <x v="0"/>
    <x v="0"/>
    <x v="0"/>
    <x v="3"/>
  </r>
  <r>
    <x v="0"/>
    <x v="0"/>
    <x v="0"/>
    <x v="3"/>
  </r>
  <r>
    <x v="0"/>
    <x v="0"/>
    <x v="0"/>
    <x v="3"/>
  </r>
  <r>
    <x v="0"/>
    <x v="0"/>
    <x v="0"/>
    <x v="3"/>
  </r>
  <r>
    <x v="0"/>
    <x v="0"/>
    <x v="0"/>
    <x v="3"/>
  </r>
  <r>
    <x v="0"/>
    <x v="0"/>
    <x v="0"/>
    <x v="3"/>
  </r>
  <r>
    <x v="0"/>
    <x v="0"/>
    <x v="0"/>
    <x v="3"/>
  </r>
  <r>
    <x v="0"/>
    <x v="0"/>
    <x v="0"/>
    <x v="3"/>
  </r>
  <r>
    <x v="0"/>
    <x v="0"/>
    <x v="0"/>
    <x v="3"/>
  </r>
  <r>
    <x v="0"/>
    <x v="0"/>
    <x v="0"/>
    <x v="3"/>
  </r>
  <r>
    <x v="0"/>
    <x v="0"/>
    <x v="0"/>
    <x v="3"/>
  </r>
  <r>
    <x v="0"/>
    <x v="0"/>
    <x v="0"/>
    <x v="4"/>
  </r>
  <r>
    <x v="0"/>
    <x v="0"/>
    <x v="0"/>
    <x v="4"/>
  </r>
  <r>
    <x v="0"/>
    <x v="0"/>
    <x v="0"/>
    <x v="4"/>
  </r>
  <r>
    <x v="0"/>
    <x v="0"/>
    <x v="0"/>
    <x v="4"/>
  </r>
  <r>
    <x v="1"/>
    <x v="0"/>
    <x v="0"/>
    <x v="4"/>
  </r>
  <r>
    <x v="0"/>
    <x v="0"/>
    <x v="0"/>
    <x v="4"/>
  </r>
  <r>
    <x v="0"/>
    <x v="0"/>
    <x v="0"/>
    <x v="4"/>
  </r>
  <r>
    <x v="0"/>
    <x v="0"/>
    <x v="0"/>
    <x v="4"/>
  </r>
  <r>
    <x v="0"/>
    <x v="0"/>
    <x v="0"/>
    <x v="4"/>
  </r>
  <r>
    <x v="0"/>
    <x v="0"/>
    <x v="0"/>
    <x v="4"/>
  </r>
  <r>
    <x v="0"/>
    <x v="0"/>
    <x v="0"/>
    <x v="4"/>
  </r>
  <r>
    <x v="0"/>
    <x v="0"/>
    <x v="0"/>
    <x v="4"/>
  </r>
  <r>
    <x v="0"/>
    <x v="0"/>
    <x v="0"/>
    <x v="4"/>
  </r>
  <r>
    <x v="0"/>
    <x v="0"/>
    <x v="0"/>
    <x v="4"/>
  </r>
  <r>
    <x v="0"/>
    <x v="0"/>
    <x v="0"/>
    <x v="4"/>
  </r>
  <r>
    <x v="0"/>
    <x v="0"/>
    <x v="0"/>
    <x v="4"/>
  </r>
  <r>
    <x v="0"/>
    <x v="0"/>
    <x v="0"/>
    <x v="4"/>
  </r>
  <r>
    <x v="0"/>
    <x v="0"/>
    <x v="0"/>
    <x v="4"/>
  </r>
  <r>
    <x v="0"/>
    <x v="0"/>
    <x v="0"/>
    <x v="4"/>
  </r>
  <r>
    <x v="0"/>
    <x v="0"/>
    <x v="0"/>
    <x v="4"/>
  </r>
  <r>
    <x v="0"/>
    <x v="0"/>
    <x v="0"/>
    <x v="4"/>
  </r>
  <r>
    <x v="0"/>
    <x v="0"/>
    <x v="0"/>
    <x v="4"/>
  </r>
  <r>
    <x v="0"/>
    <x v="0"/>
    <x v="0"/>
    <x v="4"/>
  </r>
  <r>
    <x v="0"/>
    <x v="0"/>
    <x v="0"/>
    <x v="4"/>
  </r>
  <r>
    <x v="0"/>
    <x v="0"/>
    <x v="0"/>
    <x v="4"/>
  </r>
  <r>
    <x v="0"/>
    <x v="0"/>
    <x v="0"/>
    <x v="4"/>
  </r>
  <r>
    <x v="0"/>
    <x v="0"/>
    <x v="0"/>
    <x v="4"/>
  </r>
  <r>
    <x v="0"/>
    <x v="0"/>
    <x v="0"/>
    <x v="4"/>
  </r>
  <r>
    <x v="0"/>
    <x v="0"/>
    <x v="0"/>
    <x v="4"/>
  </r>
  <r>
    <x v="0"/>
    <x v="0"/>
    <x v="0"/>
    <x v="4"/>
  </r>
  <r>
    <x v="0"/>
    <x v="0"/>
    <x v="0"/>
    <x v="4"/>
  </r>
  <r>
    <x v="0"/>
    <x v="0"/>
    <x v="0"/>
    <x v="4"/>
  </r>
  <r>
    <x v="0"/>
    <x v="0"/>
    <x v="0"/>
    <x v="4"/>
  </r>
  <r>
    <x v="0"/>
    <x v="0"/>
    <x v="0"/>
    <x v="4"/>
  </r>
  <r>
    <x v="0"/>
    <x v="0"/>
    <x v="0"/>
    <x v="4"/>
  </r>
  <r>
    <x v="0"/>
    <x v="0"/>
    <x v="0"/>
    <x v="4"/>
  </r>
  <r>
    <x v="1"/>
    <x v="0"/>
    <x v="0"/>
    <x v="4"/>
  </r>
  <r>
    <x v="0"/>
    <x v="0"/>
    <x v="0"/>
    <x v="4"/>
  </r>
  <r>
    <x v="0"/>
    <x v="0"/>
    <x v="0"/>
    <x v="4"/>
  </r>
  <r>
    <x v="0"/>
    <x v="0"/>
    <x v="0"/>
    <x v="4"/>
  </r>
  <r>
    <x v="0"/>
    <x v="0"/>
    <x v="0"/>
    <x v="4"/>
  </r>
  <r>
    <x v="0"/>
    <x v="0"/>
    <x v="0"/>
    <x v="4"/>
  </r>
  <r>
    <x v="0"/>
    <x v="0"/>
    <x v="0"/>
    <x v="4"/>
  </r>
  <r>
    <x v="0"/>
    <x v="0"/>
    <x v="0"/>
    <x v="4"/>
  </r>
  <r>
    <x v="0"/>
    <x v="0"/>
    <x v="0"/>
    <x v="4"/>
  </r>
  <r>
    <x v="0"/>
    <x v="0"/>
    <x v="0"/>
    <x v="4"/>
  </r>
  <r>
    <x v="0"/>
    <x v="0"/>
    <x v="0"/>
    <x v="4"/>
  </r>
  <r>
    <x v="0"/>
    <x v="0"/>
    <x v="0"/>
    <x v="4"/>
  </r>
  <r>
    <x v="0"/>
    <x v="0"/>
    <x v="0"/>
    <x v="4"/>
  </r>
  <r>
    <x v="0"/>
    <x v="0"/>
    <x v="0"/>
    <x v="4"/>
  </r>
  <r>
    <x v="0"/>
    <x v="0"/>
    <x v="0"/>
    <x v="4"/>
  </r>
  <r>
    <x v="0"/>
    <x v="0"/>
    <x v="0"/>
    <x v="4"/>
  </r>
  <r>
    <x v="0"/>
    <x v="0"/>
    <x v="0"/>
    <x v="4"/>
  </r>
  <r>
    <x v="0"/>
    <x v="0"/>
    <x v="0"/>
    <x v="4"/>
  </r>
  <r>
    <x v="0"/>
    <x v="0"/>
    <x v="0"/>
    <x v="4"/>
  </r>
  <r>
    <x v="0"/>
    <x v="0"/>
    <x v="0"/>
    <x v="5"/>
  </r>
  <r>
    <x v="0"/>
    <x v="0"/>
    <x v="0"/>
    <x v="5"/>
  </r>
  <r>
    <x v="0"/>
    <x v="0"/>
    <x v="0"/>
    <x v="5"/>
  </r>
  <r>
    <x v="0"/>
    <x v="0"/>
    <x v="0"/>
    <x v="5"/>
  </r>
  <r>
    <x v="1"/>
    <x v="0"/>
    <x v="0"/>
    <x v="5"/>
  </r>
  <r>
    <x v="0"/>
    <x v="0"/>
    <x v="0"/>
    <x v="5"/>
  </r>
  <r>
    <x v="0"/>
    <x v="0"/>
    <x v="0"/>
    <x v="5"/>
  </r>
  <r>
    <x v="0"/>
    <x v="0"/>
    <x v="0"/>
    <x v="5"/>
  </r>
  <r>
    <x v="0"/>
    <x v="0"/>
    <x v="0"/>
    <x v="5"/>
  </r>
  <r>
    <x v="0"/>
    <x v="0"/>
    <x v="0"/>
    <x v="5"/>
  </r>
  <r>
    <x v="0"/>
    <x v="0"/>
    <x v="0"/>
    <x v="5"/>
  </r>
  <r>
    <x v="0"/>
    <x v="0"/>
    <x v="0"/>
    <x v="5"/>
  </r>
  <r>
    <x v="0"/>
    <x v="0"/>
    <x v="0"/>
    <x v="5"/>
  </r>
  <r>
    <x v="0"/>
    <x v="0"/>
    <x v="0"/>
    <x v="5"/>
  </r>
  <r>
    <x v="0"/>
    <x v="0"/>
    <x v="0"/>
    <x v="5"/>
  </r>
  <r>
    <x v="0"/>
    <x v="0"/>
    <x v="0"/>
    <x v="5"/>
  </r>
  <r>
    <x v="0"/>
    <x v="0"/>
    <x v="0"/>
    <x v="5"/>
  </r>
  <r>
    <x v="0"/>
    <x v="0"/>
    <x v="0"/>
    <x v="5"/>
  </r>
  <r>
    <x v="0"/>
    <x v="0"/>
    <x v="0"/>
    <x v="5"/>
  </r>
  <r>
    <x v="0"/>
    <x v="0"/>
    <x v="0"/>
    <x v="5"/>
  </r>
  <r>
    <x v="0"/>
    <x v="0"/>
    <x v="0"/>
    <x v="5"/>
  </r>
  <r>
    <x v="0"/>
    <x v="0"/>
    <x v="0"/>
    <x v="5"/>
  </r>
  <r>
    <x v="0"/>
    <x v="0"/>
    <x v="0"/>
    <x v="5"/>
  </r>
  <r>
    <x v="0"/>
    <x v="0"/>
    <x v="0"/>
    <x v="5"/>
  </r>
  <r>
    <x v="0"/>
    <x v="0"/>
    <x v="0"/>
    <x v="5"/>
  </r>
  <r>
    <x v="0"/>
    <x v="0"/>
    <x v="0"/>
    <x v="5"/>
  </r>
  <r>
    <x v="0"/>
    <x v="0"/>
    <x v="0"/>
    <x v="5"/>
  </r>
  <r>
    <x v="0"/>
    <x v="0"/>
    <x v="0"/>
    <x v="5"/>
  </r>
  <r>
    <x v="0"/>
    <x v="0"/>
    <x v="0"/>
    <x v="5"/>
  </r>
  <r>
    <x v="0"/>
    <x v="0"/>
    <x v="0"/>
    <x v="5"/>
  </r>
  <r>
    <x v="0"/>
    <x v="0"/>
    <x v="0"/>
    <x v="5"/>
  </r>
  <r>
    <x v="0"/>
    <x v="0"/>
    <x v="0"/>
    <x v="5"/>
  </r>
  <r>
    <x v="0"/>
    <x v="0"/>
    <x v="0"/>
    <x v="5"/>
  </r>
  <r>
    <x v="0"/>
    <x v="0"/>
    <x v="0"/>
    <x v="5"/>
  </r>
  <r>
    <x v="0"/>
    <x v="0"/>
    <x v="0"/>
    <x v="5"/>
  </r>
  <r>
    <x v="0"/>
    <x v="0"/>
    <x v="0"/>
    <x v="5"/>
  </r>
  <r>
    <x v="1"/>
    <x v="0"/>
    <x v="0"/>
    <x v="5"/>
  </r>
  <r>
    <x v="0"/>
    <x v="0"/>
    <x v="0"/>
    <x v="5"/>
  </r>
  <r>
    <x v="0"/>
    <x v="0"/>
    <x v="0"/>
    <x v="5"/>
  </r>
  <r>
    <x v="0"/>
    <x v="0"/>
    <x v="0"/>
    <x v="5"/>
  </r>
  <r>
    <x v="0"/>
    <x v="0"/>
    <x v="0"/>
    <x v="5"/>
  </r>
  <r>
    <x v="0"/>
    <x v="0"/>
    <x v="0"/>
    <x v="5"/>
  </r>
  <r>
    <x v="0"/>
    <x v="0"/>
    <x v="0"/>
    <x v="5"/>
  </r>
  <r>
    <x v="0"/>
    <x v="0"/>
    <x v="0"/>
    <x v="5"/>
  </r>
  <r>
    <x v="0"/>
    <x v="0"/>
    <x v="0"/>
    <x v="5"/>
  </r>
  <r>
    <x v="0"/>
    <x v="0"/>
    <x v="0"/>
    <x v="5"/>
  </r>
  <r>
    <x v="0"/>
    <x v="0"/>
    <x v="0"/>
    <x v="5"/>
  </r>
  <r>
    <x v="0"/>
    <x v="0"/>
    <x v="0"/>
    <x v="5"/>
  </r>
  <r>
    <x v="0"/>
    <x v="0"/>
    <x v="0"/>
    <x v="5"/>
  </r>
  <r>
    <x v="0"/>
    <x v="0"/>
    <x v="0"/>
    <x v="5"/>
  </r>
  <r>
    <x v="0"/>
    <x v="0"/>
    <x v="0"/>
    <x v="5"/>
  </r>
  <r>
    <x v="0"/>
    <x v="0"/>
    <x v="0"/>
    <x v="5"/>
  </r>
  <r>
    <x v="0"/>
    <x v="0"/>
    <x v="0"/>
    <x v="5"/>
  </r>
  <r>
    <x v="0"/>
    <x v="0"/>
    <x v="0"/>
    <x v="5"/>
  </r>
  <r>
    <x v="0"/>
    <x v="0"/>
    <x v="0"/>
    <x v="5"/>
  </r>
  <r>
    <x v="0"/>
    <x v="0"/>
    <x v="0"/>
    <x v="6"/>
  </r>
  <r>
    <x v="0"/>
    <x v="0"/>
    <x v="0"/>
    <x v="6"/>
  </r>
  <r>
    <x v="0"/>
    <x v="0"/>
    <x v="0"/>
    <x v="6"/>
  </r>
  <r>
    <x v="0"/>
    <x v="0"/>
    <x v="0"/>
    <x v="6"/>
  </r>
  <r>
    <x v="1"/>
    <x v="0"/>
    <x v="0"/>
    <x v="6"/>
  </r>
  <r>
    <x v="0"/>
    <x v="0"/>
    <x v="0"/>
    <x v="6"/>
  </r>
  <r>
    <x v="0"/>
    <x v="0"/>
    <x v="0"/>
    <x v="6"/>
  </r>
  <r>
    <x v="0"/>
    <x v="0"/>
    <x v="0"/>
    <x v="6"/>
  </r>
  <r>
    <x v="0"/>
    <x v="0"/>
    <x v="0"/>
    <x v="6"/>
  </r>
  <r>
    <x v="0"/>
    <x v="0"/>
    <x v="0"/>
    <x v="6"/>
  </r>
  <r>
    <x v="0"/>
    <x v="0"/>
    <x v="0"/>
    <x v="6"/>
  </r>
  <r>
    <x v="0"/>
    <x v="0"/>
    <x v="0"/>
    <x v="6"/>
  </r>
  <r>
    <x v="0"/>
    <x v="0"/>
    <x v="0"/>
    <x v="6"/>
  </r>
  <r>
    <x v="0"/>
    <x v="0"/>
    <x v="0"/>
    <x v="6"/>
  </r>
  <r>
    <x v="0"/>
    <x v="0"/>
    <x v="0"/>
    <x v="6"/>
  </r>
  <r>
    <x v="0"/>
    <x v="0"/>
    <x v="0"/>
    <x v="6"/>
  </r>
  <r>
    <x v="0"/>
    <x v="0"/>
    <x v="0"/>
    <x v="6"/>
  </r>
  <r>
    <x v="0"/>
    <x v="0"/>
    <x v="0"/>
    <x v="6"/>
  </r>
  <r>
    <x v="0"/>
    <x v="0"/>
    <x v="0"/>
    <x v="6"/>
  </r>
  <r>
    <x v="0"/>
    <x v="0"/>
    <x v="0"/>
    <x v="6"/>
  </r>
  <r>
    <x v="0"/>
    <x v="0"/>
    <x v="0"/>
    <x v="6"/>
  </r>
  <r>
    <x v="0"/>
    <x v="0"/>
    <x v="0"/>
    <x v="6"/>
  </r>
  <r>
    <x v="0"/>
    <x v="0"/>
    <x v="0"/>
    <x v="6"/>
  </r>
  <r>
    <x v="0"/>
    <x v="0"/>
    <x v="0"/>
    <x v="6"/>
  </r>
  <r>
    <x v="0"/>
    <x v="0"/>
    <x v="0"/>
    <x v="6"/>
  </r>
  <r>
    <x v="0"/>
    <x v="0"/>
    <x v="0"/>
    <x v="6"/>
  </r>
  <r>
    <x v="0"/>
    <x v="0"/>
    <x v="0"/>
    <x v="6"/>
  </r>
  <r>
    <x v="0"/>
    <x v="0"/>
    <x v="0"/>
    <x v="6"/>
  </r>
  <r>
    <x v="0"/>
    <x v="0"/>
    <x v="0"/>
    <x v="6"/>
  </r>
  <r>
    <x v="0"/>
    <x v="0"/>
    <x v="0"/>
    <x v="6"/>
  </r>
  <r>
    <x v="0"/>
    <x v="0"/>
    <x v="0"/>
    <x v="6"/>
  </r>
  <r>
    <x v="0"/>
    <x v="0"/>
    <x v="0"/>
    <x v="6"/>
  </r>
  <r>
    <x v="0"/>
    <x v="0"/>
    <x v="0"/>
    <x v="6"/>
  </r>
  <r>
    <x v="0"/>
    <x v="0"/>
    <x v="0"/>
    <x v="6"/>
  </r>
  <r>
    <x v="0"/>
    <x v="0"/>
    <x v="0"/>
    <x v="6"/>
  </r>
  <r>
    <x v="0"/>
    <x v="0"/>
    <x v="0"/>
    <x v="6"/>
  </r>
  <r>
    <x v="1"/>
    <x v="0"/>
    <x v="0"/>
    <x v="6"/>
  </r>
  <r>
    <x v="0"/>
    <x v="0"/>
    <x v="0"/>
    <x v="6"/>
  </r>
  <r>
    <x v="0"/>
    <x v="0"/>
    <x v="0"/>
    <x v="6"/>
  </r>
  <r>
    <x v="0"/>
    <x v="0"/>
    <x v="0"/>
    <x v="6"/>
  </r>
  <r>
    <x v="0"/>
    <x v="0"/>
    <x v="0"/>
    <x v="6"/>
  </r>
  <r>
    <x v="0"/>
    <x v="0"/>
    <x v="0"/>
    <x v="6"/>
  </r>
  <r>
    <x v="0"/>
    <x v="0"/>
    <x v="0"/>
    <x v="6"/>
  </r>
  <r>
    <x v="0"/>
    <x v="0"/>
    <x v="0"/>
    <x v="6"/>
  </r>
  <r>
    <x v="0"/>
    <x v="0"/>
    <x v="0"/>
    <x v="6"/>
  </r>
  <r>
    <x v="0"/>
    <x v="0"/>
    <x v="0"/>
    <x v="6"/>
  </r>
  <r>
    <x v="0"/>
    <x v="0"/>
    <x v="0"/>
    <x v="6"/>
  </r>
  <r>
    <x v="0"/>
    <x v="0"/>
    <x v="0"/>
    <x v="6"/>
  </r>
  <r>
    <x v="0"/>
    <x v="0"/>
    <x v="0"/>
    <x v="6"/>
  </r>
  <r>
    <x v="0"/>
    <x v="0"/>
    <x v="0"/>
    <x v="6"/>
  </r>
  <r>
    <x v="0"/>
    <x v="0"/>
    <x v="0"/>
    <x v="6"/>
  </r>
  <r>
    <x v="0"/>
    <x v="0"/>
    <x v="0"/>
    <x v="6"/>
  </r>
  <r>
    <x v="0"/>
    <x v="0"/>
    <x v="0"/>
    <x v="6"/>
  </r>
  <r>
    <x v="0"/>
    <x v="0"/>
    <x v="0"/>
    <x v="6"/>
  </r>
  <r>
    <x v="0"/>
    <x v="0"/>
    <x v="0"/>
    <x v="6"/>
  </r>
  <r>
    <x v="0"/>
    <x v="0"/>
    <x v="0"/>
    <x v="7"/>
  </r>
  <r>
    <x v="0"/>
    <x v="0"/>
    <x v="0"/>
    <x v="7"/>
  </r>
  <r>
    <x v="0"/>
    <x v="0"/>
    <x v="0"/>
    <x v="7"/>
  </r>
  <r>
    <x v="0"/>
    <x v="0"/>
    <x v="0"/>
    <x v="7"/>
  </r>
  <r>
    <x v="1"/>
    <x v="0"/>
    <x v="0"/>
    <x v="7"/>
  </r>
  <r>
    <x v="0"/>
    <x v="0"/>
    <x v="0"/>
    <x v="7"/>
  </r>
  <r>
    <x v="0"/>
    <x v="0"/>
    <x v="0"/>
    <x v="7"/>
  </r>
  <r>
    <x v="0"/>
    <x v="0"/>
    <x v="0"/>
    <x v="7"/>
  </r>
  <r>
    <x v="0"/>
    <x v="0"/>
    <x v="0"/>
    <x v="7"/>
  </r>
  <r>
    <x v="0"/>
    <x v="0"/>
    <x v="0"/>
    <x v="7"/>
  </r>
  <r>
    <x v="0"/>
    <x v="0"/>
    <x v="0"/>
    <x v="7"/>
  </r>
  <r>
    <x v="0"/>
    <x v="0"/>
    <x v="0"/>
    <x v="7"/>
  </r>
  <r>
    <x v="0"/>
    <x v="0"/>
    <x v="0"/>
    <x v="7"/>
  </r>
  <r>
    <x v="0"/>
    <x v="0"/>
    <x v="0"/>
    <x v="7"/>
  </r>
  <r>
    <x v="0"/>
    <x v="0"/>
    <x v="0"/>
    <x v="7"/>
  </r>
  <r>
    <x v="0"/>
    <x v="0"/>
    <x v="0"/>
    <x v="7"/>
  </r>
  <r>
    <x v="0"/>
    <x v="0"/>
    <x v="0"/>
    <x v="7"/>
  </r>
  <r>
    <x v="0"/>
    <x v="0"/>
    <x v="0"/>
    <x v="7"/>
  </r>
  <r>
    <x v="0"/>
    <x v="0"/>
    <x v="0"/>
    <x v="7"/>
  </r>
  <r>
    <x v="0"/>
    <x v="0"/>
    <x v="0"/>
    <x v="7"/>
  </r>
  <r>
    <x v="0"/>
    <x v="0"/>
    <x v="0"/>
    <x v="7"/>
  </r>
  <r>
    <x v="0"/>
    <x v="0"/>
    <x v="0"/>
    <x v="7"/>
  </r>
  <r>
    <x v="0"/>
    <x v="0"/>
    <x v="0"/>
    <x v="7"/>
  </r>
  <r>
    <x v="0"/>
    <x v="0"/>
    <x v="0"/>
    <x v="7"/>
  </r>
  <r>
    <x v="0"/>
    <x v="0"/>
    <x v="0"/>
    <x v="7"/>
  </r>
  <r>
    <x v="0"/>
    <x v="0"/>
    <x v="0"/>
    <x v="7"/>
  </r>
  <r>
    <x v="0"/>
    <x v="0"/>
    <x v="0"/>
    <x v="7"/>
  </r>
  <r>
    <x v="0"/>
    <x v="0"/>
    <x v="0"/>
    <x v="7"/>
  </r>
  <r>
    <x v="0"/>
    <x v="0"/>
    <x v="0"/>
    <x v="7"/>
  </r>
  <r>
    <x v="0"/>
    <x v="0"/>
    <x v="0"/>
    <x v="7"/>
  </r>
  <r>
    <x v="0"/>
    <x v="0"/>
    <x v="0"/>
    <x v="7"/>
  </r>
  <r>
    <x v="0"/>
    <x v="0"/>
    <x v="0"/>
    <x v="7"/>
  </r>
  <r>
    <x v="0"/>
    <x v="0"/>
    <x v="0"/>
    <x v="7"/>
  </r>
  <r>
    <x v="0"/>
    <x v="0"/>
    <x v="0"/>
    <x v="7"/>
  </r>
  <r>
    <x v="0"/>
    <x v="0"/>
    <x v="0"/>
    <x v="7"/>
  </r>
  <r>
    <x v="0"/>
    <x v="0"/>
    <x v="0"/>
    <x v="7"/>
  </r>
  <r>
    <x v="1"/>
    <x v="0"/>
    <x v="0"/>
    <x v="7"/>
  </r>
  <r>
    <x v="0"/>
    <x v="0"/>
    <x v="0"/>
    <x v="7"/>
  </r>
  <r>
    <x v="0"/>
    <x v="0"/>
    <x v="0"/>
    <x v="7"/>
  </r>
  <r>
    <x v="0"/>
    <x v="0"/>
    <x v="0"/>
    <x v="7"/>
  </r>
  <r>
    <x v="0"/>
    <x v="0"/>
    <x v="0"/>
    <x v="7"/>
  </r>
  <r>
    <x v="0"/>
    <x v="0"/>
    <x v="0"/>
    <x v="7"/>
  </r>
  <r>
    <x v="0"/>
    <x v="0"/>
    <x v="0"/>
    <x v="7"/>
  </r>
  <r>
    <x v="0"/>
    <x v="0"/>
    <x v="0"/>
    <x v="7"/>
  </r>
  <r>
    <x v="0"/>
    <x v="0"/>
    <x v="0"/>
    <x v="7"/>
  </r>
  <r>
    <x v="0"/>
    <x v="0"/>
    <x v="0"/>
    <x v="7"/>
  </r>
  <r>
    <x v="0"/>
    <x v="0"/>
    <x v="0"/>
    <x v="7"/>
  </r>
  <r>
    <x v="0"/>
    <x v="0"/>
    <x v="0"/>
    <x v="7"/>
  </r>
  <r>
    <x v="0"/>
    <x v="0"/>
    <x v="0"/>
    <x v="7"/>
  </r>
  <r>
    <x v="0"/>
    <x v="0"/>
    <x v="0"/>
    <x v="7"/>
  </r>
  <r>
    <x v="0"/>
    <x v="0"/>
    <x v="0"/>
    <x v="7"/>
  </r>
  <r>
    <x v="0"/>
    <x v="0"/>
    <x v="0"/>
    <x v="7"/>
  </r>
  <r>
    <x v="0"/>
    <x v="0"/>
    <x v="0"/>
    <x v="7"/>
  </r>
  <r>
    <x v="0"/>
    <x v="0"/>
    <x v="0"/>
    <x v="7"/>
  </r>
  <r>
    <x v="0"/>
    <x v="0"/>
    <x v="0"/>
    <x v="7"/>
  </r>
  <r>
    <x v="0"/>
    <x v="0"/>
    <x v="0"/>
    <x v="8"/>
  </r>
  <r>
    <x v="0"/>
    <x v="0"/>
    <x v="0"/>
    <x v="8"/>
  </r>
  <r>
    <x v="0"/>
    <x v="0"/>
    <x v="0"/>
    <x v="8"/>
  </r>
  <r>
    <x v="0"/>
    <x v="0"/>
    <x v="0"/>
    <x v="8"/>
  </r>
  <r>
    <x v="1"/>
    <x v="0"/>
    <x v="0"/>
    <x v="8"/>
  </r>
  <r>
    <x v="0"/>
    <x v="0"/>
    <x v="0"/>
    <x v="8"/>
  </r>
  <r>
    <x v="0"/>
    <x v="0"/>
    <x v="0"/>
    <x v="8"/>
  </r>
  <r>
    <x v="0"/>
    <x v="0"/>
    <x v="0"/>
    <x v="8"/>
  </r>
  <r>
    <x v="0"/>
    <x v="0"/>
    <x v="0"/>
    <x v="8"/>
  </r>
  <r>
    <x v="0"/>
    <x v="0"/>
    <x v="0"/>
    <x v="8"/>
  </r>
  <r>
    <x v="0"/>
    <x v="0"/>
    <x v="0"/>
    <x v="8"/>
  </r>
  <r>
    <x v="0"/>
    <x v="0"/>
    <x v="0"/>
    <x v="8"/>
  </r>
  <r>
    <x v="0"/>
    <x v="0"/>
    <x v="0"/>
    <x v="8"/>
  </r>
  <r>
    <x v="0"/>
    <x v="0"/>
    <x v="0"/>
    <x v="8"/>
  </r>
  <r>
    <x v="0"/>
    <x v="0"/>
    <x v="0"/>
    <x v="8"/>
  </r>
  <r>
    <x v="0"/>
    <x v="0"/>
    <x v="0"/>
    <x v="8"/>
  </r>
  <r>
    <x v="0"/>
    <x v="0"/>
    <x v="0"/>
    <x v="8"/>
  </r>
  <r>
    <x v="0"/>
    <x v="0"/>
    <x v="0"/>
    <x v="8"/>
  </r>
  <r>
    <x v="0"/>
    <x v="0"/>
    <x v="0"/>
    <x v="8"/>
  </r>
  <r>
    <x v="0"/>
    <x v="0"/>
    <x v="0"/>
    <x v="8"/>
  </r>
  <r>
    <x v="0"/>
    <x v="0"/>
    <x v="0"/>
    <x v="8"/>
  </r>
  <r>
    <x v="0"/>
    <x v="0"/>
    <x v="0"/>
    <x v="8"/>
  </r>
  <r>
    <x v="0"/>
    <x v="0"/>
    <x v="0"/>
    <x v="8"/>
  </r>
  <r>
    <x v="0"/>
    <x v="0"/>
    <x v="0"/>
    <x v="8"/>
  </r>
  <r>
    <x v="0"/>
    <x v="0"/>
    <x v="0"/>
    <x v="8"/>
  </r>
  <r>
    <x v="0"/>
    <x v="0"/>
    <x v="0"/>
    <x v="8"/>
  </r>
  <r>
    <x v="0"/>
    <x v="0"/>
    <x v="0"/>
    <x v="8"/>
  </r>
  <r>
    <x v="0"/>
    <x v="0"/>
    <x v="0"/>
    <x v="8"/>
  </r>
  <r>
    <x v="0"/>
    <x v="0"/>
    <x v="0"/>
    <x v="8"/>
  </r>
  <r>
    <x v="0"/>
    <x v="0"/>
    <x v="0"/>
    <x v="8"/>
  </r>
  <r>
    <x v="0"/>
    <x v="0"/>
    <x v="0"/>
    <x v="8"/>
  </r>
  <r>
    <x v="0"/>
    <x v="0"/>
    <x v="0"/>
    <x v="8"/>
  </r>
  <r>
    <x v="0"/>
    <x v="0"/>
    <x v="0"/>
    <x v="8"/>
  </r>
  <r>
    <x v="0"/>
    <x v="0"/>
    <x v="0"/>
    <x v="8"/>
  </r>
  <r>
    <x v="0"/>
    <x v="0"/>
    <x v="0"/>
    <x v="8"/>
  </r>
  <r>
    <x v="0"/>
    <x v="0"/>
    <x v="0"/>
    <x v="8"/>
  </r>
  <r>
    <x v="1"/>
    <x v="0"/>
    <x v="0"/>
    <x v="8"/>
  </r>
  <r>
    <x v="0"/>
    <x v="0"/>
    <x v="0"/>
    <x v="8"/>
  </r>
  <r>
    <x v="0"/>
    <x v="0"/>
    <x v="0"/>
    <x v="8"/>
  </r>
  <r>
    <x v="0"/>
    <x v="0"/>
    <x v="0"/>
    <x v="8"/>
  </r>
  <r>
    <x v="0"/>
    <x v="0"/>
    <x v="0"/>
    <x v="8"/>
  </r>
  <r>
    <x v="0"/>
    <x v="0"/>
    <x v="0"/>
    <x v="8"/>
  </r>
  <r>
    <x v="0"/>
    <x v="0"/>
    <x v="0"/>
    <x v="8"/>
  </r>
  <r>
    <x v="0"/>
    <x v="0"/>
    <x v="0"/>
    <x v="8"/>
  </r>
  <r>
    <x v="0"/>
    <x v="0"/>
    <x v="0"/>
    <x v="8"/>
  </r>
  <r>
    <x v="0"/>
    <x v="0"/>
    <x v="0"/>
    <x v="8"/>
  </r>
  <r>
    <x v="0"/>
    <x v="0"/>
    <x v="0"/>
    <x v="8"/>
  </r>
  <r>
    <x v="0"/>
    <x v="0"/>
    <x v="0"/>
    <x v="8"/>
  </r>
  <r>
    <x v="0"/>
    <x v="0"/>
    <x v="0"/>
    <x v="8"/>
  </r>
  <r>
    <x v="0"/>
    <x v="0"/>
    <x v="0"/>
    <x v="8"/>
  </r>
  <r>
    <x v="0"/>
    <x v="0"/>
    <x v="0"/>
    <x v="8"/>
  </r>
  <r>
    <x v="0"/>
    <x v="0"/>
    <x v="0"/>
    <x v="8"/>
  </r>
  <r>
    <x v="0"/>
    <x v="0"/>
    <x v="0"/>
    <x v="8"/>
  </r>
  <r>
    <x v="0"/>
    <x v="0"/>
    <x v="0"/>
    <x v="8"/>
  </r>
  <r>
    <x v="0"/>
    <x v="0"/>
    <x v="0"/>
    <x v="8"/>
  </r>
  <r>
    <x v="0"/>
    <x v="0"/>
    <x v="0"/>
    <x v="9"/>
  </r>
  <r>
    <x v="0"/>
    <x v="0"/>
    <x v="0"/>
    <x v="9"/>
  </r>
  <r>
    <x v="0"/>
    <x v="0"/>
    <x v="0"/>
    <x v="9"/>
  </r>
  <r>
    <x v="0"/>
    <x v="0"/>
    <x v="0"/>
    <x v="9"/>
  </r>
  <r>
    <x v="1"/>
    <x v="0"/>
    <x v="0"/>
    <x v="9"/>
  </r>
  <r>
    <x v="0"/>
    <x v="0"/>
    <x v="0"/>
    <x v="9"/>
  </r>
  <r>
    <x v="0"/>
    <x v="0"/>
    <x v="0"/>
    <x v="9"/>
  </r>
  <r>
    <x v="0"/>
    <x v="0"/>
    <x v="0"/>
    <x v="9"/>
  </r>
  <r>
    <x v="0"/>
    <x v="0"/>
    <x v="0"/>
    <x v="9"/>
  </r>
  <r>
    <x v="0"/>
    <x v="0"/>
    <x v="0"/>
    <x v="9"/>
  </r>
  <r>
    <x v="0"/>
    <x v="0"/>
    <x v="0"/>
    <x v="9"/>
  </r>
  <r>
    <x v="0"/>
    <x v="0"/>
    <x v="0"/>
    <x v="9"/>
  </r>
  <r>
    <x v="0"/>
    <x v="0"/>
    <x v="0"/>
    <x v="9"/>
  </r>
  <r>
    <x v="0"/>
    <x v="0"/>
    <x v="0"/>
    <x v="9"/>
  </r>
  <r>
    <x v="0"/>
    <x v="0"/>
    <x v="0"/>
    <x v="9"/>
  </r>
  <r>
    <x v="0"/>
    <x v="0"/>
    <x v="0"/>
    <x v="9"/>
  </r>
  <r>
    <x v="0"/>
    <x v="0"/>
    <x v="0"/>
    <x v="9"/>
  </r>
  <r>
    <x v="0"/>
    <x v="0"/>
    <x v="0"/>
    <x v="9"/>
  </r>
  <r>
    <x v="0"/>
    <x v="0"/>
    <x v="0"/>
    <x v="9"/>
  </r>
  <r>
    <x v="0"/>
    <x v="0"/>
    <x v="0"/>
    <x v="9"/>
  </r>
  <r>
    <x v="0"/>
    <x v="0"/>
    <x v="0"/>
    <x v="9"/>
  </r>
  <r>
    <x v="0"/>
    <x v="0"/>
    <x v="0"/>
    <x v="9"/>
  </r>
  <r>
    <x v="0"/>
    <x v="0"/>
    <x v="0"/>
    <x v="9"/>
  </r>
  <r>
    <x v="0"/>
    <x v="0"/>
    <x v="0"/>
    <x v="9"/>
  </r>
  <r>
    <x v="0"/>
    <x v="0"/>
    <x v="0"/>
    <x v="9"/>
  </r>
  <r>
    <x v="0"/>
    <x v="0"/>
    <x v="0"/>
    <x v="9"/>
  </r>
  <r>
    <x v="0"/>
    <x v="0"/>
    <x v="0"/>
    <x v="9"/>
  </r>
  <r>
    <x v="0"/>
    <x v="0"/>
    <x v="0"/>
    <x v="9"/>
  </r>
  <r>
    <x v="0"/>
    <x v="0"/>
    <x v="0"/>
    <x v="9"/>
  </r>
  <r>
    <x v="0"/>
    <x v="0"/>
    <x v="0"/>
    <x v="9"/>
  </r>
  <r>
    <x v="0"/>
    <x v="0"/>
    <x v="0"/>
    <x v="9"/>
  </r>
  <r>
    <x v="0"/>
    <x v="0"/>
    <x v="0"/>
    <x v="9"/>
  </r>
  <r>
    <x v="0"/>
    <x v="0"/>
    <x v="0"/>
    <x v="9"/>
  </r>
  <r>
    <x v="0"/>
    <x v="0"/>
    <x v="0"/>
    <x v="9"/>
  </r>
  <r>
    <x v="0"/>
    <x v="0"/>
    <x v="0"/>
    <x v="9"/>
  </r>
  <r>
    <x v="0"/>
    <x v="0"/>
    <x v="0"/>
    <x v="9"/>
  </r>
  <r>
    <x v="1"/>
    <x v="0"/>
    <x v="0"/>
    <x v="9"/>
  </r>
  <r>
    <x v="0"/>
    <x v="0"/>
    <x v="0"/>
    <x v="9"/>
  </r>
  <r>
    <x v="0"/>
    <x v="0"/>
    <x v="0"/>
    <x v="9"/>
  </r>
  <r>
    <x v="0"/>
    <x v="0"/>
    <x v="0"/>
    <x v="9"/>
  </r>
  <r>
    <x v="0"/>
    <x v="0"/>
    <x v="0"/>
    <x v="9"/>
  </r>
  <r>
    <x v="0"/>
    <x v="0"/>
    <x v="0"/>
    <x v="9"/>
  </r>
  <r>
    <x v="0"/>
    <x v="0"/>
    <x v="0"/>
    <x v="9"/>
  </r>
  <r>
    <x v="0"/>
    <x v="0"/>
    <x v="0"/>
    <x v="9"/>
  </r>
  <r>
    <x v="0"/>
    <x v="0"/>
    <x v="0"/>
    <x v="9"/>
  </r>
  <r>
    <x v="0"/>
    <x v="0"/>
    <x v="0"/>
    <x v="9"/>
  </r>
  <r>
    <x v="0"/>
    <x v="0"/>
    <x v="0"/>
    <x v="9"/>
  </r>
  <r>
    <x v="0"/>
    <x v="0"/>
    <x v="0"/>
    <x v="9"/>
  </r>
  <r>
    <x v="0"/>
    <x v="0"/>
    <x v="0"/>
    <x v="9"/>
  </r>
  <r>
    <x v="0"/>
    <x v="0"/>
    <x v="0"/>
    <x v="9"/>
  </r>
  <r>
    <x v="0"/>
    <x v="0"/>
    <x v="0"/>
    <x v="9"/>
  </r>
  <r>
    <x v="0"/>
    <x v="0"/>
    <x v="0"/>
    <x v="9"/>
  </r>
  <r>
    <x v="0"/>
    <x v="0"/>
    <x v="0"/>
    <x v="9"/>
  </r>
  <r>
    <x v="0"/>
    <x v="0"/>
    <x v="0"/>
    <x v="9"/>
  </r>
  <r>
    <x v="0"/>
    <x v="0"/>
    <x v="0"/>
    <x v="9"/>
  </r>
  <r>
    <x v="0"/>
    <x v="0"/>
    <x v="0"/>
    <x v="10"/>
  </r>
  <r>
    <x v="0"/>
    <x v="0"/>
    <x v="0"/>
    <x v="10"/>
  </r>
  <r>
    <x v="0"/>
    <x v="0"/>
    <x v="0"/>
    <x v="10"/>
  </r>
  <r>
    <x v="0"/>
    <x v="0"/>
    <x v="0"/>
    <x v="10"/>
  </r>
  <r>
    <x v="1"/>
    <x v="0"/>
    <x v="0"/>
    <x v="10"/>
  </r>
  <r>
    <x v="0"/>
    <x v="0"/>
    <x v="0"/>
    <x v="10"/>
  </r>
  <r>
    <x v="0"/>
    <x v="0"/>
    <x v="0"/>
    <x v="10"/>
  </r>
  <r>
    <x v="0"/>
    <x v="0"/>
    <x v="0"/>
    <x v="10"/>
  </r>
  <r>
    <x v="0"/>
    <x v="0"/>
    <x v="0"/>
    <x v="10"/>
  </r>
  <r>
    <x v="0"/>
    <x v="0"/>
    <x v="0"/>
    <x v="10"/>
  </r>
  <r>
    <x v="0"/>
    <x v="0"/>
    <x v="0"/>
    <x v="10"/>
  </r>
  <r>
    <x v="0"/>
    <x v="0"/>
    <x v="0"/>
    <x v="10"/>
  </r>
  <r>
    <x v="0"/>
    <x v="0"/>
    <x v="0"/>
    <x v="10"/>
  </r>
  <r>
    <x v="0"/>
    <x v="0"/>
    <x v="0"/>
    <x v="10"/>
  </r>
  <r>
    <x v="0"/>
    <x v="0"/>
    <x v="0"/>
    <x v="10"/>
  </r>
  <r>
    <x v="0"/>
    <x v="0"/>
    <x v="0"/>
    <x v="10"/>
  </r>
  <r>
    <x v="0"/>
    <x v="0"/>
    <x v="0"/>
    <x v="10"/>
  </r>
  <r>
    <x v="0"/>
    <x v="0"/>
    <x v="0"/>
    <x v="10"/>
  </r>
  <r>
    <x v="0"/>
    <x v="0"/>
    <x v="0"/>
    <x v="10"/>
  </r>
  <r>
    <x v="0"/>
    <x v="0"/>
    <x v="0"/>
    <x v="10"/>
  </r>
  <r>
    <x v="0"/>
    <x v="0"/>
    <x v="0"/>
    <x v="10"/>
  </r>
  <r>
    <x v="0"/>
    <x v="0"/>
    <x v="0"/>
    <x v="10"/>
  </r>
  <r>
    <x v="0"/>
    <x v="0"/>
    <x v="0"/>
    <x v="10"/>
  </r>
  <r>
    <x v="0"/>
    <x v="0"/>
    <x v="0"/>
    <x v="10"/>
  </r>
  <r>
    <x v="0"/>
    <x v="0"/>
    <x v="0"/>
    <x v="10"/>
  </r>
  <r>
    <x v="0"/>
    <x v="0"/>
    <x v="0"/>
    <x v="10"/>
  </r>
  <r>
    <x v="0"/>
    <x v="0"/>
    <x v="0"/>
    <x v="10"/>
  </r>
  <r>
    <x v="0"/>
    <x v="0"/>
    <x v="0"/>
    <x v="10"/>
  </r>
  <r>
    <x v="0"/>
    <x v="0"/>
    <x v="0"/>
    <x v="10"/>
  </r>
  <r>
    <x v="0"/>
    <x v="0"/>
    <x v="0"/>
    <x v="10"/>
  </r>
  <r>
    <x v="0"/>
    <x v="0"/>
    <x v="0"/>
    <x v="10"/>
  </r>
  <r>
    <x v="0"/>
    <x v="0"/>
    <x v="0"/>
    <x v="10"/>
  </r>
  <r>
    <x v="0"/>
    <x v="0"/>
    <x v="0"/>
    <x v="10"/>
  </r>
  <r>
    <x v="0"/>
    <x v="0"/>
    <x v="0"/>
    <x v="10"/>
  </r>
  <r>
    <x v="0"/>
    <x v="0"/>
    <x v="0"/>
    <x v="10"/>
  </r>
  <r>
    <x v="0"/>
    <x v="0"/>
    <x v="0"/>
    <x v="10"/>
  </r>
  <r>
    <x v="1"/>
    <x v="0"/>
    <x v="0"/>
    <x v="10"/>
  </r>
  <r>
    <x v="0"/>
    <x v="0"/>
    <x v="0"/>
    <x v="10"/>
  </r>
  <r>
    <x v="0"/>
    <x v="0"/>
    <x v="0"/>
    <x v="10"/>
  </r>
  <r>
    <x v="0"/>
    <x v="0"/>
    <x v="0"/>
    <x v="10"/>
  </r>
  <r>
    <x v="0"/>
    <x v="0"/>
    <x v="0"/>
    <x v="10"/>
  </r>
  <r>
    <x v="0"/>
    <x v="0"/>
    <x v="0"/>
    <x v="10"/>
  </r>
  <r>
    <x v="0"/>
    <x v="0"/>
    <x v="0"/>
    <x v="10"/>
  </r>
  <r>
    <x v="0"/>
    <x v="0"/>
    <x v="0"/>
    <x v="10"/>
  </r>
  <r>
    <x v="0"/>
    <x v="0"/>
    <x v="0"/>
    <x v="10"/>
  </r>
  <r>
    <x v="0"/>
    <x v="0"/>
    <x v="0"/>
    <x v="10"/>
  </r>
  <r>
    <x v="0"/>
    <x v="0"/>
    <x v="0"/>
    <x v="10"/>
  </r>
  <r>
    <x v="0"/>
    <x v="0"/>
    <x v="0"/>
    <x v="10"/>
  </r>
  <r>
    <x v="0"/>
    <x v="0"/>
    <x v="0"/>
    <x v="10"/>
  </r>
  <r>
    <x v="0"/>
    <x v="0"/>
    <x v="0"/>
    <x v="10"/>
  </r>
  <r>
    <x v="0"/>
    <x v="0"/>
    <x v="0"/>
    <x v="10"/>
  </r>
  <r>
    <x v="0"/>
    <x v="0"/>
    <x v="0"/>
    <x v="10"/>
  </r>
  <r>
    <x v="0"/>
    <x v="0"/>
    <x v="0"/>
    <x v="10"/>
  </r>
  <r>
    <x v="0"/>
    <x v="0"/>
    <x v="0"/>
    <x v="10"/>
  </r>
  <r>
    <x v="0"/>
    <x v="0"/>
    <x v="0"/>
    <x v="10"/>
  </r>
  <r>
    <x v="0"/>
    <x v="0"/>
    <x v="0"/>
    <x v="11"/>
  </r>
  <r>
    <x v="0"/>
    <x v="0"/>
    <x v="0"/>
    <x v="11"/>
  </r>
  <r>
    <x v="0"/>
    <x v="0"/>
    <x v="0"/>
    <x v="11"/>
  </r>
  <r>
    <x v="0"/>
    <x v="0"/>
    <x v="0"/>
    <x v="11"/>
  </r>
  <r>
    <x v="1"/>
    <x v="0"/>
    <x v="0"/>
    <x v="11"/>
  </r>
  <r>
    <x v="0"/>
    <x v="0"/>
    <x v="0"/>
    <x v="11"/>
  </r>
  <r>
    <x v="0"/>
    <x v="0"/>
    <x v="0"/>
    <x v="11"/>
  </r>
  <r>
    <x v="0"/>
    <x v="0"/>
    <x v="0"/>
    <x v="11"/>
  </r>
  <r>
    <x v="0"/>
    <x v="0"/>
    <x v="0"/>
    <x v="11"/>
  </r>
  <r>
    <x v="0"/>
    <x v="0"/>
    <x v="0"/>
    <x v="11"/>
  </r>
  <r>
    <x v="0"/>
    <x v="0"/>
    <x v="0"/>
    <x v="11"/>
  </r>
  <r>
    <x v="0"/>
    <x v="0"/>
    <x v="0"/>
    <x v="11"/>
  </r>
  <r>
    <x v="0"/>
    <x v="0"/>
    <x v="0"/>
    <x v="11"/>
  </r>
  <r>
    <x v="0"/>
    <x v="0"/>
    <x v="0"/>
    <x v="11"/>
  </r>
  <r>
    <x v="0"/>
    <x v="0"/>
    <x v="0"/>
    <x v="11"/>
  </r>
  <r>
    <x v="0"/>
    <x v="0"/>
    <x v="0"/>
    <x v="11"/>
  </r>
  <r>
    <x v="0"/>
    <x v="0"/>
    <x v="0"/>
    <x v="11"/>
  </r>
  <r>
    <x v="0"/>
    <x v="0"/>
    <x v="0"/>
    <x v="11"/>
  </r>
  <r>
    <x v="0"/>
    <x v="0"/>
    <x v="0"/>
    <x v="11"/>
  </r>
  <r>
    <x v="0"/>
    <x v="0"/>
    <x v="0"/>
    <x v="11"/>
  </r>
  <r>
    <x v="0"/>
    <x v="0"/>
    <x v="0"/>
    <x v="11"/>
  </r>
  <r>
    <x v="0"/>
    <x v="0"/>
    <x v="0"/>
    <x v="11"/>
  </r>
  <r>
    <x v="0"/>
    <x v="0"/>
    <x v="0"/>
    <x v="11"/>
  </r>
  <r>
    <x v="0"/>
    <x v="0"/>
    <x v="0"/>
    <x v="11"/>
  </r>
  <r>
    <x v="0"/>
    <x v="0"/>
    <x v="0"/>
    <x v="11"/>
  </r>
  <r>
    <x v="0"/>
    <x v="0"/>
    <x v="0"/>
    <x v="11"/>
  </r>
  <r>
    <x v="0"/>
    <x v="0"/>
    <x v="0"/>
    <x v="11"/>
  </r>
  <r>
    <x v="0"/>
    <x v="0"/>
    <x v="0"/>
    <x v="11"/>
  </r>
  <r>
    <x v="0"/>
    <x v="0"/>
    <x v="0"/>
    <x v="11"/>
  </r>
  <r>
    <x v="0"/>
    <x v="0"/>
    <x v="0"/>
    <x v="11"/>
  </r>
  <r>
    <x v="0"/>
    <x v="0"/>
    <x v="0"/>
    <x v="11"/>
  </r>
  <r>
    <x v="0"/>
    <x v="0"/>
    <x v="0"/>
    <x v="11"/>
  </r>
  <r>
    <x v="0"/>
    <x v="0"/>
    <x v="0"/>
    <x v="11"/>
  </r>
  <r>
    <x v="0"/>
    <x v="0"/>
    <x v="0"/>
    <x v="11"/>
  </r>
  <r>
    <x v="0"/>
    <x v="0"/>
    <x v="0"/>
    <x v="11"/>
  </r>
  <r>
    <x v="0"/>
    <x v="0"/>
    <x v="0"/>
    <x v="11"/>
  </r>
  <r>
    <x v="1"/>
    <x v="0"/>
    <x v="0"/>
    <x v="11"/>
  </r>
  <r>
    <x v="0"/>
    <x v="0"/>
    <x v="0"/>
    <x v="11"/>
  </r>
  <r>
    <x v="0"/>
    <x v="0"/>
    <x v="0"/>
    <x v="11"/>
  </r>
  <r>
    <x v="0"/>
    <x v="0"/>
    <x v="0"/>
    <x v="11"/>
  </r>
  <r>
    <x v="0"/>
    <x v="0"/>
    <x v="0"/>
    <x v="11"/>
  </r>
  <r>
    <x v="0"/>
    <x v="0"/>
    <x v="0"/>
    <x v="11"/>
  </r>
  <r>
    <x v="0"/>
    <x v="0"/>
    <x v="0"/>
    <x v="11"/>
  </r>
  <r>
    <x v="0"/>
    <x v="0"/>
    <x v="0"/>
    <x v="11"/>
  </r>
  <r>
    <x v="0"/>
    <x v="0"/>
    <x v="0"/>
    <x v="11"/>
  </r>
  <r>
    <x v="0"/>
    <x v="0"/>
    <x v="0"/>
    <x v="11"/>
  </r>
  <r>
    <x v="0"/>
    <x v="0"/>
    <x v="0"/>
    <x v="11"/>
  </r>
  <r>
    <x v="0"/>
    <x v="0"/>
    <x v="0"/>
    <x v="11"/>
  </r>
  <r>
    <x v="0"/>
    <x v="0"/>
    <x v="0"/>
    <x v="11"/>
  </r>
  <r>
    <x v="0"/>
    <x v="0"/>
    <x v="0"/>
    <x v="11"/>
  </r>
  <r>
    <x v="0"/>
    <x v="0"/>
    <x v="0"/>
    <x v="11"/>
  </r>
  <r>
    <x v="0"/>
    <x v="0"/>
    <x v="0"/>
    <x v="11"/>
  </r>
  <r>
    <x v="0"/>
    <x v="0"/>
    <x v="0"/>
    <x v="11"/>
  </r>
  <r>
    <x v="0"/>
    <x v="0"/>
    <x v="0"/>
    <x v="11"/>
  </r>
  <r>
    <x v="0"/>
    <x v="0"/>
    <x v="0"/>
    <x v="11"/>
  </r>
  <r>
    <x v="0"/>
    <x v="0"/>
    <x v="0"/>
    <x v="12"/>
  </r>
  <r>
    <x v="0"/>
    <x v="0"/>
    <x v="0"/>
    <x v="12"/>
  </r>
  <r>
    <x v="0"/>
    <x v="0"/>
    <x v="0"/>
    <x v="12"/>
  </r>
  <r>
    <x v="0"/>
    <x v="0"/>
    <x v="0"/>
    <x v="12"/>
  </r>
  <r>
    <x v="1"/>
    <x v="0"/>
    <x v="0"/>
    <x v="12"/>
  </r>
  <r>
    <x v="0"/>
    <x v="0"/>
    <x v="0"/>
    <x v="12"/>
  </r>
  <r>
    <x v="0"/>
    <x v="0"/>
    <x v="0"/>
    <x v="12"/>
  </r>
  <r>
    <x v="0"/>
    <x v="0"/>
    <x v="0"/>
    <x v="12"/>
  </r>
  <r>
    <x v="0"/>
    <x v="0"/>
    <x v="0"/>
    <x v="12"/>
  </r>
  <r>
    <x v="0"/>
    <x v="0"/>
    <x v="0"/>
    <x v="12"/>
  </r>
  <r>
    <x v="0"/>
    <x v="0"/>
    <x v="0"/>
    <x v="12"/>
  </r>
  <r>
    <x v="0"/>
    <x v="0"/>
    <x v="0"/>
    <x v="12"/>
  </r>
  <r>
    <x v="0"/>
    <x v="0"/>
    <x v="0"/>
    <x v="12"/>
  </r>
  <r>
    <x v="0"/>
    <x v="0"/>
    <x v="0"/>
    <x v="12"/>
  </r>
  <r>
    <x v="0"/>
    <x v="0"/>
    <x v="0"/>
    <x v="12"/>
  </r>
  <r>
    <x v="0"/>
    <x v="0"/>
    <x v="0"/>
    <x v="12"/>
  </r>
  <r>
    <x v="0"/>
    <x v="0"/>
    <x v="0"/>
    <x v="12"/>
  </r>
  <r>
    <x v="0"/>
    <x v="0"/>
    <x v="0"/>
    <x v="12"/>
  </r>
  <r>
    <x v="0"/>
    <x v="0"/>
    <x v="0"/>
    <x v="12"/>
  </r>
  <r>
    <x v="0"/>
    <x v="0"/>
    <x v="0"/>
    <x v="12"/>
  </r>
  <r>
    <x v="0"/>
    <x v="0"/>
    <x v="0"/>
    <x v="12"/>
  </r>
  <r>
    <x v="0"/>
    <x v="0"/>
    <x v="0"/>
    <x v="12"/>
  </r>
  <r>
    <x v="0"/>
    <x v="0"/>
    <x v="0"/>
    <x v="12"/>
  </r>
  <r>
    <x v="0"/>
    <x v="0"/>
    <x v="0"/>
    <x v="12"/>
  </r>
  <r>
    <x v="0"/>
    <x v="0"/>
    <x v="0"/>
    <x v="12"/>
  </r>
  <r>
    <x v="0"/>
    <x v="0"/>
    <x v="0"/>
    <x v="12"/>
  </r>
  <r>
    <x v="0"/>
    <x v="0"/>
    <x v="0"/>
    <x v="12"/>
  </r>
  <r>
    <x v="0"/>
    <x v="0"/>
    <x v="0"/>
    <x v="12"/>
  </r>
  <r>
    <x v="0"/>
    <x v="0"/>
    <x v="0"/>
    <x v="12"/>
  </r>
  <r>
    <x v="0"/>
    <x v="0"/>
    <x v="0"/>
    <x v="12"/>
  </r>
  <r>
    <x v="0"/>
    <x v="0"/>
    <x v="0"/>
    <x v="12"/>
  </r>
  <r>
    <x v="0"/>
    <x v="0"/>
    <x v="0"/>
    <x v="12"/>
  </r>
  <r>
    <x v="0"/>
    <x v="0"/>
    <x v="0"/>
    <x v="12"/>
  </r>
  <r>
    <x v="0"/>
    <x v="0"/>
    <x v="0"/>
    <x v="12"/>
  </r>
  <r>
    <x v="0"/>
    <x v="0"/>
    <x v="0"/>
    <x v="12"/>
  </r>
  <r>
    <x v="0"/>
    <x v="0"/>
    <x v="0"/>
    <x v="12"/>
  </r>
  <r>
    <x v="1"/>
    <x v="0"/>
    <x v="0"/>
    <x v="12"/>
  </r>
  <r>
    <x v="0"/>
    <x v="0"/>
    <x v="0"/>
    <x v="12"/>
  </r>
  <r>
    <x v="0"/>
    <x v="0"/>
    <x v="0"/>
    <x v="12"/>
  </r>
  <r>
    <x v="0"/>
    <x v="0"/>
    <x v="0"/>
    <x v="12"/>
  </r>
  <r>
    <x v="0"/>
    <x v="0"/>
    <x v="0"/>
    <x v="12"/>
  </r>
  <r>
    <x v="0"/>
    <x v="0"/>
    <x v="0"/>
    <x v="12"/>
  </r>
  <r>
    <x v="0"/>
    <x v="0"/>
    <x v="0"/>
    <x v="12"/>
  </r>
  <r>
    <x v="0"/>
    <x v="0"/>
    <x v="0"/>
    <x v="12"/>
  </r>
  <r>
    <x v="0"/>
    <x v="0"/>
    <x v="0"/>
    <x v="12"/>
  </r>
  <r>
    <x v="0"/>
    <x v="0"/>
    <x v="0"/>
    <x v="12"/>
  </r>
  <r>
    <x v="0"/>
    <x v="0"/>
    <x v="0"/>
    <x v="12"/>
  </r>
  <r>
    <x v="0"/>
    <x v="0"/>
    <x v="0"/>
    <x v="12"/>
  </r>
  <r>
    <x v="0"/>
    <x v="0"/>
    <x v="0"/>
    <x v="12"/>
  </r>
  <r>
    <x v="0"/>
    <x v="0"/>
    <x v="0"/>
    <x v="12"/>
  </r>
  <r>
    <x v="0"/>
    <x v="0"/>
    <x v="0"/>
    <x v="12"/>
  </r>
  <r>
    <x v="0"/>
    <x v="0"/>
    <x v="0"/>
    <x v="12"/>
  </r>
  <r>
    <x v="0"/>
    <x v="0"/>
    <x v="0"/>
    <x v="12"/>
  </r>
  <r>
    <x v="0"/>
    <x v="0"/>
    <x v="0"/>
    <x v="12"/>
  </r>
  <r>
    <x v="0"/>
    <x v="0"/>
    <x v="0"/>
    <x v="12"/>
  </r>
  <r>
    <x v="0"/>
    <x v="0"/>
    <x v="0"/>
    <x v="13"/>
  </r>
  <r>
    <x v="0"/>
    <x v="0"/>
    <x v="0"/>
    <x v="13"/>
  </r>
  <r>
    <x v="0"/>
    <x v="0"/>
    <x v="0"/>
    <x v="13"/>
  </r>
  <r>
    <x v="0"/>
    <x v="0"/>
    <x v="0"/>
    <x v="13"/>
  </r>
  <r>
    <x v="1"/>
    <x v="0"/>
    <x v="0"/>
    <x v="13"/>
  </r>
  <r>
    <x v="0"/>
    <x v="0"/>
    <x v="0"/>
    <x v="13"/>
  </r>
  <r>
    <x v="0"/>
    <x v="0"/>
    <x v="0"/>
    <x v="13"/>
  </r>
  <r>
    <x v="0"/>
    <x v="0"/>
    <x v="0"/>
    <x v="13"/>
  </r>
  <r>
    <x v="0"/>
    <x v="0"/>
    <x v="0"/>
    <x v="13"/>
  </r>
  <r>
    <x v="0"/>
    <x v="0"/>
    <x v="0"/>
    <x v="13"/>
  </r>
  <r>
    <x v="0"/>
    <x v="0"/>
    <x v="0"/>
    <x v="13"/>
  </r>
  <r>
    <x v="0"/>
    <x v="0"/>
    <x v="0"/>
    <x v="13"/>
  </r>
  <r>
    <x v="0"/>
    <x v="0"/>
    <x v="0"/>
    <x v="13"/>
  </r>
  <r>
    <x v="0"/>
    <x v="0"/>
    <x v="0"/>
    <x v="13"/>
  </r>
  <r>
    <x v="0"/>
    <x v="0"/>
    <x v="0"/>
    <x v="13"/>
  </r>
  <r>
    <x v="0"/>
    <x v="0"/>
    <x v="0"/>
    <x v="13"/>
  </r>
  <r>
    <x v="0"/>
    <x v="0"/>
    <x v="0"/>
    <x v="13"/>
  </r>
  <r>
    <x v="0"/>
    <x v="0"/>
    <x v="0"/>
    <x v="13"/>
  </r>
  <r>
    <x v="0"/>
    <x v="0"/>
    <x v="0"/>
    <x v="13"/>
  </r>
  <r>
    <x v="0"/>
    <x v="0"/>
    <x v="0"/>
    <x v="13"/>
  </r>
  <r>
    <x v="0"/>
    <x v="0"/>
    <x v="0"/>
    <x v="13"/>
  </r>
  <r>
    <x v="0"/>
    <x v="0"/>
    <x v="0"/>
    <x v="13"/>
  </r>
  <r>
    <x v="0"/>
    <x v="0"/>
    <x v="0"/>
    <x v="13"/>
  </r>
  <r>
    <x v="0"/>
    <x v="0"/>
    <x v="0"/>
    <x v="13"/>
  </r>
  <r>
    <x v="0"/>
    <x v="0"/>
    <x v="0"/>
    <x v="13"/>
  </r>
  <r>
    <x v="0"/>
    <x v="0"/>
    <x v="0"/>
    <x v="13"/>
  </r>
  <r>
    <x v="0"/>
    <x v="0"/>
    <x v="0"/>
    <x v="13"/>
  </r>
  <r>
    <x v="0"/>
    <x v="0"/>
    <x v="0"/>
    <x v="13"/>
  </r>
  <r>
    <x v="0"/>
    <x v="0"/>
    <x v="0"/>
    <x v="13"/>
  </r>
  <r>
    <x v="0"/>
    <x v="0"/>
    <x v="0"/>
    <x v="13"/>
  </r>
  <r>
    <x v="0"/>
    <x v="0"/>
    <x v="0"/>
    <x v="13"/>
  </r>
  <r>
    <x v="0"/>
    <x v="0"/>
    <x v="0"/>
    <x v="13"/>
  </r>
  <r>
    <x v="0"/>
    <x v="0"/>
    <x v="0"/>
    <x v="13"/>
  </r>
  <r>
    <x v="0"/>
    <x v="0"/>
    <x v="0"/>
    <x v="13"/>
  </r>
  <r>
    <x v="0"/>
    <x v="0"/>
    <x v="0"/>
    <x v="13"/>
  </r>
  <r>
    <x v="0"/>
    <x v="0"/>
    <x v="0"/>
    <x v="13"/>
  </r>
  <r>
    <x v="1"/>
    <x v="0"/>
    <x v="0"/>
    <x v="13"/>
  </r>
  <r>
    <x v="0"/>
    <x v="0"/>
    <x v="0"/>
    <x v="13"/>
  </r>
  <r>
    <x v="0"/>
    <x v="0"/>
    <x v="0"/>
    <x v="13"/>
  </r>
  <r>
    <x v="0"/>
    <x v="0"/>
    <x v="0"/>
    <x v="13"/>
  </r>
  <r>
    <x v="0"/>
    <x v="0"/>
    <x v="0"/>
    <x v="13"/>
  </r>
  <r>
    <x v="0"/>
    <x v="0"/>
    <x v="0"/>
    <x v="13"/>
  </r>
  <r>
    <x v="0"/>
    <x v="0"/>
    <x v="0"/>
    <x v="13"/>
  </r>
  <r>
    <x v="0"/>
    <x v="0"/>
    <x v="0"/>
    <x v="13"/>
  </r>
  <r>
    <x v="0"/>
    <x v="0"/>
    <x v="0"/>
    <x v="13"/>
  </r>
  <r>
    <x v="0"/>
    <x v="0"/>
    <x v="0"/>
    <x v="13"/>
  </r>
  <r>
    <x v="0"/>
    <x v="0"/>
    <x v="0"/>
    <x v="13"/>
  </r>
  <r>
    <x v="0"/>
    <x v="0"/>
    <x v="0"/>
    <x v="13"/>
  </r>
  <r>
    <x v="0"/>
    <x v="0"/>
    <x v="0"/>
    <x v="13"/>
  </r>
  <r>
    <x v="0"/>
    <x v="0"/>
    <x v="0"/>
    <x v="13"/>
  </r>
  <r>
    <x v="0"/>
    <x v="0"/>
    <x v="0"/>
    <x v="13"/>
  </r>
  <r>
    <x v="0"/>
    <x v="0"/>
    <x v="0"/>
    <x v="13"/>
  </r>
  <r>
    <x v="0"/>
    <x v="0"/>
    <x v="0"/>
    <x v="13"/>
  </r>
  <r>
    <x v="0"/>
    <x v="0"/>
    <x v="0"/>
    <x v="13"/>
  </r>
  <r>
    <x v="0"/>
    <x v="0"/>
    <x v="0"/>
    <x v="13"/>
  </r>
  <r>
    <x v="0"/>
    <x v="0"/>
    <x v="0"/>
    <x v="14"/>
  </r>
  <r>
    <x v="0"/>
    <x v="0"/>
    <x v="0"/>
    <x v="14"/>
  </r>
  <r>
    <x v="0"/>
    <x v="0"/>
    <x v="0"/>
    <x v="14"/>
  </r>
  <r>
    <x v="0"/>
    <x v="0"/>
    <x v="0"/>
    <x v="14"/>
  </r>
  <r>
    <x v="1"/>
    <x v="0"/>
    <x v="0"/>
    <x v="14"/>
  </r>
  <r>
    <x v="0"/>
    <x v="0"/>
    <x v="0"/>
    <x v="14"/>
  </r>
  <r>
    <x v="0"/>
    <x v="0"/>
    <x v="0"/>
    <x v="14"/>
  </r>
  <r>
    <x v="0"/>
    <x v="0"/>
    <x v="0"/>
    <x v="14"/>
  </r>
  <r>
    <x v="0"/>
    <x v="0"/>
    <x v="0"/>
    <x v="14"/>
  </r>
  <r>
    <x v="0"/>
    <x v="0"/>
    <x v="0"/>
    <x v="14"/>
  </r>
  <r>
    <x v="0"/>
    <x v="0"/>
    <x v="0"/>
    <x v="14"/>
  </r>
  <r>
    <x v="0"/>
    <x v="0"/>
    <x v="0"/>
    <x v="14"/>
  </r>
  <r>
    <x v="0"/>
    <x v="0"/>
    <x v="0"/>
    <x v="14"/>
  </r>
  <r>
    <x v="0"/>
    <x v="0"/>
    <x v="0"/>
    <x v="14"/>
  </r>
  <r>
    <x v="0"/>
    <x v="0"/>
    <x v="0"/>
    <x v="14"/>
  </r>
  <r>
    <x v="0"/>
    <x v="0"/>
    <x v="0"/>
    <x v="14"/>
  </r>
  <r>
    <x v="0"/>
    <x v="0"/>
    <x v="0"/>
    <x v="14"/>
  </r>
  <r>
    <x v="0"/>
    <x v="0"/>
    <x v="0"/>
    <x v="14"/>
  </r>
  <r>
    <x v="0"/>
    <x v="0"/>
    <x v="0"/>
    <x v="14"/>
  </r>
  <r>
    <x v="0"/>
    <x v="0"/>
    <x v="0"/>
    <x v="14"/>
  </r>
  <r>
    <x v="0"/>
    <x v="0"/>
    <x v="0"/>
    <x v="14"/>
  </r>
  <r>
    <x v="0"/>
    <x v="0"/>
    <x v="0"/>
    <x v="14"/>
  </r>
  <r>
    <x v="0"/>
    <x v="0"/>
    <x v="0"/>
    <x v="14"/>
  </r>
  <r>
    <x v="0"/>
    <x v="0"/>
    <x v="0"/>
    <x v="14"/>
  </r>
  <r>
    <x v="0"/>
    <x v="0"/>
    <x v="0"/>
    <x v="14"/>
  </r>
  <r>
    <x v="0"/>
    <x v="0"/>
    <x v="0"/>
    <x v="14"/>
  </r>
  <r>
    <x v="0"/>
    <x v="0"/>
    <x v="0"/>
    <x v="14"/>
  </r>
  <r>
    <x v="0"/>
    <x v="0"/>
    <x v="0"/>
    <x v="14"/>
  </r>
  <r>
    <x v="0"/>
    <x v="0"/>
    <x v="0"/>
    <x v="14"/>
  </r>
  <r>
    <x v="0"/>
    <x v="0"/>
    <x v="0"/>
    <x v="14"/>
  </r>
  <r>
    <x v="0"/>
    <x v="0"/>
    <x v="0"/>
    <x v="14"/>
  </r>
  <r>
    <x v="0"/>
    <x v="0"/>
    <x v="0"/>
    <x v="14"/>
  </r>
  <r>
    <x v="0"/>
    <x v="0"/>
    <x v="0"/>
    <x v="14"/>
  </r>
  <r>
    <x v="0"/>
    <x v="0"/>
    <x v="0"/>
    <x v="14"/>
  </r>
  <r>
    <x v="0"/>
    <x v="0"/>
    <x v="0"/>
    <x v="14"/>
  </r>
  <r>
    <x v="0"/>
    <x v="0"/>
    <x v="0"/>
    <x v="14"/>
  </r>
  <r>
    <x v="1"/>
    <x v="0"/>
    <x v="0"/>
    <x v="14"/>
  </r>
  <r>
    <x v="0"/>
    <x v="0"/>
    <x v="0"/>
    <x v="14"/>
  </r>
  <r>
    <x v="0"/>
    <x v="0"/>
    <x v="0"/>
    <x v="14"/>
  </r>
  <r>
    <x v="0"/>
    <x v="0"/>
    <x v="0"/>
    <x v="14"/>
  </r>
  <r>
    <x v="0"/>
    <x v="0"/>
    <x v="0"/>
    <x v="14"/>
  </r>
  <r>
    <x v="0"/>
    <x v="0"/>
    <x v="0"/>
    <x v="14"/>
  </r>
  <r>
    <x v="0"/>
    <x v="0"/>
    <x v="0"/>
    <x v="14"/>
  </r>
  <r>
    <x v="0"/>
    <x v="0"/>
    <x v="0"/>
    <x v="14"/>
  </r>
  <r>
    <x v="0"/>
    <x v="0"/>
    <x v="0"/>
    <x v="14"/>
  </r>
  <r>
    <x v="0"/>
    <x v="0"/>
    <x v="0"/>
    <x v="14"/>
  </r>
  <r>
    <x v="0"/>
    <x v="0"/>
    <x v="0"/>
    <x v="14"/>
  </r>
  <r>
    <x v="0"/>
    <x v="0"/>
    <x v="0"/>
    <x v="14"/>
  </r>
  <r>
    <x v="0"/>
    <x v="0"/>
    <x v="0"/>
    <x v="14"/>
  </r>
  <r>
    <x v="0"/>
    <x v="0"/>
    <x v="0"/>
    <x v="14"/>
  </r>
  <r>
    <x v="0"/>
    <x v="0"/>
    <x v="0"/>
    <x v="14"/>
  </r>
  <r>
    <x v="0"/>
    <x v="0"/>
    <x v="0"/>
    <x v="14"/>
  </r>
  <r>
    <x v="0"/>
    <x v="0"/>
    <x v="0"/>
    <x v="14"/>
  </r>
  <r>
    <x v="0"/>
    <x v="0"/>
    <x v="0"/>
    <x v="14"/>
  </r>
  <r>
    <x v="0"/>
    <x v="0"/>
    <x v="0"/>
    <x v="14"/>
  </r>
  <r>
    <x v="0"/>
    <x v="0"/>
    <x v="0"/>
    <x v="15"/>
  </r>
  <r>
    <x v="0"/>
    <x v="0"/>
    <x v="0"/>
    <x v="15"/>
  </r>
  <r>
    <x v="0"/>
    <x v="0"/>
    <x v="0"/>
    <x v="15"/>
  </r>
  <r>
    <x v="0"/>
    <x v="0"/>
    <x v="0"/>
    <x v="15"/>
  </r>
  <r>
    <x v="1"/>
    <x v="0"/>
    <x v="0"/>
    <x v="15"/>
  </r>
  <r>
    <x v="0"/>
    <x v="0"/>
    <x v="0"/>
    <x v="15"/>
  </r>
  <r>
    <x v="0"/>
    <x v="0"/>
    <x v="0"/>
    <x v="15"/>
  </r>
  <r>
    <x v="0"/>
    <x v="0"/>
    <x v="0"/>
    <x v="15"/>
  </r>
  <r>
    <x v="0"/>
    <x v="0"/>
    <x v="0"/>
    <x v="15"/>
  </r>
  <r>
    <x v="0"/>
    <x v="0"/>
    <x v="0"/>
    <x v="15"/>
  </r>
  <r>
    <x v="0"/>
    <x v="0"/>
    <x v="0"/>
    <x v="15"/>
  </r>
  <r>
    <x v="0"/>
    <x v="0"/>
    <x v="0"/>
    <x v="15"/>
  </r>
  <r>
    <x v="0"/>
    <x v="0"/>
    <x v="0"/>
    <x v="15"/>
  </r>
  <r>
    <x v="0"/>
    <x v="0"/>
    <x v="0"/>
    <x v="15"/>
  </r>
  <r>
    <x v="0"/>
    <x v="0"/>
    <x v="0"/>
    <x v="15"/>
  </r>
  <r>
    <x v="0"/>
    <x v="0"/>
    <x v="0"/>
    <x v="15"/>
  </r>
  <r>
    <x v="0"/>
    <x v="0"/>
    <x v="0"/>
    <x v="15"/>
  </r>
  <r>
    <x v="0"/>
    <x v="0"/>
    <x v="0"/>
    <x v="15"/>
  </r>
  <r>
    <x v="0"/>
    <x v="0"/>
    <x v="0"/>
    <x v="15"/>
  </r>
  <r>
    <x v="0"/>
    <x v="0"/>
    <x v="0"/>
    <x v="15"/>
  </r>
  <r>
    <x v="0"/>
    <x v="0"/>
    <x v="0"/>
    <x v="15"/>
  </r>
  <r>
    <x v="0"/>
    <x v="0"/>
    <x v="0"/>
    <x v="15"/>
  </r>
  <r>
    <x v="0"/>
    <x v="0"/>
    <x v="0"/>
    <x v="15"/>
  </r>
  <r>
    <x v="0"/>
    <x v="0"/>
    <x v="0"/>
    <x v="15"/>
  </r>
  <r>
    <x v="0"/>
    <x v="0"/>
    <x v="0"/>
    <x v="15"/>
  </r>
  <r>
    <x v="0"/>
    <x v="0"/>
    <x v="0"/>
    <x v="15"/>
  </r>
  <r>
    <x v="0"/>
    <x v="0"/>
    <x v="0"/>
    <x v="15"/>
  </r>
  <r>
    <x v="0"/>
    <x v="0"/>
    <x v="0"/>
    <x v="15"/>
  </r>
  <r>
    <x v="0"/>
    <x v="0"/>
    <x v="0"/>
    <x v="15"/>
  </r>
  <r>
    <x v="0"/>
    <x v="0"/>
    <x v="0"/>
    <x v="15"/>
  </r>
  <r>
    <x v="0"/>
    <x v="0"/>
    <x v="0"/>
    <x v="15"/>
  </r>
  <r>
    <x v="0"/>
    <x v="0"/>
    <x v="0"/>
    <x v="15"/>
  </r>
  <r>
    <x v="0"/>
    <x v="0"/>
    <x v="0"/>
    <x v="15"/>
  </r>
  <r>
    <x v="0"/>
    <x v="0"/>
    <x v="0"/>
    <x v="15"/>
  </r>
  <r>
    <x v="0"/>
    <x v="0"/>
    <x v="0"/>
    <x v="15"/>
  </r>
  <r>
    <x v="0"/>
    <x v="0"/>
    <x v="0"/>
    <x v="15"/>
  </r>
  <r>
    <x v="1"/>
    <x v="0"/>
    <x v="0"/>
    <x v="15"/>
  </r>
  <r>
    <x v="0"/>
    <x v="0"/>
    <x v="0"/>
    <x v="15"/>
  </r>
  <r>
    <x v="0"/>
    <x v="0"/>
    <x v="0"/>
    <x v="15"/>
  </r>
  <r>
    <x v="0"/>
    <x v="0"/>
    <x v="0"/>
    <x v="15"/>
  </r>
  <r>
    <x v="0"/>
    <x v="0"/>
    <x v="0"/>
    <x v="15"/>
  </r>
  <r>
    <x v="0"/>
    <x v="0"/>
    <x v="0"/>
    <x v="15"/>
  </r>
  <r>
    <x v="0"/>
    <x v="0"/>
    <x v="0"/>
    <x v="15"/>
  </r>
  <r>
    <x v="0"/>
    <x v="0"/>
    <x v="0"/>
    <x v="15"/>
  </r>
  <r>
    <x v="0"/>
    <x v="0"/>
    <x v="0"/>
    <x v="15"/>
  </r>
  <r>
    <x v="0"/>
    <x v="0"/>
    <x v="0"/>
    <x v="15"/>
  </r>
  <r>
    <x v="0"/>
    <x v="0"/>
    <x v="0"/>
    <x v="15"/>
  </r>
  <r>
    <x v="0"/>
    <x v="0"/>
    <x v="0"/>
    <x v="15"/>
  </r>
  <r>
    <x v="0"/>
    <x v="0"/>
    <x v="0"/>
    <x v="15"/>
  </r>
  <r>
    <x v="0"/>
    <x v="0"/>
    <x v="0"/>
    <x v="15"/>
  </r>
  <r>
    <x v="0"/>
    <x v="0"/>
    <x v="0"/>
    <x v="15"/>
  </r>
  <r>
    <x v="0"/>
    <x v="0"/>
    <x v="0"/>
    <x v="15"/>
  </r>
  <r>
    <x v="0"/>
    <x v="0"/>
    <x v="0"/>
    <x v="15"/>
  </r>
  <r>
    <x v="0"/>
    <x v="0"/>
    <x v="0"/>
    <x v="15"/>
  </r>
  <r>
    <x v="0"/>
    <x v="0"/>
    <x v="0"/>
    <x v="15"/>
  </r>
  <r>
    <x v="0"/>
    <x v="0"/>
    <x v="0"/>
    <x v="16"/>
  </r>
  <r>
    <x v="0"/>
    <x v="0"/>
    <x v="0"/>
    <x v="16"/>
  </r>
  <r>
    <x v="0"/>
    <x v="0"/>
    <x v="0"/>
    <x v="16"/>
  </r>
  <r>
    <x v="0"/>
    <x v="0"/>
    <x v="0"/>
    <x v="16"/>
  </r>
  <r>
    <x v="1"/>
    <x v="0"/>
    <x v="0"/>
    <x v="16"/>
  </r>
  <r>
    <x v="1"/>
    <x v="0"/>
    <x v="0"/>
    <x v="16"/>
  </r>
  <r>
    <x v="0"/>
    <x v="0"/>
    <x v="0"/>
    <x v="16"/>
  </r>
  <r>
    <x v="0"/>
    <x v="0"/>
    <x v="0"/>
    <x v="16"/>
  </r>
  <r>
    <x v="0"/>
    <x v="0"/>
    <x v="0"/>
    <x v="16"/>
  </r>
  <r>
    <x v="0"/>
    <x v="0"/>
    <x v="0"/>
    <x v="16"/>
  </r>
  <r>
    <x v="0"/>
    <x v="0"/>
    <x v="0"/>
    <x v="16"/>
  </r>
  <r>
    <x v="0"/>
    <x v="0"/>
    <x v="0"/>
    <x v="16"/>
  </r>
  <r>
    <x v="0"/>
    <x v="0"/>
    <x v="0"/>
    <x v="16"/>
  </r>
  <r>
    <x v="0"/>
    <x v="0"/>
    <x v="0"/>
    <x v="16"/>
  </r>
  <r>
    <x v="0"/>
    <x v="0"/>
    <x v="0"/>
    <x v="16"/>
  </r>
  <r>
    <x v="0"/>
    <x v="0"/>
    <x v="0"/>
    <x v="16"/>
  </r>
  <r>
    <x v="0"/>
    <x v="0"/>
    <x v="0"/>
    <x v="16"/>
  </r>
  <r>
    <x v="0"/>
    <x v="0"/>
    <x v="0"/>
    <x v="16"/>
  </r>
  <r>
    <x v="0"/>
    <x v="0"/>
    <x v="0"/>
    <x v="16"/>
  </r>
  <r>
    <x v="0"/>
    <x v="0"/>
    <x v="0"/>
    <x v="16"/>
  </r>
  <r>
    <x v="0"/>
    <x v="0"/>
    <x v="0"/>
    <x v="16"/>
  </r>
  <r>
    <x v="0"/>
    <x v="0"/>
    <x v="0"/>
    <x v="16"/>
  </r>
  <r>
    <x v="0"/>
    <x v="0"/>
    <x v="0"/>
    <x v="16"/>
  </r>
  <r>
    <x v="0"/>
    <x v="0"/>
    <x v="0"/>
    <x v="16"/>
  </r>
  <r>
    <x v="0"/>
    <x v="0"/>
    <x v="0"/>
    <x v="16"/>
  </r>
  <r>
    <x v="0"/>
    <x v="0"/>
    <x v="0"/>
    <x v="16"/>
  </r>
  <r>
    <x v="0"/>
    <x v="0"/>
    <x v="0"/>
    <x v="16"/>
  </r>
  <r>
    <x v="0"/>
    <x v="0"/>
    <x v="0"/>
    <x v="16"/>
  </r>
  <r>
    <x v="0"/>
    <x v="0"/>
    <x v="0"/>
    <x v="16"/>
  </r>
  <r>
    <x v="0"/>
    <x v="0"/>
    <x v="0"/>
    <x v="16"/>
  </r>
  <r>
    <x v="0"/>
    <x v="0"/>
    <x v="0"/>
    <x v="16"/>
  </r>
  <r>
    <x v="0"/>
    <x v="0"/>
    <x v="0"/>
    <x v="16"/>
  </r>
  <r>
    <x v="0"/>
    <x v="0"/>
    <x v="0"/>
    <x v="16"/>
  </r>
  <r>
    <x v="0"/>
    <x v="0"/>
    <x v="0"/>
    <x v="16"/>
  </r>
  <r>
    <x v="0"/>
    <x v="0"/>
    <x v="0"/>
    <x v="16"/>
  </r>
  <r>
    <x v="0"/>
    <x v="0"/>
    <x v="0"/>
    <x v="16"/>
  </r>
  <r>
    <x v="1"/>
    <x v="0"/>
    <x v="0"/>
    <x v="16"/>
  </r>
  <r>
    <x v="0"/>
    <x v="0"/>
    <x v="0"/>
    <x v="16"/>
  </r>
  <r>
    <x v="0"/>
    <x v="0"/>
    <x v="0"/>
    <x v="16"/>
  </r>
  <r>
    <x v="0"/>
    <x v="0"/>
    <x v="0"/>
    <x v="16"/>
  </r>
  <r>
    <x v="0"/>
    <x v="0"/>
    <x v="0"/>
    <x v="16"/>
  </r>
  <r>
    <x v="0"/>
    <x v="0"/>
    <x v="0"/>
    <x v="16"/>
  </r>
  <r>
    <x v="0"/>
    <x v="0"/>
    <x v="0"/>
    <x v="16"/>
  </r>
  <r>
    <x v="0"/>
    <x v="0"/>
    <x v="0"/>
    <x v="16"/>
  </r>
  <r>
    <x v="0"/>
    <x v="0"/>
    <x v="0"/>
    <x v="16"/>
  </r>
  <r>
    <x v="0"/>
    <x v="0"/>
    <x v="0"/>
    <x v="16"/>
  </r>
  <r>
    <x v="0"/>
    <x v="0"/>
    <x v="0"/>
    <x v="16"/>
  </r>
  <r>
    <x v="0"/>
    <x v="0"/>
    <x v="0"/>
    <x v="16"/>
  </r>
  <r>
    <x v="0"/>
    <x v="0"/>
    <x v="0"/>
    <x v="16"/>
  </r>
  <r>
    <x v="0"/>
    <x v="0"/>
    <x v="0"/>
    <x v="16"/>
  </r>
  <r>
    <x v="0"/>
    <x v="0"/>
    <x v="0"/>
    <x v="16"/>
  </r>
  <r>
    <x v="0"/>
    <x v="0"/>
    <x v="0"/>
    <x v="16"/>
  </r>
  <r>
    <x v="0"/>
    <x v="0"/>
    <x v="0"/>
    <x v="16"/>
  </r>
  <r>
    <x v="0"/>
    <x v="0"/>
    <x v="0"/>
    <x v="16"/>
  </r>
  <r>
    <x v="0"/>
    <x v="0"/>
    <x v="0"/>
    <x v="16"/>
  </r>
  <r>
    <x v="0"/>
    <x v="0"/>
    <x v="0"/>
    <x v="17"/>
  </r>
  <r>
    <x v="0"/>
    <x v="0"/>
    <x v="0"/>
    <x v="17"/>
  </r>
  <r>
    <x v="0"/>
    <x v="0"/>
    <x v="0"/>
    <x v="17"/>
  </r>
  <r>
    <x v="0"/>
    <x v="0"/>
    <x v="0"/>
    <x v="17"/>
  </r>
  <r>
    <x v="1"/>
    <x v="0"/>
    <x v="0"/>
    <x v="17"/>
  </r>
  <r>
    <x v="0"/>
    <x v="0"/>
    <x v="0"/>
    <x v="17"/>
  </r>
  <r>
    <x v="0"/>
    <x v="0"/>
    <x v="0"/>
    <x v="17"/>
  </r>
  <r>
    <x v="0"/>
    <x v="0"/>
    <x v="0"/>
    <x v="17"/>
  </r>
  <r>
    <x v="0"/>
    <x v="0"/>
    <x v="0"/>
    <x v="17"/>
  </r>
  <r>
    <x v="0"/>
    <x v="0"/>
    <x v="0"/>
    <x v="17"/>
  </r>
  <r>
    <x v="0"/>
    <x v="0"/>
    <x v="0"/>
    <x v="17"/>
  </r>
  <r>
    <x v="0"/>
    <x v="0"/>
    <x v="0"/>
    <x v="17"/>
  </r>
  <r>
    <x v="0"/>
    <x v="0"/>
    <x v="0"/>
    <x v="17"/>
  </r>
  <r>
    <x v="0"/>
    <x v="0"/>
    <x v="0"/>
    <x v="17"/>
  </r>
  <r>
    <x v="0"/>
    <x v="0"/>
    <x v="0"/>
    <x v="17"/>
  </r>
  <r>
    <x v="0"/>
    <x v="0"/>
    <x v="0"/>
    <x v="17"/>
  </r>
  <r>
    <x v="0"/>
    <x v="0"/>
    <x v="0"/>
    <x v="17"/>
  </r>
  <r>
    <x v="0"/>
    <x v="0"/>
    <x v="0"/>
    <x v="17"/>
  </r>
  <r>
    <x v="0"/>
    <x v="0"/>
    <x v="0"/>
    <x v="17"/>
  </r>
  <r>
    <x v="0"/>
    <x v="0"/>
    <x v="0"/>
    <x v="17"/>
  </r>
  <r>
    <x v="0"/>
    <x v="0"/>
    <x v="0"/>
    <x v="17"/>
  </r>
  <r>
    <x v="0"/>
    <x v="0"/>
    <x v="0"/>
    <x v="17"/>
  </r>
  <r>
    <x v="0"/>
    <x v="0"/>
    <x v="0"/>
    <x v="17"/>
  </r>
  <r>
    <x v="0"/>
    <x v="0"/>
    <x v="0"/>
    <x v="17"/>
  </r>
  <r>
    <x v="0"/>
    <x v="0"/>
    <x v="0"/>
    <x v="17"/>
  </r>
  <r>
    <x v="0"/>
    <x v="0"/>
    <x v="0"/>
    <x v="17"/>
  </r>
  <r>
    <x v="0"/>
    <x v="0"/>
    <x v="0"/>
    <x v="17"/>
  </r>
  <r>
    <x v="0"/>
    <x v="0"/>
    <x v="0"/>
    <x v="17"/>
  </r>
  <r>
    <x v="0"/>
    <x v="0"/>
    <x v="0"/>
    <x v="17"/>
  </r>
  <r>
    <x v="0"/>
    <x v="0"/>
    <x v="0"/>
    <x v="17"/>
  </r>
  <r>
    <x v="0"/>
    <x v="0"/>
    <x v="0"/>
    <x v="17"/>
  </r>
  <r>
    <x v="0"/>
    <x v="0"/>
    <x v="0"/>
    <x v="17"/>
  </r>
  <r>
    <x v="0"/>
    <x v="0"/>
    <x v="0"/>
    <x v="17"/>
  </r>
  <r>
    <x v="0"/>
    <x v="0"/>
    <x v="0"/>
    <x v="17"/>
  </r>
  <r>
    <x v="0"/>
    <x v="0"/>
    <x v="0"/>
    <x v="17"/>
  </r>
  <r>
    <x v="0"/>
    <x v="0"/>
    <x v="0"/>
    <x v="17"/>
  </r>
  <r>
    <x v="1"/>
    <x v="0"/>
    <x v="0"/>
    <x v="17"/>
  </r>
  <r>
    <x v="0"/>
    <x v="0"/>
    <x v="0"/>
    <x v="17"/>
  </r>
  <r>
    <x v="0"/>
    <x v="0"/>
    <x v="0"/>
    <x v="17"/>
  </r>
  <r>
    <x v="0"/>
    <x v="0"/>
    <x v="0"/>
    <x v="17"/>
  </r>
  <r>
    <x v="0"/>
    <x v="0"/>
    <x v="0"/>
    <x v="17"/>
  </r>
  <r>
    <x v="0"/>
    <x v="0"/>
    <x v="0"/>
    <x v="17"/>
  </r>
  <r>
    <x v="0"/>
    <x v="0"/>
    <x v="0"/>
    <x v="17"/>
  </r>
  <r>
    <x v="0"/>
    <x v="0"/>
    <x v="0"/>
    <x v="17"/>
  </r>
  <r>
    <x v="0"/>
    <x v="0"/>
    <x v="0"/>
    <x v="17"/>
  </r>
  <r>
    <x v="0"/>
    <x v="0"/>
    <x v="0"/>
    <x v="17"/>
  </r>
  <r>
    <x v="0"/>
    <x v="0"/>
    <x v="0"/>
    <x v="17"/>
  </r>
  <r>
    <x v="0"/>
    <x v="0"/>
    <x v="0"/>
    <x v="17"/>
  </r>
  <r>
    <x v="0"/>
    <x v="0"/>
    <x v="0"/>
    <x v="17"/>
  </r>
  <r>
    <x v="0"/>
    <x v="0"/>
    <x v="0"/>
    <x v="17"/>
  </r>
  <r>
    <x v="0"/>
    <x v="0"/>
    <x v="0"/>
    <x v="17"/>
  </r>
  <r>
    <x v="0"/>
    <x v="0"/>
    <x v="0"/>
    <x v="17"/>
  </r>
  <r>
    <x v="0"/>
    <x v="0"/>
    <x v="0"/>
    <x v="17"/>
  </r>
  <r>
    <x v="0"/>
    <x v="0"/>
    <x v="0"/>
    <x v="17"/>
  </r>
  <r>
    <x v="0"/>
    <x v="0"/>
    <x v="0"/>
    <x v="17"/>
  </r>
  <r>
    <x v="0"/>
    <x v="0"/>
    <x v="0"/>
    <x v="18"/>
  </r>
  <r>
    <x v="0"/>
    <x v="0"/>
    <x v="0"/>
    <x v="18"/>
  </r>
  <r>
    <x v="0"/>
    <x v="0"/>
    <x v="0"/>
    <x v="18"/>
  </r>
  <r>
    <x v="0"/>
    <x v="0"/>
    <x v="0"/>
    <x v="18"/>
  </r>
  <r>
    <x v="1"/>
    <x v="0"/>
    <x v="0"/>
    <x v="18"/>
  </r>
  <r>
    <x v="0"/>
    <x v="0"/>
    <x v="0"/>
    <x v="18"/>
  </r>
  <r>
    <x v="0"/>
    <x v="0"/>
    <x v="0"/>
    <x v="18"/>
  </r>
  <r>
    <x v="0"/>
    <x v="0"/>
    <x v="0"/>
    <x v="18"/>
  </r>
  <r>
    <x v="0"/>
    <x v="0"/>
    <x v="0"/>
    <x v="18"/>
  </r>
  <r>
    <x v="0"/>
    <x v="0"/>
    <x v="0"/>
    <x v="18"/>
  </r>
  <r>
    <x v="0"/>
    <x v="0"/>
    <x v="0"/>
    <x v="18"/>
  </r>
  <r>
    <x v="0"/>
    <x v="0"/>
    <x v="0"/>
    <x v="18"/>
  </r>
  <r>
    <x v="0"/>
    <x v="0"/>
    <x v="0"/>
    <x v="18"/>
  </r>
  <r>
    <x v="0"/>
    <x v="0"/>
    <x v="0"/>
    <x v="18"/>
  </r>
  <r>
    <x v="0"/>
    <x v="0"/>
    <x v="0"/>
    <x v="18"/>
  </r>
  <r>
    <x v="0"/>
    <x v="0"/>
    <x v="0"/>
    <x v="18"/>
  </r>
  <r>
    <x v="0"/>
    <x v="0"/>
    <x v="0"/>
    <x v="18"/>
  </r>
  <r>
    <x v="0"/>
    <x v="0"/>
    <x v="0"/>
    <x v="18"/>
  </r>
  <r>
    <x v="0"/>
    <x v="0"/>
    <x v="0"/>
    <x v="18"/>
  </r>
  <r>
    <x v="0"/>
    <x v="0"/>
    <x v="0"/>
    <x v="18"/>
  </r>
  <r>
    <x v="0"/>
    <x v="0"/>
    <x v="0"/>
    <x v="18"/>
  </r>
  <r>
    <x v="0"/>
    <x v="0"/>
    <x v="0"/>
    <x v="18"/>
  </r>
  <r>
    <x v="0"/>
    <x v="0"/>
    <x v="0"/>
    <x v="18"/>
  </r>
  <r>
    <x v="0"/>
    <x v="0"/>
    <x v="0"/>
    <x v="18"/>
  </r>
  <r>
    <x v="0"/>
    <x v="0"/>
    <x v="0"/>
    <x v="18"/>
  </r>
  <r>
    <x v="0"/>
    <x v="0"/>
    <x v="0"/>
    <x v="18"/>
  </r>
  <r>
    <x v="0"/>
    <x v="0"/>
    <x v="0"/>
    <x v="18"/>
  </r>
  <r>
    <x v="0"/>
    <x v="0"/>
    <x v="0"/>
    <x v="18"/>
  </r>
  <r>
    <x v="0"/>
    <x v="0"/>
    <x v="0"/>
    <x v="18"/>
  </r>
  <r>
    <x v="0"/>
    <x v="0"/>
    <x v="0"/>
    <x v="18"/>
  </r>
  <r>
    <x v="0"/>
    <x v="0"/>
    <x v="0"/>
    <x v="18"/>
  </r>
  <r>
    <x v="0"/>
    <x v="0"/>
    <x v="0"/>
    <x v="18"/>
  </r>
  <r>
    <x v="0"/>
    <x v="0"/>
    <x v="0"/>
    <x v="18"/>
  </r>
  <r>
    <x v="0"/>
    <x v="0"/>
    <x v="0"/>
    <x v="18"/>
  </r>
  <r>
    <x v="0"/>
    <x v="0"/>
    <x v="0"/>
    <x v="18"/>
  </r>
  <r>
    <x v="0"/>
    <x v="0"/>
    <x v="0"/>
    <x v="18"/>
  </r>
  <r>
    <x v="1"/>
    <x v="0"/>
    <x v="0"/>
    <x v="18"/>
  </r>
  <r>
    <x v="0"/>
    <x v="0"/>
    <x v="0"/>
    <x v="18"/>
  </r>
  <r>
    <x v="0"/>
    <x v="0"/>
    <x v="0"/>
    <x v="18"/>
  </r>
  <r>
    <x v="0"/>
    <x v="0"/>
    <x v="0"/>
    <x v="18"/>
  </r>
  <r>
    <x v="0"/>
    <x v="0"/>
    <x v="0"/>
    <x v="18"/>
  </r>
  <r>
    <x v="0"/>
    <x v="0"/>
    <x v="0"/>
    <x v="18"/>
  </r>
  <r>
    <x v="0"/>
    <x v="0"/>
    <x v="0"/>
    <x v="18"/>
  </r>
  <r>
    <x v="0"/>
    <x v="0"/>
    <x v="0"/>
    <x v="18"/>
  </r>
  <r>
    <x v="0"/>
    <x v="0"/>
    <x v="0"/>
    <x v="18"/>
  </r>
  <r>
    <x v="0"/>
    <x v="0"/>
    <x v="0"/>
    <x v="18"/>
  </r>
  <r>
    <x v="0"/>
    <x v="0"/>
    <x v="0"/>
    <x v="18"/>
  </r>
  <r>
    <x v="0"/>
    <x v="0"/>
    <x v="0"/>
    <x v="18"/>
  </r>
  <r>
    <x v="0"/>
    <x v="0"/>
    <x v="0"/>
    <x v="18"/>
  </r>
  <r>
    <x v="0"/>
    <x v="0"/>
    <x v="0"/>
    <x v="18"/>
  </r>
  <r>
    <x v="0"/>
    <x v="0"/>
    <x v="0"/>
    <x v="18"/>
  </r>
  <r>
    <x v="0"/>
    <x v="0"/>
    <x v="0"/>
    <x v="18"/>
  </r>
  <r>
    <x v="0"/>
    <x v="0"/>
    <x v="0"/>
    <x v="18"/>
  </r>
  <r>
    <x v="0"/>
    <x v="0"/>
    <x v="0"/>
    <x v="18"/>
  </r>
  <r>
    <x v="0"/>
    <x v="0"/>
    <x v="0"/>
    <x v="18"/>
  </r>
  <r>
    <x v="0"/>
    <x v="0"/>
    <x v="0"/>
    <x v="19"/>
  </r>
  <r>
    <x v="0"/>
    <x v="0"/>
    <x v="0"/>
    <x v="19"/>
  </r>
  <r>
    <x v="0"/>
    <x v="0"/>
    <x v="0"/>
    <x v="19"/>
  </r>
  <r>
    <x v="0"/>
    <x v="0"/>
    <x v="0"/>
    <x v="19"/>
  </r>
  <r>
    <x v="1"/>
    <x v="0"/>
    <x v="0"/>
    <x v="19"/>
  </r>
  <r>
    <x v="0"/>
    <x v="0"/>
    <x v="0"/>
    <x v="19"/>
  </r>
  <r>
    <x v="0"/>
    <x v="0"/>
    <x v="0"/>
    <x v="19"/>
  </r>
  <r>
    <x v="0"/>
    <x v="0"/>
    <x v="0"/>
    <x v="19"/>
  </r>
  <r>
    <x v="0"/>
    <x v="0"/>
    <x v="0"/>
    <x v="19"/>
  </r>
  <r>
    <x v="0"/>
    <x v="0"/>
    <x v="0"/>
    <x v="19"/>
  </r>
  <r>
    <x v="0"/>
    <x v="0"/>
    <x v="0"/>
    <x v="19"/>
  </r>
  <r>
    <x v="0"/>
    <x v="0"/>
    <x v="0"/>
    <x v="19"/>
  </r>
  <r>
    <x v="0"/>
    <x v="0"/>
    <x v="0"/>
    <x v="19"/>
  </r>
  <r>
    <x v="0"/>
    <x v="0"/>
    <x v="0"/>
    <x v="19"/>
  </r>
  <r>
    <x v="0"/>
    <x v="0"/>
    <x v="0"/>
    <x v="19"/>
  </r>
  <r>
    <x v="0"/>
    <x v="0"/>
    <x v="0"/>
    <x v="19"/>
  </r>
  <r>
    <x v="0"/>
    <x v="0"/>
    <x v="0"/>
    <x v="19"/>
  </r>
  <r>
    <x v="0"/>
    <x v="0"/>
    <x v="0"/>
    <x v="19"/>
  </r>
  <r>
    <x v="0"/>
    <x v="0"/>
    <x v="0"/>
    <x v="19"/>
  </r>
  <r>
    <x v="0"/>
    <x v="0"/>
    <x v="0"/>
    <x v="19"/>
  </r>
  <r>
    <x v="0"/>
    <x v="0"/>
    <x v="0"/>
    <x v="19"/>
  </r>
  <r>
    <x v="0"/>
    <x v="0"/>
    <x v="0"/>
    <x v="19"/>
  </r>
  <r>
    <x v="0"/>
    <x v="0"/>
    <x v="0"/>
    <x v="19"/>
  </r>
  <r>
    <x v="0"/>
    <x v="0"/>
    <x v="0"/>
    <x v="19"/>
  </r>
  <r>
    <x v="0"/>
    <x v="0"/>
    <x v="0"/>
    <x v="19"/>
  </r>
  <r>
    <x v="0"/>
    <x v="0"/>
    <x v="0"/>
    <x v="19"/>
  </r>
  <r>
    <x v="0"/>
    <x v="0"/>
    <x v="0"/>
    <x v="19"/>
  </r>
  <r>
    <x v="0"/>
    <x v="0"/>
    <x v="0"/>
    <x v="19"/>
  </r>
  <r>
    <x v="0"/>
    <x v="0"/>
    <x v="0"/>
    <x v="19"/>
  </r>
  <r>
    <x v="0"/>
    <x v="0"/>
    <x v="0"/>
    <x v="19"/>
  </r>
  <r>
    <x v="0"/>
    <x v="0"/>
    <x v="0"/>
    <x v="19"/>
  </r>
  <r>
    <x v="0"/>
    <x v="0"/>
    <x v="0"/>
    <x v="19"/>
  </r>
  <r>
    <x v="0"/>
    <x v="0"/>
    <x v="0"/>
    <x v="19"/>
  </r>
  <r>
    <x v="0"/>
    <x v="0"/>
    <x v="0"/>
    <x v="19"/>
  </r>
  <r>
    <x v="0"/>
    <x v="0"/>
    <x v="0"/>
    <x v="19"/>
  </r>
  <r>
    <x v="0"/>
    <x v="0"/>
    <x v="0"/>
    <x v="19"/>
  </r>
  <r>
    <x v="1"/>
    <x v="0"/>
    <x v="0"/>
    <x v="19"/>
  </r>
  <r>
    <x v="0"/>
    <x v="0"/>
    <x v="0"/>
    <x v="19"/>
  </r>
  <r>
    <x v="0"/>
    <x v="0"/>
    <x v="0"/>
    <x v="19"/>
  </r>
  <r>
    <x v="0"/>
    <x v="0"/>
    <x v="0"/>
    <x v="19"/>
  </r>
  <r>
    <x v="0"/>
    <x v="0"/>
    <x v="0"/>
    <x v="19"/>
  </r>
  <r>
    <x v="0"/>
    <x v="0"/>
    <x v="0"/>
    <x v="19"/>
  </r>
  <r>
    <x v="0"/>
    <x v="0"/>
    <x v="0"/>
    <x v="19"/>
  </r>
  <r>
    <x v="0"/>
    <x v="0"/>
    <x v="0"/>
    <x v="19"/>
  </r>
  <r>
    <x v="0"/>
    <x v="0"/>
    <x v="0"/>
    <x v="19"/>
  </r>
  <r>
    <x v="0"/>
    <x v="0"/>
    <x v="0"/>
    <x v="19"/>
  </r>
  <r>
    <x v="0"/>
    <x v="0"/>
    <x v="0"/>
    <x v="19"/>
  </r>
  <r>
    <x v="0"/>
    <x v="0"/>
    <x v="0"/>
    <x v="19"/>
  </r>
  <r>
    <x v="0"/>
    <x v="0"/>
    <x v="0"/>
    <x v="19"/>
  </r>
  <r>
    <x v="0"/>
    <x v="0"/>
    <x v="0"/>
    <x v="19"/>
  </r>
  <r>
    <x v="0"/>
    <x v="0"/>
    <x v="0"/>
    <x v="19"/>
  </r>
  <r>
    <x v="0"/>
    <x v="0"/>
    <x v="0"/>
    <x v="19"/>
  </r>
  <r>
    <x v="0"/>
    <x v="0"/>
    <x v="0"/>
    <x v="19"/>
  </r>
  <r>
    <x v="0"/>
    <x v="0"/>
    <x v="0"/>
    <x v="19"/>
  </r>
  <r>
    <x v="0"/>
    <x v="0"/>
    <x v="0"/>
    <x v="19"/>
  </r>
  <r>
    <x v="0"/>
    <x v="0"/>
    <x v="0"/>
    <x v="20"/>
  </r>
  <r>
    <x v="0"/>
    <x v="0"/>
    <x v="0"/>
    <x v="20"/>
  </r>
  <r>
    <x v="0"/>
    <x v="0"/>
    <x v="0"/>
    <x v="20"/>
  </r>
  <r>
    <x v="0"/>
    <x v="0"/>
    <x v="0"/>
    <x v="20"/>
  </r>
  <r>
    <x v="1"/>
    <x v="0"/>
    <x v="0"/>
    <x v="20"/>
  </r>
  <r>
    <x v="0"/>
    <x v="0"/>
    <x v="0"/>
    <x v="20"/>
  </r>
  <r>
    <x v="0"/>
    <x v="0"/>
    <x v="0"/>
    <x v="20"/>
  </r>
  <r>
    <x v="0"/>
    <x v="0"/>
    <x v="0"/>
    <x v="20"/>
  </r>
  <r>
    <x v="0"/>
    <x v="0"/>
    <x v="0"/>
    <x v="20"/>
  </r>
  <r>
    <x v="0"/>
    <x v="0"/>
    <x v="0"/>
    <x v="20"/>
  </r>
  <r>
    <x v="0"/>
    <x v="0"/>
    <x v="0"/>
    <x v="20"/>
  </r>
  <r>
    <x v="0"/>
    <x v="0"/>
    <x v="0"/>
    <x v="20"/>
  </r>
  <r>
    <x v="0"/>
    <x v="0"/>
    <x v="0"/>
    <x v="20"/>
  </r>
  <r>
    <x v="0"/>
    <x v="0"/>
    <x v="0"/>
    <x v="20"/>
  </r>
  <r>
    <x v="0"/>
    <x v="0"/>
    <x v="0"/>
    <x v="20"/>
  </r>
  <r>
    <x v="0"/>
    <x v="0"/>
    <x v="0"/>
    <x v="20"/>
  </r>
  <r>
    <x v="0"/>
    <x v="0"/>
    <x v="0"/>
    <x v="20"/>
  </r>
  <r>
    <x v="0"/>
    <x v="0"/>
    <x v="0"/>
    <x v="20"/>
  </r>
  <r>
    <x v="0"/>
    <x v="0"/>
    <x v="0"/>
    <x v="20"/>
  </r>
  <r>
    <x v="0"/>
    <x v="0"/>
    <x v="0"/>
    <x v="20"/>
  </r>
  <r>
    <x v="0"/>
    <x v="0"/>
    <x v="0"/>
    <x v="20"/>
  </r>
  <r>
    <x v="0"/>
    <x v="0"/>
    <x v="0"/>
    <x v="20"/>
  </r>
  <r>
    <x v="0"/>
    <x v="0"/>
    <x v="0"/>
    <x v="20"/>
  </r>
  <r>
    <x v="0"/>
    <x v="0"/>
    <x v="0"/>
    <x v="20"/>
  </r>
  <r>
    <x v="0"/>
    <x v="0"/>
    <x v="0"/>
    <x v="20"/>
  </r>
  <r>
    <x v="0"/>
    <x v="0"/>
    <x v="0"/>
    <x v="20"/>
  </r>
  <r>
    <x v="0"/>
    <x v="0"/>
    <x v="0"/>
    <x v="20"/>
  </r>
  <r>
    <x v="0"/>
    <x v="0"/>
    <x v="0"/>
    <x v="20"/>
  </r>
  <r>
    <x v="0"/>
    <x v="0"/>
    <x v="0"/>
    <x v="20"/>
  </r>
  <r>
    <x v="0"/>
    <x v="0"/>
    <x v="0"/>
    <x v="20"/>
  </r>
  <r>
    <x v="0"/>
    <x v="0"/>
    <x v="0"/>
    <x v="20"/>
  </r>
  <r>
    <x v="0"/>
    <x v="0"/>
    <x v="0"/>
    <x v="20"/>
  </r>
  <r>
    <x v="0"/>
    <x v="0"/>
    <x v="0"/>
    <x v="20"/>
  </r>
  <r>
    <x v="0"/>
    <x v="0"/>
    <x v="0"/>
    <x v="20"/>
  </r>
  <r>
    <x v="0"/>
    <x v="0"/>
    <x v="0"/>
    <x v="20"/>
  </r>
  <r>
    <x v="0"/>
    <x v="0"/>
    <x v="0"/>
    <x v="20"/>
  </r>
  <r>
    <x v="1"/>
    <x v="0"/>
    <x v="0"/>
    <x v="20"/>
  </r>
  <r>
    <x v="0"/>
    <x v="0"/>
    <x v="0"/>
    <x v="20"/>
  </r>
  <r>
    <x v="0"/>
    <x v="0"/>
    <x v="0"/>
    <x v="20"/>
  </r>
  <r>
    <x v="0"/>
    <x v="0"/>
    <x v="0"/>
    <x v="20"/>
  </r>
  <r>
    <x v="0"/>
    <x v="0"/>
    <x v="0"/>
    <x v="20"/>
  </r>
  <r>
    <x v="0"/>
    <x v="0"/>
    <x v="0"/>
    <x v="20"/>
  </r>
  <r>
    <x v="0"/>
    <x v="0"/>
    <x v="0"/>
    <x v="20"/>
  </r>
  <r>
    <x v="0"/>
    <x v="0"/>
    <x v="0"/>
    <x v="20"/>
  </r>
  <r>
    <x v="0"/>
    <x v="0"/>
    <x v="0"/>
    <x v="20"/>
  </r>
  <r>
    <x v="0"/>
    <x v="0"/>
    <x v="0"/>
    <x v="20"/>
  </r>
  <r>
    <x v="0"/>
    <x v="0"/>
    <x v="0"/>
    <x v="20"/>
  </r>
  <r>
    <x v="0"/>
    <x v="0"/>
    <x v="0"/>
    <x v="20"/>
  </r>
  <r>
    <x v="0"/>
    <x v="0"/>
    <x v="0"/>
    <x v="20"/>
  </r>
  <r>
    <x v="0"/>
    <x v="0"/>
    <x v="0"/>
    <x v="20"/>
  </r>
  <r>
    <x v="0"/>
    <x v="0"/>
    <x v="0"/>
    <x v="20"/>
  </r>
  <r>
    <x v="0"/>
    <x v="0"/>
    <x v="0"/>
    <x v="20"/>
  </r>
  <r>
    <x v="0"/>
    <x v="0"/>
    <x v="0"/>
    <x v="20"/>
  </r>
  <r>
    <x v="0"/>
    <x v="0"/>
    <x v="0"/>
    <x v="20"/>
  </r>
  <r>
    <x v="0"/>
    <x v="0"/>
    <x v="0"/>
    <x v="20"/>
  </r>
  <r>
    <x v="0"/>
    <x v="0"/>
    <x v="0"/>
    <x v="21"/>
  </r>
  <r>
    <x v="0"/>
    <x v="0"/>
    <x v="0"/>
    <x v="21"/>
  </r>
  <r>
    <x v="0"/>
    <x v="0"/>
    <x v="0"/>
    <x v="21"/>
  </r>
  <r>
    <x v="0"/>
    <x v="0"/>
    <x v="0"/>
    <x v="21"/>
  </r>
  <r>
    <x v="1"/>
    <x v="0"/>
    <x v="0"/>
    <x v="21"/>
  </r>
  <r>
    <x v="0"/>
    <x v="0"/>
    <x v="0"/>
    <x v="21"/>
  </r>
  <r>
    <x v="0"/>
    <x v="0"/>
    <x v="0"/>
    <x v="21"/>
  </r>
  <r>
    <x v="0"/>
    <x v="0"/>
    <x v="0"/>
    <x v="21"/>
  </r>
  <r>
    <x v="0"/>
    <x v="0"/>
    <x v="0"/>
    <x v="21"/>
  </r>
  <r>
    <x v="0"/>
    <x v="0"/>
    <x v="0"/>
    <x v="21"/>
  </r>
  <r>
    <x v="0"/>
    <x v="0"/>
    <x v="0"/>
    <x v="21"/>
  </r>
  <r>
    <x v="0"/>
    <x v="0"/>
    <x v="0"/>
    <x v="21"/>
  </r>
  <r>
    <x v="0"/>
    <x v="0"/>
    <x v="0"/>
    <x v="21"/>
  </r>
  <r>
    <x v="0"/>
    <x v="0"/>
    <x v="0"/>
    <x v="21"/>
  </r>
  <r>
    <x v="0"/>
    <x v="0"/>
    <x v="0"/>
    <x v="21"/>
  </r>
  <r>
    <x v="0"/>
    <x v="0"/>
    <x v="0"/>
    <x v="21"/>
  </r>
  <r>
    <x v="0"/>
    <x v="0"/>
    <x v="0"/>
    <x v="21"/>
  </r>
  <r>
    <x v="0"/>
    <x v="0"/>
    <x v="0"/>
    <x v="21"/>
  </r>
  <r>
    <x v="0"/>
    <x v="0"/>
    <x v="0"/>
    <x v="21"/>
  </r>
  <r>
    <x v="0"/>
    <x v="0"/>
    <x v="0"/>
    <x v="21"/>
  </r>
  <r>
    <x v="0"/>
    <x v="0"/>
    <x v="0"/>
    <x v="21"/>
  </r>
  <r>
    <x v="0"/>
    <x v="0"/>
    <x v="0"/>
    <x v="21"/>
  </r>
  <r>
    <x v="0"/>
    <x v="0"/>
    <x v="0"/>
    <x v="21"/>
  </r>
  <r>
    <x v="0"/>
    <x v="0"/>
    <x v="0"/>
    <x v="21"/>
  </r>
  <r>
    <x v="0"/>
    <x v="0"/>
    <x v="0"/>
    <x v="21"/>
  </r>
  <r>
    <x v="0"/>
    <x v="0"/>
    <x v="0"/>
    <x v="21"/>
  </r>
  <r>
    <x v="0"/>
    <x v="0"/>
    <x v="0"/>
    <x v="21"/>
  </r>
  <r>
    <x v="0"/>
    <x v="0"/>
    <x v="0"/>
    <x v="21"/>
  </r>
  <r>
    <x v="0"/>
    <x v="0"/>
    <x v="0"/>
    <x v="21"/>
  </r>
  <r>
    <x v="0"/>
    <x v="0"/>
    <x v="0"/>
    <x v="21"/>
  </r>
  <r>
    <x v="0"/>
    <x v="0"/>
    <x v="0"/>
    <x v="21"/>
  </r>
  <r>
    <x v="0"/>
    <x v="0"/>
    <x v="0"/>
    <x v="21"/>
  </r>
  <r>
    <x v="0"/>
    <x v="0"/>
    <x v="0"/>
    <x v="21"/>
  </r>
  <r>
    <x v="0"/>
    <x v="0"/>
    <x v="0"/>
    <x v="21"/>
  </r>
  <r>
    <x v="0"/>
    <x v="0"/>
    <x v="0"/>
    <x v="21"/>
  </r>
  <r>
    <x v="0"/>
    <x v="0"/>
    <x v="0"/>
    <x v="21"/>
  </r>
  <r>
    <x v="1"/>
    <x v="0"/>
    <x v="0"/>
    <x v="21"/>
  </r>
  <r>
    <x v="0"/>
    <x v="0"/>
    <x v="0"/>
    <x v="21"/>
  </r>
  <r>
    <x v="0"/>
    <x v="0"/>
    <x v="0"/>
    <x v="21"/>
  </r>
  <r>
    <x v="0"/>
    <x v="0"/>
    <x v="0"/>
    <x v="21"/>
  </r>
  <r>
    <x v="0"/>
    <x v="0"/>
    <x v="0"/>
    <x v="21"/>
  </r>
  <r>
    <x v="0"/>
    <x v="0"/>
    <x v="0"/>
    <x v="21"/>
  </r>
  <r>
    <x v="0"/>
    <x v="0"/>
    <x v="0"/>
    <x v="21"/>
  </r>
  <r>
    <x v="0"/>
    <x v="0"/>
    <x v="0"/>
    <x v="21"/>
  </r>
  <r>
    <x v="0"/>
    <x v="0"/>
    <x v="0"/>
    <x v="21"/>
  </r>
  <r>
    <x v="0"/>
    <x v="0"/>
    <x v="0"/>
    <x v="21"/>
  </r>
  <r>
    <x v="0"/>
    <x v="0"/>
    <x v="0"/>
    <x v="21"/>
  </r>
  <r>
    <x v="0"/>
    <x v="0"/>
    <x v="0"/>
    <x v="21"/>
  </r>
  <r>
    <x v="0"/>
    <x v="0"/>
    <x v="0"/>
    <x v="21"/>
  </r>
  <r>
    <x v="0"/>
    <x v="0"/>
    <x v="0"/>
    <x v="21"/>
  </r>
  <r>
    <x v="0"/>
    <x v="0"/>
    <x v="0"/>
    <x v="21"/>
  </r>
  <r>
    <x v="0"/>
    <x v="0"/>
    <x v="0"/>
    <x v="21"/>
  </r>
  <r>
    <x v="0"/>
    <x v="0"/>
    <x v="0"/>
    <x v="21"/>
  </r>
  <r>
    <x v="0"/>
    <x v="0"/>
    <x v="0"/>
    <x v="21"/>
  </r>
  <r>
    <x v="0"/>
    <x v="0"/>
    <x v="0"/>
    <x v="21"/>
  </r>
  <r>
    <x v="0"/>
    <x v="0"/>
    <x v="0"/>
    <x v="22"/>
  </r>
  <r>
    <x v="0"/>
    <x v="0"/>
    <x v="0"/>
    <x v="22"/>
  </r>
  <r>
    <x v="0"/>
    <x v="0"/>
    <x v="0"/>
    <x v="22"/>
  </r>
  <r>
    <x v="0"/>
    <x v="0"/>
    <x v="0"/>
    <x v="22"/>
  </r>
  <r>
    <x v="1"/>
    <x v="0"/>
    <x v="0"/>
    <x v="22"/>
  </r>
  <r>
    <x v="0"/>
    <x v="0"/>
    <x v="0"/>
    <x v="22"/>
  </r>
  <r>
    <x v="0"/>
    <x v="0"/>
    <x v="0"/>
    <x v="22"/>
  </r>
  <r>
    <x v="0"/>
    <x v="0"/>
    <x v="0"/>
    <x v="22"/>
  </r>
  <r>
    <x v="0"/>
    <x v="0"/>
    <x v="0"/>
    <x v="22"/>
  </r>
  <r>
    <x v="0"/>
    <x v="0"/>
    <x v="0"/>
    <x v="22"/>
  </r>
  <r>
    <x v="0"/>
    <x v="0"/>
    <x v="0"/>
    <x v="22"/>
  </r>
  <r>
    <x v="0"/>
    <x v="0"/>
    <x v="0"/>
    <x v="22"/>
  </r>
  <r>
    <x v="0"/>
    <x v="0"/>
    <x v="0"/>
    <x v="22"/>
  </r>
  <r>
    <x v="0"/>
    <x v="0"/>
    <x v="0"/>
    <x v="22"/>
  </r>
  <r>
    <x v="0"/>
    <x v="0"/>
    <x v="0"/>
    <x v="22"/>
  </r>
  <r>
    <x v="0"/>
    <x v="0"/>
    <x v="0"/>
    <x v="22"/>
  </r>
  <r>
    <x v="0"/>
    <x v="0"/>
    <x v="0"/>
    <x v="22"/>
  </r>
  <r>
    <x v="0"/>
    <x v="0"/>
    <x v="0"/>
    <x v="22"/>
  </r>
  <r>
    <x v="0"/>
    <x v="0"/>
    <x v="0"/>
    <x v="22"/>
  </r>
  <r>
    <x v="0"/>
    <x v="0"/>
    <x v="0"/>
    <x v="22"/>
  </r>
  <r>
    <x v="0"/>
    <x v="0"/>
    <x v="0"/>
    <x v="22"/>
  </r>
  <r>
    <x v="0"/>
    <x v="0"/>
    <x v="0"/>
    <x v="22"/>
  </r>
  <r>
    <x v="0"/>
    <x v="0"/>
    <x v="0"/>
    <x v="22"/>
  </r>
  <r>
    <x v="0"/>
    <x v="0"/>
    <x v="0"/>
    <x v="22"/>
  </r>
  <r>
    <x v="0"/>
    <x v="0"/>
    <x v="0"/>
    <x v="22"/>
  </r>
  <r>
    <x v="0"/>
    <x v="0"/>
    <x v="0"/>
    <x v="22"/>
  </r>
  <r>
    <x v="0"/>
    <x v="0"/>
    <x v="0"/>
    <x v="22"/>
  </r>
  <r>
    <x v="0"/>
    <x v="0"/>
    <x v="0"/>
    <x v="22"/>
  </r>
  <r>
    <x v="0"/>
    <x v="0"/>
    <x v="0"/>
    <x v="22"/>
  </r>
  <r>
    <x v="0"/>
    <x v="0"/>
    <x v="0"/>
    <x v="22"/>
  </r>
  <r>
    <x v="0"/>
    <x v="0"/>
    <x v="0"/>
    <x v="22"/>
  </r>
  <r>
    <x v="0"/>
    <x v="0"/>
    <x v="0"/>
    <x v="22"/>
  </r>
  <r>
    <x v="0"/>
    <x v="0"/>
    <x v="0"/>
    <x v="22"/>
  </r>
  <r>
    <x v="0"/>
    <x v="0"/>
    <x v="0"/>
    <x v="22"/>
  </r>
  <r>
    <x v="0"/>
    <x v="0"/>
    <x v="0"/>
    <x v="22"/>
  </r>
  <r>
    <x v="0"/>
    <x v="0"/>
    <x v="0"/>
    <x v="22"/>
  </r>
  <r>
    <x v="1"/>
    <x v="0"/>
    <x v="0"/>
    <x v="22"/>
  </r>
  <r>
    <x v="0"/>
    <x v="0"/>
    <x v="0"/>
    <x v="22"/>
  </r>
  <r>
    <x v="0"/>
    <x v="0"/>
    <x v="0"/>
    <x v="22"/>
  </r>
  <r>
    <x v="0"/>
    <x v="0"/>
    <x v="0"/>
    <x v="22"/>
  </r>
  <r>
    <x v="0"/>
    <x v="0"/>
    <x v="0"/>
    <x v="22"/>
  </r>
  <r>
    <x v="0"/>
    <x v="0"/>
    <x v="0"/>
    <x v="22"/>
  </r>
  <r>
    <x v="0"/>
    <x v="0"/>
    <x v="0"/>
    <x v="22"/>
  </r>
  <r>
    <x v="0"/>
    <x v="0"/>
    <x v="0"/>
    <x v="22"/>
  </r>
  <r>
    <x v="0"/>
    <x v="0"/>
    <x v="0"/>
    <x v="22"/>
  </r>
  <r>
    <x v="0"/>
    <x v="0"/>
    <x v="0"/>
    <x v="22"/>
  </r>
  <r>
    <x v="0"/>
    <x v="0"/>
    <x v="0"/>
    <x v="22"/>
  </r>
  <r>
    <x v="0"/>
    <x v="0"/>
    <x v="0"/>
    <x v="22"/>
  </r>
  <r>
    <x v="0"/>
    <x v="0"/>
    <x v="0"/>
    <x v="22"/>
  </r>
  <r>
    <x v="0"/>
    <x v="0"/>
    <x v="0"/>
    <x v="22"/>
  </r>
  <r>
    <x v="0"/>
    <x v="0"/>
    <x v="0"/>
    <x v="22"/>
  </r>
  <r>
    <x v="0"/>
    <x v="0"/>
    <x v="0"/>
    <x v="22"/>
  </r>
  <r>
    <x v="0"/>
    <x v="0"/>
    <x v="0"/>
    <x v="22"/>
  </r>
  <r>
    <x v="0"/>
    <x v="0"/>
    <x v="0"/>
    <x v="22"/>
  </r>
  <r>
    <x v="0"/>
    <x v="0"/>
    <x v="0"/>
    <x v="22"/>
  </r>
  <r>
    <x v="0"/>
    <x v="0"/>
    <x v="0"/>
    <x v="23"/>
  </r>
  <r>
    <x v="0"/>
    <x v="0"/>
    <x v="0"/>
    <x v="23"/>
  </r>
  <r>
    <x v="0"/>
    <x v="0"/>
    <x v="0"/>
    <x v="23"/>
  </r>
  <r>
    <x v="0"/>
    <x v="0"/>
    <x v="0"/>
    <x v="23"/>
  </r>
  <r>
    <x v="1"/>
    <x v="0"/>
    <x v="0"/>
    <x v="23"/>
  </r>
  <r>
    <x v="0"/>
    <x v="0"/>
    <x v="0"/>
    <x v="23"/>
  </r>
  <r>
    <x v="0"/>
    <x v="0"/>
    <x v="0"/>
    <x v="23"/>
  </r>
  <r>
    <x v="0"/>
    <x v="0"/>
    <x v="0"/>
    <x v="23"/>
  </r>
  <r>
    <x v="0"/>
    <x v="0"/>
    <x v="0"/>
    <x v="23"/>
  </r>
  <r>
    <x v="0"/>
    <x v="0"/>
    <x v="0"/>
    <x v="23"/>
  </r>
  <r>
    <x v="0"/>
    <x v="0"/>
    <x v="0"/>
    <x v="23"/>
  </r>
  <r>
    <x v="0"/>
    <x v="0"/>
    <x v="0"/>
    <x v="23"/>
  </r>
  <r>
    <x v="0"/>
    <x v="0"/>
    <x v="0"/>
    <x v="23"/>
  </r>
  <r>
    <x v="0"/>
    <x v="0"/>
    <x v="0"/>
    <x v="23"/>
  </r>
  <r>
    <x v="0"/>
    <x v="0"/>
    <x v="0"/>
    <x v="23"/>
  </r>
  <r>
    <x v="0"/>
    <x v="0"/>
    <x v="0"/>
    <x v="23"/>
  </r>
  <r>
    <x v="0"/>
    <x v="0"/>
    <x v="0"/>
    <x v="23"/>
  </r>
  <r>
    <x v="0"/>
    <x v="0"/>
    <x v="0"/>
    <x v="23"/>
  </r>
  <r>
    <x v="0"/>
    <x v="0"/>
    <x v="0"/>
    <x v="23"/>
  </r>
  <r>
    <x v="0"/>
    <x v="0"/>
    <x v="0"/>
    <x v="23"/>
  </r>
  <r>
    <x v="0"/>
    <x v="0"/>
    <x v="0"/>
    <x v="23"/>
  </r>
  <r>
    <x v="0"/>
    <x v="0"/>
    <x v="0"/>
    <x v="23"/>
  </r>
  <r>
    <x v="0"/>
    <x v="0"/>
    <x v="0"/>
    <x v="23"/>
  </r>
  <r>
    <x v="0"/>
    <x v="0"/>
    <x v="0"/>
    <x v="23"/>
  </r>
  <r>
    <x v="0"/>
    <x v="0"/>
    <x v="0"/>
    <x v="23"/>
  </r>
  <r>
    <x v="0"/>
    <x v="0"/>
    <x v="0"/>
    <x v="23"/>
  </r>
  <r>
    <x v="0"/>
    <x v="0"/>
    <x v="0"/>
    <x v="23"/>
  </r>
  <r>
    <x v="0"/>
    <x v="0"/>
    <x v="0"/>
    <x v="23"/>
  </r>
  <r>
    <x v="0"/>
    <x v="0"/>
    <x v="0"/>
    <x v="23"/>
  </r>
  <r>
    <x v="0"/>
    <x v="0"/>
    <x v="0"/>
    <x v="23"/>
  </r>
  <r>
    <x v="0"/>
    <x v="0"/>
    <x v="0"/>
    <x v="23"/>
  </r>
  <r>
    <x v="0"/>
    <x v="0"/>
    <x v="0"/>
    <x v="23"/>
  </r>
  <r>
    <x v="0"/>
    <x v="0"/>
    <x v="0"/>
    <x v="23"/>
  </r>
  <r>
    <x v="0"/>
    <x v="0"/>
    <x v="0"/>
    <x v="23"/>
  </r>
  <r>
    <x v="0"/>
    <x v="0"/>
    <x v="0"/>
    <x v="23"/>
  </r>
  <r>
    <x v="0"/>
    <x v="0"/>
    <x v="0"/>
    <x v="23"/>
  </r>
  <r>
    <x v="1"/>
    <x v="0"/>
    <x v="0"/>
    <x v="23"/>
  </r>
  <r>
    <x v="0"/>
    <x v="0"/>
    <x v="0"/>
    <x v="23"/>
  </r>
  <r>
    <x v="0"/>
    <x v="0"/>
    <x v="0"/>
    <x v="23"/>
  </r>
  <r>
    <x v="0"/>
    <x v="0"/>
    <x v="0"/>
    <x v="23"/>
  </r>
  <r>
    <x v="0"/>
    <x v="0"/>
    <x v="0"/>
    <x v="23"/>
  </r>
  <r>
    <x v="0"/>
    <x v="0"/>
    <x v="0"/>
    <x v="23"/>
  </r>
  <r>
    <x v="0"/>
    <x v="0"/>
    <x v="0"/>
    <x v="23"/>
  </r>
  <r>
    <x v="0"/>
    <x v="0"/>
    <x v="0"/>
    <x v="23"/>
  </r>
  <r>
    <x v="0"/>
    <x v="0"/>
    <x v="0"/>
    <x v="23"/>
  </r>
  <r>
    <x v="0"/>
    <x v="0"/>
    <x v="0"/>
    <x v="23"/>
  </r>
  <r>
    <x v="0"/>
    <x v="0"/>
    <x v="0"/>
    <x v="23"/>
  </r>
  <r>
    <x v="0"/>
    <x v="0"/>
    <x v="0"/>
    <x v="23"/>
  </r>
  <r>
    <x v="0"/>
    <x v="0"/>
    <x v="0"/>
    <x v="23"/>
  </r>
  <r>
    <x v="0"/>
    <x v="0"/>
    <x v="0"/>
    <x v="23"/>
  </r>
  <r>
    <x v="0"/>
    <x v="0"/>
    <x v="0"/>
    <x v="23"/>
  </r>
  <r>
    <x v="0"/>
    <x v="0"/>
    <x v="0"/>
    <x v="23"/>
  </r>
  <r>
    <x v="0"/>
    <x v="0"/>
    <x v="0"/>
    <x v="23"/>
  </r>
  <r>
    <x v="0"/>
    <x v="0"/>
    <x v="0"/>
    <x v="23"/>
  </r>
  <r>
    <x v="0"/>
    <x v="0"/>
    <x v="0"/>
    <x v="23"/>
  </r>
  <r>
    <x v="0"/>
    <x v="0"/>
    <x v="0"/>
    <x v="24"/>
  </r>
  <r>
    <x v="0"/>
    <x v="0"/>
    <x v="0"/>
    <x v="24"/>
  </r>
  <r>
    <x v="0"/>
    <x v="0"/>
    <x v="0"/>
    <x v="24"/>
  </r>
  <r>
    <x v="0"/>
    <x v="0"/>
    <x v="0"/>
    <x v="24"/>
  </r>
  <r>
    <x v="1"/>
    <x v="0"/>
    <x v="0"/>
    <x v="24"/>
  </r>
  <r>
    <x v="0"/>
    <x v="0"/>
    <x v="0"/>
    <x v="24"/>
  </r>
  <r>
    <x v="0"/>
    <x v="0"/>
    <x v="0"/>
    <x v="24"/>
  </r>
  <r>
    <x v="0"/>
    <x v="0"/>
    <x v="0"/>
    <x v="24"/>
  </r>
  <r>
    <x v="0"/>
    <x v="0"/>
    <x v="0"/>
    <x v="24"/>
  </r>
  <r>
    <x v="0"/>
    <x v="0"/>
    <x v="0"/>
    <x v="24"/>
  </r>
  <r>
    <x v="0"/>
    <x v="0"/>
    <x v="0"/>
    <x v="24"/>
  </r>
  <r>
    <x v="0"/>
    <x v="0"/>
    <x v="0"/>
    <x v="24"/>
  </r>
  <r>
    <x v="0"/>
    <x v="0"/>
    <x v="0"/>
    <x v="24"/>
  </r>
  <r>
    <x v="0"/>
    <x v="0"/>
    <x v="0"/>
    <x v="24"/>
  </r>
  <r>
    <x v="0"/>
    <x v="0"/>
    <x v="0"/>
    <x v="24"/>
  </r>
  <r>
    <x v="0"/>
    <x v="0"/>
    <x v="0"/>
    <x v="24"/>
  </r>
  <r>
    <x v="0"/>
    <x v="0"/>
    <x v="0"/>
    <x v="24"/>
  </r>
  <r>
    <x v="0"/>
    <x v="0"/>
    <x v="0"/>
    <x v="24"/>
  </r>
  <r>
    <x v="0"/>
    <x v="0"/>
    <x v="0"/>
    <x v="24"/>
  </r>
  <r>
    <x v="0"/>
    <x v="0"/>
    <x v="0"/>
    <x v="24"/>
  </r>
  <r>
    <x v="0"/>
    <x v="0"/>
    <x v="0"/>
    <x v="24"/>
  </r>
  <r>
    <x v="0"/>
    <x v="0"/>
    <x v="0"/>
    <x v="24"/>
  </r>
  <r>
    <x v="0"/>
    <x v="0"/>
    <x v="0"/>
    <x v="24"/>
  </r>
  <r>
    <x v="0"/>
    <x v="0"/>
    <x v="0"/>
    <x v="24"/>
  </r>
  <r>
    <x v="0"/>
    <x v="0"/>
    <x v="0"/>
    <x v="24"/>
  </r>
  <r>
    <x v="0"/>
    <x v="0"/>
    <x v="0"/>
    <x v="24"/>
  </r>
  <r>
    <x v="0"/>
    <x v="0"/>
    <x v="0"/>
    <x v="24"/>
  </r>
  <r>
    <x v="0"/>
    <x v="0"/>
    <x v="0"/>
    <x v="24"/>
  </r>
  <r>
    <x v="0"/>
    <x v="0"/>
    <x v="0"/>
    <x v="24"/>
  </r>
  <r>
    <x v="0"/>
    <x v="0"/>
    <x v="0"/>
    <x v="24"/>
  </r>
  <r>
    <x v="0"/>
    <x v="0"/>
    <x v="0"/>
    <x v="24"/>
  </r>
  <r>
    <x v="0"/>
    <x v="0"/>
    <x v="0"/>
    <x v="24"/>
  </r>
  <r>
    <x v="0"/>
    <x v="0"/>
    <x v="0"/>
    <x v="24"/>
  </r>
  <r>
    <x v="0"/>
    <x v="0"/>
    <x v="0"/>
    <x v="24"/>
  </r>
  <r>
    <x v="0"/>
    <x v="0"/>
    <x v="0"/>
    <x v="24"/>
  </r>
  <r>
    <x v="0"/>
    <x v="0"/>
    <x v="0"/>
    <x v="24"/>
  </r>
  <r>
    <x v="1"/>
    <x v="0"/>
    <x v="0"/>
    <x v="24"/>
  </r>
  <r>
    <x v="0"/>
    <x v="0"/>
    <x v="0"/>
    <x v="24"/>
  </r>
  <r>
    <x v="0"/>
    <x v="0"/>
    <x v="0"/>
    <x v="24"/>
  </r>
  <r>
    <x v="0"/>
    <x v="0"/>
    <x v="0"/>
    <x v="24"/>
  </r>
  <r>
    <x v="0"/>
    <x v="0"/>
    <x v="0"/>
    <x v="24"/>
  </r>
  <r>
    <x v="0"/>
    <x v="0"/>
    <x v="0"/>
    <x v="24"/>
  </r>
  <r>
    <x v="0"/>
    <x v="0"/>
    <x v="0"/>
    <x v="24"/>
  </r>
  <r>
    <x v="0"/>
    <x v="0"/>
    <x v="0"/>
    <x v="24"/>
  </r>
  <r>
    <x v="0"/>
    <x v="0"/>
    <x v="0"/>
    <x v="24"/>
  </r>
  <r>
    <x v="0"/>
    <x v="0"/>
    <x v="0"/>
    <x v="24"/>
  </r>
  <r>
    <x v="0"/>
    <x v="0"/>
    <x v="0"/>
    <x v="24"/>
  </r>
  <r>
    <x v="0"/>
    <x v="0"/>
    <x v="0"/>
    <x v="24"/>
  </r>
  <r>
    <x v="0"/>
    <x v="0"/>
    <x v="0"/>
    <x v="24"/>
  </r>
  <r>
    <x v="0"/>
    <x v="0"/>
    <x v="0"/>
    <x v="24"/>
  </r>
  <r>
    <x v="0"/>
    <x v="0"/>
    <x v="0"/>
    <x v="24"/>
  </r>
  <r>
    <x v="0"/>
    <x v="0"/>
    <x v="0"/>
    <x v="24"/>
  </r>
  <r>
    <x v="0"/>
    <x v="0"/>
    <x v="0"/>
    <x v="24"/>
  </r>
  <r>
    <x v="0"/>
    <x v="0"/>
    <x v="0"/>
    <x v="24"/>
  </r>
  <r>
    <x v="0"/>
    <x v="0"/>
    <x v="0"/>
    <x v="24"/>
  </r>
  <r>
    <x v="0"/>
    <x v="0"/>
    <x v="0"/>
    <x v="25"/>
  </r>
  <r>
    <x v="0"/>
    <x v="0"/>
    <x v="0"/>
    <x v="25"/>
  </r>
  <r>
    <x v="0"/>
    <x v="0"/>
    <x v="0"/>
    <x v="25"/>
  </r>
  <r>
    <x v="0"/>
    <x v="0"/>
    <x v="0"/>
    <x v="25"/>
  </r>
  <r>
    <x v="1"/>
    <x v="0"/>
    <x v="0"/>
    <x v="25"/>
  </r>
  <r>
    <x v="0"/>
    <x v="0"/>
    <x v="0"/>
    <x v="25"/>
  </r>
  <r>
    <x v="0"/>
    <x v="0"/>
    <x v="0"/>
    <x v="25"/>
  </r>
  <r>
    <x v="0"/>
    <x v="0"/>
    <x v="0"/>
    <x v="25"/>
  </r>
  <r>
    <x v="0"/>
    <x v="0"/>
    <x v="0"/>
    <x v="25"/>
  </r>
  <r>
    <x v="0"/>
    <x v="0"/>
    <x v="0"/>
    <x v="25"/>
  </r>
  <r>
    <x v="0"/>
    <x v="0"/>
    <x v="0"/>
    <x v="25"/>
  </r>
  <r>
    <x v="0"/>
    <x v="0"/>
    <x v="0"/>
    <x v="25"/>
  </r>
  <r>
    <x v="0"/>
    <x v="0"/>
    <x v="0"/>
    <x v="25"/>
  </r>
  <r>
    <x v="0"/>
    <x v="0"/>
    <x v="0"/>
    <x v="25"/>
  </r>
  <r>
    <x v="0"/>
    <x v="0"/>
    <x v="0"/>
    <x v="25"/>
  </r>
  <r>
    <x v="0"/>
    <x v="0"/>
    <x v="0"/>
    <x v="25"/>
  </r>
  <r>
    <x v="0"/>
    <x v="0"/>
    <x v="0"/>
    <x v="25"/>
  </r>
  <r>
    <x v="0"/>
    <x v="0"/>
    <x v="0"/>
    <x v="25"/>
  </r>
  <r>
    <x v="0"/>
    <x v="0"/>
    <x v="0"/>
    <x v="25"/>
  </r>
  <r>
    <x v="0"/>
    <x v="0"/>
    <x v="0"/>
    <x v="25"/>
  </r>
  <r>
    <x v="0"/>
    <x v="0"/>
    <x v="0"/>
    <x v="25"/>
  </r>
  <r>
    <x v="0"/>
    <x v="0"/>
    <x v="0"/>
    <x v="25"/>
  </r>
  <r>
    <x v="0"/>
    <x v="0"/>
    <x v="0"/>
    <x v="25"/>
  </r>
  <r>
    <x v="0"/>
    <x v="0"/>
    <x v="0"/>
    <x v="25"/>
  </r>
  <r>
    <x v="0"/>
    <x v="0"/>
    <x v="0"/>
    <x v="25"/>
  </r>
  <r>
    <x v="0"/>
    <x v="0"/>
    <x v="0"/>
    <x v="25"/>
  </r>
  <r>
    <x v="0"/>
    <x v="0"/>
    <x v="0"/>
    <x v="25"/>
  </r>
  <r>
    <x v="0"/>
    <x v="0"/>
    <x v="0"/>
    <x v="25"/>
  </r>
  <r>
    <x v="0"/>
    <x v="0"/>
    <x v="0"/>
    <x v="25"/>
  </r>
  <r>
    <x v="0"/>
    <x v="0"/>
    <x v="0"/>
    <x v="25"/>
  </r>
  <r>
    <x v="0"/>
    <x v="0"/>
    <x v="0"/>
    <x v="25"/>
  </r>
  <r>
    <x v="0"/>
    <x v="0"/>
    <x v="0"/>
    <x v="25"/>
  </r>
  <r>
    <x v="0"/>
    <x v="0"/>
    <x v="0"/>
    <x v="25"/>
  </r>
  <r>
    <x v="0"/>
    <x v="0"/>
    <x v="0"/>
    <x v="25"/>
  </r>
  <r>
    <x v="0"/>
    <x v="0"/>
    <x v="0"/>
    <x v="25"/>
  </r>
  <r>
    <x v="0"/>
    <x v="0"/>
    <x v="0"/>
    <x v="25"/>
  </r>
  <r>
    <x v="1"/>
    <x v="0"/>
    <x v="0"/>
    <x v="25"/>
  </r>
  <r>
    <x v="0"/>
    <x v="0"/>
    <x v="0"/>
    <x v="25"/>
  </r>
  <r>
    <x v="0"/>
    <x v="0"/>
    <x v="0"/>
    <x v="25"/>
  </r>
  <r>
    <x v="0"/>
    <x v="0"/>
    <x v="0"/>
    <x v="25"/>
  </r>
  <r>
    <x v="0"/>
    <x v="0"/>
    <x v="0"/>
    <x v="25"/>
  </r>
  <r>
    <x v="0"/>
    <x v="0"/>
    <x v="0"/>
    <x v="25"/>
  </r>
  <r>
    <x v="0"/>
    <x v="0"/>
    <x v="0"/>
    <x v="25"/>
  </r>
  <r>
    <x v="0"/>
    <x v="0"/>
    <x v="0"/>
    <x v="25"/>
  </r>
  <r>
    <x v="0"/>
    <x v="0"/>
    <x v="0"/>
    <x v="25"/>
  </r>
  <r>
    <x v="0"/>
    <x v="0"/>
    <x v="0"/>
    <x v="25"/>
  </r>
  <r>
    <x v="0"/>
    <x v="0"/>
    <x v="0"/>
    <x v="25"/>
  </r>
  <r>
    <x v="0"/>
    <x v="0"/>
    <x v="0"/>
    <x v="25"/>
  </r>
  <r>
    <x v="0"/>
    <x v="0"/>
    <x v="0"/>
    <x v="25"/>
  </r>
  <r>
    <x v="0"/>
    <x v="0"/>
    <x v="0"/>
    <x v="25"/>
  </r>
  <r>
    <x v="0"/>
    <x v="0"/>
    <x v="0"/>
    <x v="25"/>
  </r>
  <r>
    <x v="0"/>
    <x v="0"/>
    <x v="0"/>
    <x v="25"/>
  </r>
  <r>
    <x v="0"/>
    <x v="0"/>
    <x v="0"/>
    <x v="25"/>
  </r>
  <r>
    <x v="0"/>
    <x v="0"/>
    <x v="0"/>
    <x v="25"/>
  </r>
  <r>
    <x v="0"/>
    <x v="0"/>
    <x v="0"/>
    <x v="25"/>
  </r>
  <r>
    <x v="0"/>
    <x v="0"/>
    <x v="0"/>
    <x v="26"/>
  </r>
  <r>
    <x v="0"/>
    <x v="0"/>
    <x v="0"/>
    <x v="26"/>
  </r>
  <r>
    <x v="0"/>
    <x v="0"/>
    <x v="0"/>
    <x v="26"/>
  </r>
  <r>
    <x v="0"/>
    <x v="0"/>
    <x v="0"/>
    <x v="26"/>
  </r>
  <r>
    <x v="1"/>
    <x v="0"/>
    <x v="0"/>
    <x v="26"/>
  </r>
  <r>
    <x v="0"/>
    <x v="0"/>
    <x v="0"/>
    <x v="26"/>
  </r>
  <r>
    <x v="0"/>
    <x v="0"/>
    <x v="0"/>
    <x v="26"/>
  </r>
  <r>
    <x v="0"/>
    <x v="0"/>
    <x v="0"/>
    <x v="26"/>
  </r>
  <r>
    <x v="0"/>
    <x v="0"/>
    <x v="0"/>
    <x v="26"/>
  </r>
  <r>
    <x v="0"/>
    <x v="0"/>
    <x v="0"/>
    <x v="26"/>
  </r>
  <r>
    <x v="0"/>
    <x v="0"/>
    <x v="0"/>
    <x v="26"/>
  </r>
  <r>
    <x v="0"/>
    <x v="0"/>
    <x v="0"/>
    <x v="26"/>
  </r>
  <r>
    <x v="0"/>
    <x v="0"/>
    <x v="0"/>
    <x v="26"/>
  </r>
  <r>
    <x v="0"/>
    <x v="0"/>
    <x v="0"/>
    <x v="26"/>
  </r>
  <r>
    <x v="0"/>
    <x v="0"/>
    <x v="0"/>
    <x v="26"/>
  </r>
  <r>
    <x v="0"/>
    <x v="0"/>
    <x v="0"/>
    <x v="26"/>
  </r>
  <r>
    <x v="0"/>
    <x v="0"/>
    <x v="0"/>
    <x v="26"/>
  </r>
  <r>
    <x v="0"/>
    <x v="0"/>
    <x v="0"/>
    <x v="26"/>
  </r>
  <r>
    <x v="0"/>
    <x v="0"/>
    <x v="0"/>
    <x v="26"/>
  </r>
  <r>
    <x v="0"/>
    <x v="0"/>
    <x v="0"/>
    <x v="26"/>
  </r>
  <r>
    <x v="0"/>
    <x v="0"/>
    <x v="0"/>
    <x v="26"/>
  </r>
  <r>
    <x v="0"/>
    <x v="0"/>
    <x v="0"/>
    <x v="26"/>
  </r>
  <r>
    <x v="0"/>
    <x v="0"/>
    <x v="0"/>
    <x v="26"/>
  </r>
  <r>
    <x v="0"/>
    <x v="0"/>
    <x v="0"/>
    <x v="26"/>
  </r>
  <r>
    <x v="0"/>
    <x v="0"/>
    <x v="0"/>
    <x v="26"/>
  </r>
  <r>
    <x v="0"/>
    <x v="0"/>
    <x v="0"/>
    <x v="26"/>
  </r>
  <r>
    <x v="0"/>
    <x v="0"/>
    <x v="0"/>
    <x v="26"/>
  </r>
  <r>
    <x v="0"/>
    <x v="0"/>
    <x v="0"/>
    <x v="26"/>
  </r>
  <r>
    <x v="0"/>
    <x v="0"/>
    <x v="0"/>
    <x v="26"/>
  </r>
  <r>
    <x v="0"/>
    <x v="0"/>
    <x v="0"/>
    <x v="26"/>
  </r>
  <r>
    <x v="0"/>
    <x v="0"/>
    <x v="0"/>
    <x v="26"/>
  </r>
  <r>
    <x v="0"/>
    <x v="0"/>
    <x v="0"/>
    <x v="26"/>
  </r>
  <r>
    <x v="0"/>
    <x v="0"/>
    <x v="0"/>
    <x v="26"/>
  </r>
  <r>
    <x v="0"/>
    <x v="0"/>
    <x v="0"/>
    <x v="26"/>
  </r>
  <r>
    <x v="0"/>
    <x v="0"/>
    <x v="0"/>
    <x v="26"/>
  </r>
  <r>
    <x v="0"/>
    <x v="0"/>
    <x v="0"/>
    <x v="26"/>
  </r>
  <r>
    <x v="1"/>
    <x v="0"/>
    <x v="0"/>
    <x v="26"/>
  </r>
  <r>
    <x v="0"/>
    <x v="0"/>
    <x v="0"/>
    <x v="26"/>
  </r>
  <r>
    <x v="0"/>
    <x v="0"/>
    <x v="0"/>
    <x v="26"/>
  </r>
  <r>
    <x v="0"/>
    <x v="0"/>
    <x v="0"/>
    <x v="26"/>
  </r>
  <r>
    <x v="0"/>
    <x v="0"/>
    <x v="0"/>
    <x v="26"/>
  </r>
  <r>
    <x v="0"/>
    <x v="0"/>
    <x v="0"/>
    <x v="26"/>
  </r>
  <r>
    <x v="0"/>
    <x v="0"/>
    <x v="0"/>
    <x v="26"/>
  </r>
  <r>
    <x v="0"/>
    <x v="0"/>
    <x v="0"/>
    <x v="26"/>
  </r>
  <r>
    <x v="0"/>
    <x v="0"/>
    <x v="0"/>
    <x v="26"/>
  </r>
  <r>
    <x v="0"/>
    <x v="0"/>
    <x v="0"/>
    <x v="26"/>
  </r>
  <r>
    <x v="0"/>
    <x v="0"/>
    <x v="0"/>
    <x v="26"/>
  </r>
  <r>
    <x v="0"/>
    <x v="0"/>
    <x v="0"/>
    <x v="26"/>
  </r>
  <r>
    <x v="0"/>
    <x v="0"/>
    <x v="0"/>
    <x v="26"/>
  </r>
  <r>
    <x v="0"/>
    <x v="0"/>
    <x v="0"/>
    <x v="26"/>
  </r>
  <r>
    <x v="0"/>
    <x v="0"/>
    <x v="0"/>
    <x v="26"/>
  </r>
  <r>
    <x v="0"/>
    <x v="0"/>
    <x v="0"/>
    <x v="26"/>
  </r>
  <r>
    <x v="0"/>
    <x v="0"/>
    <x v="0"/>
    <x v="26"/>
  </r>
  <r>
    <x v="0"/>
    <x v="0"/>
    <x v="0"/>
    <x v="26"/>
  </r>
  <r>
    <x v="0"/>
    <x v="0"/>
    <x v="0"/>
    <x v="26"/>
  </r>
  <r>
    <x v="0"/>
    <x v="0"/>
    <x v="0"/>
    <x v="27"/>
  </r>
  <r>
    <x v="0"/>
    <x v="0"/>
    <x v="0"/>
    <x v="27"/>
  </r>
  <r>
    <x v="0"/>
    <x v="0"/>
    <x v="0"/>
    <x v="27"/>
  </r>
  <r>
    <x v="0"/>
    <x v="0"/>
    <x v="0"/>
    <x v="27"/>
  </r>
  <r>
    <x v="1"/>
    <x v="0"/>
    <x v="0"/>
    <x v="27"/>
  </r>
  <r>
    <x v="0"/>
    <x v="0"/>
    <x v="0"/>
    <x v="27"/>
  </r>
  <r>
    <x v="0"/>
    <x v="0"/>
    <x v="0"/>
    <x v="27"/>
  </r>
  <r>
    <x v="0"/>
    <x v="0"/>
    <x v="0"/>
    <x v="27"/>
  </r>
  <r>
    <x v="0"/>
    <x v="0"/>
    <x v="0"/>
    <x v="27"/>
  </r>
  <r>
    <x v="0"/>
    <x v="0"/>
    <x v="0"/>
    <x v="27"/>
  </r>
  <r>
    <x v="0"/>
    <x v="0"/>
    <x v="0"/>
    <x v="27"/>
  </r>
  <r>
    <x v="0"/>
    <x v="0"/>
    <x v="0"/>
    <x v="27"/>
  </r>
  <r>
    <x v="0"/>
    <x v="0"/>
    <x v="0"/>
    <x v="27"/>
  </r>
  <r>
    <x v="0"/>
    <x v="0"/>
    <x v="0"/>
    <x v="27"/>
  </r>
  <r>
    <x v="0"/>
    <x v="0"/>
    <x v="0"/>
    <x v="27"/>
  </r>
  <r>
    <x v="0"/>
    <x v="0"/>
    <x v="0"/>
    <x v="27"/>
  </r>
  <r>
    <x v="0"/>
    <x v="0"/>
    <x v="0"/>
    <x v="27"/>
  </r>
  <r>
    <x v="0"/>
    <x v="0"/>
    <x v="0"/>
    <x v="27"/>
  </r>
  <r>
    <x v="0"/>
    <x v="0"/>
    <x v="0"/>
    <x v="27"/>
  </r>
  <r>
    <x v="0"/>
    <x v="0"/>
    <x v="0"/>
    <x v="27"/>
  </r>
  <r>
    <x v="0"/>
    <x v="0"/>
    <x v="0"/>
    <x v="27"/>
  </r>
  <r>
    <x v="0"/>
    <x v="0"/>
    <x v="0"/>
    <x v="27"/>
  </r>
  <r>
    <x v="0"/>
    <x v="0"/>
    <x v="0"/>
    <x v="27"/>
  </r>
  <r>
    <x v="0"/>
    <x v="0"/>
    <x v="0"/>
    <x v="27"/>
  </r>
  <r>
    <x v="0"/>
    <x v="0"/>
    <x v="0"/>
    <x v="27"/>
  </r>
  <r>
    <x v="0"/>
    <x v="0"/>
    <x v="0"/>
    <x v="27"/>
  </r>
  <r>
    <x v="0"/>
    <x v="0"/>
    <x v="0"/>
    <x v="27"/>
  </r>
  <r>
    <x v="0"/>
    <x v="0"/>
    <x v="0"/>
    <x v="27"/>
  </r>
  <r>
    <x v="0"/>
    <x v="0"/>
    <x v="0"/>
    <x v="27"/>
  </r>
  <r>
    <x v="0"/>
    <x v="0"/>
    <x v="0"/>
    <x v="27"/>
  </r>
  <r>
    <x v="0"/>
    <x v="0"/>
    <x v="0"/>
    <x v="27"/>
  </r>
  <r>
    <x v="0"/>
    <x v="0"/>
    <x v="0"/>
    <x v="27"/>
  </r>
  <r>
    <x v="0"/>
    <x v="0"/>
    <x v="0"/>
    <x v="27"/>
  </r>
  <r>
    <x v="0"/>
    <x v="0"/>
    <x v="0"/>
    <x v="27"/>
  </r>
  <r>
    <x v="0"/>
    <x v="0"/>
    <x v="0"/>
    <x v="27"/>
  </r>
  <r>
    <x v="0"/>
    <x v="0"/>
    <x v="0"/>
    <x v="27"/>
  </r>
  <r>
    <x v="1"/>
    <x v="0"/>
    <x v="0"/>
    <x v="27"/>
  </r>
  <r>
    <x v="0"/>
    <x v="0"/>
    <x v="0"/>
    <x v="27"/>
  </r>
  <r>
    <x v="0"/>
    <x v="0"/>
    <x v="0"/>
    <x v="27"/>
  </r>
  <r>
    <x v="0"/>
    <x v="0"/>
    <x v="0"/>
    <x v="27"/>
  </r>
  <r>
    <x v="0"/>
    <x v="0"/>
    <x v="0"/>
    <x v="27"/>
  </r>
  <r>
    <x v="0"/>
    <x v="0"/>
    <x v="0"/>
    <x v="27"/>
  </r>
  <r>
    <x v="0"/>
    <x v="0"/>
    <x v="0"/>
    <x v="27"/>
  </r>
  <r>
    <x v="0"/>
    <x v="0"/>
    <x v="0"/>
    <x v="27"/>
  </r>
  <r>
    <x v="0"/>
    <x v="0"/>
    <x v="0"/>
    <x v="27"/>
  </r>
  <r>
    <x v="0"/>
    <x v="0"/>
    <x v="0"/>
    <x v="27"/>
  </r>
  <r>
    <x v="0"/>
    <x v="0"/>
    <x v="0"/>
    <x v="27"/>
  </r>
  <r>
    <x v="0"/>
    <x v="0"/>
    <x v="0"/>
    <x v="27"/>
  </r>
  <r>
    <x v="0"/>
    <x v="0"/>
    <x v="0"/>
    <x v="27"/>
  </r>
  <r>
    <x v="0"/>
    <x v="0"/>
    <x v="0"/>
    <x v="27"/>
  </r>
  <r>
    <x v="0"/>
    <x v="0"/>
    <x v="0"/>
    <x v="27"/>
  </r>
  <r>
    <x v="0"/>
    <x v="0"/>
    <x v="0"/>
    <x v="27"/>
  </r>
  <r>
    <x v="0"/>
    <x v="0"/>
    <x v="0"/>
    <x v="27"/>
  </r>
  <r>
    <x v="0"/>
    <x v="0"/>
    <x v="0"/>
    <x v="27"/>
  </r>
  <r>
    <x v="0"/>
    <x v="0"/>
    <x v="0"/>
    <x v="27"/>
  </r>
  <r>
    <x v="0"/>
    <x v="0"/>
    <x v="0"/>
    <x v="28"/>
  </r>
  <r>
    <x v="0"/>
    <x v="0"/>
    <x v="0"/>
    <x v="28"/>
  </r>
  <r>
    <x v="0"/>
    <x v="0"/>
    <x v="0"/>
    <x v="28"/>
  </r>
  <r>
    <x v="0"/>
    <x v="0"/>
    <x v="0"/>
    <x v="28"/>
  </r>
  <r>
    <x v="1"/>
    <x v="0"/>
    <x v="0"/>
    <x v="28"/>
  </r>
  <r>
    <x v="0"/>
    <x v="0"/>
    <x v="0"/>
    <x v="28"/>
  </r>
  <r>
    <x v="0"/>
    <x v="0"/>
    <x v="0"/>
    <x v="28"/>
  </r>
  <r>
    <x v="0"/>
    <x v="0"/>
    <x v="0"/>
    <x v="28"/>
  </r>
  <r>
    <x v="0"/>
    <x v="0"/>
    <x v="0"/>
    <x v="28"/>
  </r>
  <r>
    <x v="0"/>
    <x v="0"/>
    <x v="0"/>
    <x v="28"/>
  </r>
  <r>
    <x v="0"/>
    <x v="0"/>
    <x v="0"/>
    <x v="28"/>
  </r>
  <r>
    <x v="0"/>
    <x v="0"/>
    <x v="0"/>
    <x v="28"/>
  </r>
  <r>
    <x v="0"/>
    <x v="0"/>
    <x v="0"/>
    <x v="28"/>
  </r>
  <r>
    <x v="0"/>
    <x v="0"/>
    <x v="0"/>
    <x v="28"/>
  </r>
  <r>
    <x v="0"/>
    <x v="0"/>
    <x v="0"/>
    <x v="28"/>
  </r>
  <r>
    <x v="0"/>
    <x v="0"/>
    <x v="0"/>
    <x v="28"/>
  </r>
  <r>
    <x v="0"/>
    <x v="0"/>
    <x v="0"/>
    <x v="28"/>
  </r>
  <r>
    <x v="0"/>
    <x v="0"/>
    <x v="0"/>
    <x v="28"/>
  </r>
  <r>
    <x v="0"/>
    <x v="0"/>
    <x v="0"/>
    <x v="28"/>
  </r>
  <r>
    <x v="0"/>
    <x v="0"/>
    <x v="0"/>
    <x v="28"/>
  </r>
  <r>
    <x v="0"/>
    <x v="0"/>
    <x v="0"/>
    <x v="28"/>
  </r>
  <r>
    <x v="0"/>
    <x v="0"/>
    <x v="0"/>
    <x v="28"/>
  </r>
  <r>
    <x v="0"/>
    <x v="0"/>
    <x v="0"/>
    <x v="28"/>
  </r>
  <r>
    <x v="0"/>
    <x v="0"/>
    <x v="0"/>
    <x v="28"/>
  </r>
  <r>
    <x v="0"/>
    <x v="0"/>
    <x v="0"/>
    <x v="28"/>
  </r>
  <r>
    <x v="0"/>
    <x v="0"/>
    <x v="0"/>
    <x v="28"/>
  </r>
  <r>
    <x v="0"/>
    <x v="0"/>
    <x v="0"/>
    <x v="28"/>
  </r>
  <r>
    <x v="0"/>
    <x v="0"/>
    <x v="0"/>
    <x v="28"/>
  </r>
  <r>
    <x v="0"/>
    <x v="0"/>
    <x v="0"/>
    <x v="28"/>
  </r>
  <r>
    <x v="0"/>
    <x v="0"/>
    <x v="0"/>
    <x v="28"/>
  </r>
  <r>
    <x v="0"/>
    <x v="0"/>
    <x v="0"/>
    <x v="28"/>
  </r>
  <r>
    <x v="0"/>
    <x v="0"/>
    <x v="0"/>
    <x v="28"/>
  </r>
  <r>
    <x v="0"/>
    <x v="0"/>
    <x v="0"/>
    <x v="28"/>
  </r>
  <r>
    <x v="0"/>
    <x v="0"/>
    <x v="0"/>
    <x v="28"/>
  </r>
  <r>
    <x v="0"/>
    <x v="0"/>
    <x v="0"/>
    <x v="28"/>
  </r>
  <r>
    <x v="0"/>
    <x v="0"/>
    <x v="0"/>
    <x v="28"/>
  </r>
  <r>
    <x v="1"/>
    <x v="0"/>
    <x v="0"/>
    <x v="28"/>
  </r>
  <r>
    <x v="0"/>
    <x v="0"/>
    <x v="0"/>
    <x v="28"/>
  </r>
  <r>
    <x v="0"/>
    <x v="0"/>
    <x v="0"/>
    <x v="28"/>
  </r>
  <r>
    <x v="0"/>
    <x v="0"/>
    <x v="0"/>
    <x v="28"/>
  </r>
  <r>
    <x v="0"/>
    <x v="0"/>
    <x v="0"/>
    <x v="28"/>
  </r>
  <r>
    <x v="0"/>
    <x v="0"/>
    <x v="0"/>
    <x v="28"/>
  </r>
  <r>
    <x v="0"/>
    <x v="0"/>
    <x v="0"/>
    <x v="28"/>
  </r>
  <r>
    <x v="0"/>
    <x v="0"/>
    <x v="0"/>
    <x v="28"/>
  </r>
  <r>
    <x v="0"/>
    <x v="0"/>
    <x v="0"/>
    <x v="28"/>
  </r>
  <r>
    <x v="0"/>
    <x v="0"/>
    <x v="0"/>
    <x v="28"/>
  </r>
  <r>
    <x v="0"/>
    <x v="0"/>
    <x v="0"/>
    <x v="28"/>
  </r>
  <r>
    <x v="0"/>
    <x v="0"/>
    <x v="0"/>
    <x v="28"/>
  </r>
  <r>
    <x v="0"/>
    <x v="0"/>
    <x v="0"/>
    <x v="28"/>
  </r>
  <r>
    <x v="0"/>
    <x v="0"/>
    <x v="0"/>
    <x v="28"/>
  </r>
  <r>
    <x v="0"/>
    <x v="0"/>
    <x v="0"/>
    <x v="28"/>
  </r>
  <r>
    <x v="0"/>
    <x v="0"/>
    <x v="0"/>
    <x v="28"/>
  </r>
  <r>
    <x v="0"/>
    <x v="0"/>
    <x v="0"/>
    <x v="28"/>
  </r>
  <r>
    <x v="0"/>
    <x v="0"/>
    <x v="0"/>
    <x v="28"/>
  </r>
  <r>
    <x v="0"/>
    <x v="0"/>
    <x v="0"/>
    <x v="28"/>
  </r>
  <r>
    <x v="0"/>
    <x v="0"/>
    <x v="0"/>
    <x v="29"/>
  </r>
  <r>
    <x v="0"/>
    <x v="0"/>
    <x v="0"/>
    <x v="29"/>
  </r>
  <r>
    <x v="0"/>
    <x v="0"/>
    <x v="0"/>
    <x v="29"/>
  </r>
  <r>
    <x v="0"/>
    <x v="0"/>
    <x v="0"/>
    <x v="29"/>
  </r>
  <r>
    <x v="1"/>
    <x v="0"/>
    <x v="0"/>
    <x v="29"/>
  </r>
  <r>
    <x v="0"/>
    <x v="0"/>
    <x v="0"/>
    <x v="29"/>
  </r>
  <r>
    <x v="0"/>
    <x v="0"/>
    <x v="0"/>
    <x v="29"/>
  </r>
  <r>
    <x v="0"/>
    <x v="0"/>
    <x v="0"/>
    <x v="29"/>
  </r>
  <r>
    <x v="0"/>
    <x v="0"/>
    <x v="0"/>
    <x v="29"/>
  </r>
  <r>
    <x v="0"/>
    <x v="0"/>
    <x v="0"/>
    <x v="29"/>
  </r>
  <r>
    <x v="0"/>
    <x v="0"/>
    <x v="0"/>
    <x v="29"/>
  </r>
  <r>
    <x v="0"/>
    <x v="0"/>
    <x v="0"/>
    <x v="29"/>
  </r>
  <r>
    <x v="0"/>
    <x v="0"/>
    <x v="0"/>
    <x v="29"/>
  </r>
  <r>
    <x v="0"/>
    <x v="0"/>
    <x v="0"/>
    <x v="29"/>
  </r>
  <r>
    <x v="0"/>
    <x v="0"/>
    <x v="0"/>
    <x v="29"/>
  </r>
  <r>
    <x v="0"/>
    <x v="0"/>
    <x v="0"/>
    <x v="29"/>
  </r>
  <r>
    <x v="0"/>
    <x v="0"/>
    <x v="0"/>
    <x v="29"/>
  </r>
  <r>
    <x v="0"/>
    <x v="0"/>
    <x v="0"/>
    <x v="29"/>
  </r>
  <r>
    <x v="0"/>
    <x v="0"/>
    <x v="0"/>
    <x v="29"/>
  </r>
  <r>
    <x v="0"/>
    <x v="0"/>
    <x v="0"/>
    <x v="29"/>
  </r>
  <r>
    <x v="0"/>
    <x v="0"/>
    <x v="0"/>
    <x v="29"/>
  </r>
  <r>
    <x v="0"/>
    <x v="0"/>
    <x v="0"/>
    <x v="29"/>
  </r>
  <r>
    <x v="0"/>
    <x v="0"/>
    <x v="0"/>
    <x v="29"/>
  </r>
  <r>
    <x v="0"/>
    <x v="0"/>
    <x v="0"/>
    <x v="29"/>
  </r>
  <r>
    <x v="0"/>
    <x v="0"/>
    <x v="0"/>
    <x v="29"/>
  </r>
  <r>
    <x v="0"/>
    <x v="0"/>
    <x v="0"/>
    <x v="29"/>
  </r>
  <r>
    <x v="0"/>
    <x v="0"/>
    <x v="0"/>
    <x v="29"/>
  </r>
  <r>
    <x v="0"/>
    <x v="0"/>
    <x v="0"/>
    <x v="29"/>
  </r>
  <r>
    <x v="0"/>
    <x v="0"/>
    <x v="0"/>
    <x v="29"/>
  </r>
  <r>
    <x v="0"/>
    <x v="0"/>
    <x v="0"/>
    <x v="29"/>
  </r>
  <r>
    <x v="0"/>
    <x v="0"/>
    <x v="0"/>
    <x v="29"/>
  </r>
  <r>
    <x v="0"/>
    <x v="0"/>
    <x v="0"/>
    <x v="29"/>
  </r>
  <r>
    <x v="0"/>
    <x v="0"/>
    <x v="0"/>
    <x v="29"/>
  </r>
  <r>
    <x v="0"/>
    <x v="0"/>
    <x v="0"/>
    <x v="29"/>
  </r>
  <r>
    <x v="0"/>
    <x v="0"/>
    <x v="0"/>
    <x v="29"/>
  </r>
  <r>
    <x v="0"/>
    <x v="0"/>
    <x v="0"/>
    <x v="29"/>
  </r>
  <r>
    <x v="1"/>
    <x v="0"/>
    <x v="0"/>
    <x v="29"/>
  </r>
  <r>
    <x v="0"/>
    <x v="0"/>
    <x v="0"/>
    <x v="29"/>
  </r>
  <r>
    <x v="0"/>
    <x v="0"/>
    <x v="0"/>
    <x v="29"/>
  </r>
  <r>
    <x v="0"/>
    <x v="0"/>
    <x v="0"/>
    <x v="29"/>
  </r>
  <r>
    <x v="0"/>
    <x v="0"/>
    <x v="0"/>
    <x v="29"/>
  </r>
  <r>
    <x v="0"/>
    <x v="0"/>
    <x v="0"/>
    <x v="29"/>
  </r>
  <r>
    <x v="0"/>
    <x v="0"/>
    <x v="0"/>
    <x v="29"/>
  </r>
  <r>
    <x v="0"/>
    <x v="0"/>
    <x v="0"/>
    <x v="29"/>
  </r>
  <r>
    <x v="0"/>
    <x v="0"/>
    <x v="0"/>
    <x v="29"/>
  </r>
  <r>
    <x v="0"/>
    <x v="0"/>
    <x v="0"/>
    <x v="29"/>
  </r>
  <r>
    <x v="0"/>
    <x v="0"/>
    <x v="0"/>
    <x v="29"/>
  </r>
  <r>
    <x v="0"/>
    <x v="0"/>
    <x v="0"/>
    <x v="29"/>
  </r>
  <r>
    <x v="0"/>
    <x v="0"/>
    <x v="0"/>
    <x v="29"/>
  </r>
  <r>
    <x v="0"/>
    <x v="0"/>
    <x v="0"/>
    <x v="29"/>
  </r>
  <r>
    <x v="0"/>
    <x v="0"/>
    <x v="0"/>
    <x v="29"/>
  </r>
  <r>
    <x v="0"/>
    <x v="0"/>
    <x v="0"/>
    <x v="29"/>
  </r>
  <r>
    <x v="0"/>
    <x v="0"/>
    <x v="0"/>
    <x v="29"/>
  </r>
  <r>
    <x v="0"/>
    <x v="0"/>
    <x v="0"/>
    <x v="29"/>
  </r>
  <r>
    <x v="0"/>
    <x v="0"/>
    <x v="0"/>
    <x v="29"/>
  </r>
  <r>
    <x v="0"/>
    <x v="0"/>
    <x v="0"/>
    <x v="30"/>
  </r>
  <r>
    <x v="0"/>
    <x v="0"/>
    <x v="0"/>
    <x v="30"/>
  </r>
  <r>
    <x v="0"/>
    <x v="0"/>
    <x v="0"/>
    <x v="30"/>
  </r>
  <r>
    <x v="0"/>
    <x v="0"/>
    <x v="0"/>
    <x v="30"/>
  </r>
  <r>
    <x v="1"/>
    <x v="0"/>
    <x v="0"/>
    <x v="30"/>
  </r>
  <r>
    <x v="0"/>
    <x v="0"/>
    <x v="0"/>
    <x v="30"/>
  </r>
  <r>
    <x v="0"/>
    <x v="0"/>
    <x v="0"/>
    <x v="30"/>
  </r>
  <r>
    <x v="0"/>
    <x v="0"/>
    <x v="0"/>
    <x v="30"/>
  </r>
  <r>
    <x v="0"/>
    <x v="0"/>
    <x v="0"/>
    <x v="30"/>
  </r>
  <r>
    <x v="0"/>
    <x v="0"/>
    <x v="0"/>
    <x v="30"/>
  </r>
  <r>
    <x v="0"/>
    <x v="0"/>
    <x v="0"/>
    <x v="30"/>
  </r>
  <r>
    <x v="0"/>
    <x v="0"/>
    <x v="0"/>
    <x v="30"/>
  </r>
  <r>
    <x v="0"/>
    <x v="0"/>
    <x v="0"/>
    <x v="30"/>
  </r>
  <r>
    <x v="0"/>
    <x v="0"/>
    <x v="0"/>
    <x v="30"/>
  </r>
  <r>
    <x v="0"/>
    <x v="0"/>
    <x v="0"/>
    <x v="30"/>
  </r>
  <r>
    <x v="0"/>
    <x v="0"/>
    <x v="0"/>
    <x v="30"/>
  </r>
  <r>
    <x v="0"/>
    <x v="0"/>
    <x v="0"/>
    <x v="30"/>
  </r>
  <r>
    <x v="0"/>
    <x v="0"/>
    <x v="0"/>
    <x v="30"/>
  </r>
  <r>
    <x v="0"/>
    <x v="0"/>
    <x v="0"/>
    <x v="30"/>
  </r>
  <r>
    <x v="0"/>
    <x v="0"/>
    <x v="0"/>
    <x v="30"/>
  </r>
  <r>
    <x v="0"/>
    <x v="0"/>
    <x v="0"/>
    <x v="30"/>
  </r>
  <r>
    <x v="0"/>
    <x v="0"/>
    <x v="0"/>
    <x v="30"/>
  </r>
  <r>
    <x v="0"/>
    <x v="0"/>
    <x v="0"/>
    <x v="30"/>
  </r>
  <r>
    <x v="0"/>
    <x v="0"/>
    <x v="0"/>
    <x v="30"/>
  </r>
  <r>
    <x v="0"/>
    <x v="0"/>
    <x v="0"/>
    <x v="30"/>
  </r>
  <r>
    <x v="0"/>
    <x v="0"/>
    <x v="0"/>
    <x v="30"/>
  </r>
  <r>
    <x v="0"/>
    <x v="0"/>
    <x v="0"/>
    <x v="30"/>
  </r>
  <r>
    <x v="0"/>
    <x v="0"/>
    <x v="0"/>
    <x v="30"/>
  </r>
  <r>
    <x v="0"/>
    <x v="0"/>
    <x v="0"/>
    <x v="30"/>
  </r>
  <r>
    <x v="0"/>
    <x v="0"/>
    <x v="0"/>
    <x v="30"/>
  </r>
  <r>
    <x v="0"/>
    <x v="0"/>
    <x v="0"/>
    <x v="30"/>
  </r>
  <r>
    <x v="0"/>
    <x v="0"/>
    <x v="0"/>
    <x v="30"/>
  </r>
  <r>
    <x v="0"/>
    <x v="0"/>
    <x v="0"/>
    <x v="30"/>
  </r>
  <r>
    <x v="0"/>
    <x v="0"/>
    <x v="0"/>
    <x v="30"/>
  </r>
  <r>
    <x v="0"/>
    <x v="0"/>
    <x v="0"/>
    <x v="30"/>
  </r>
  <r>
    <x v="0"/>
    <x v="0"/>
    <x v="0"/>
    <x v="30"/>
  </r>
  <r>
    <x v="1"/>
    <x v="0"/>
    <x v="0"/>
    <x v="30"/>
  </r>
  <r>
    <x v="0"/>
    <x v="0"/>
    <x v="0"/>
    <x v="30"/>
  </r>
  <r>
    <x v="0"/>
    <x v="0"/>
    <x v="0"/>
    <x v="30"/>
  </r>
  <r>
    <x v="0"/>
    <x v="0"/>
    <x v="0"/>
    <x v="30"/>
  </r>
  <r>
    <x v="0"/>
    <x v="0"/>
    <x v="0"/>
    <x v="30"/>
  </r>
  <r>
    <x v="0"/>
    <x v="0"/>
    <x v="0"/>
    <x v="30"/>
  </r>
  <r>
    <x v="0"/>
    <x v="0"/>
    <x v="0"/>
    <x v="30"/>
  </r>
  <r>
    <x v="0"/>
    <x v="0"/>
    <x v="0"/>
    <x v="30"/>
  </r>
  <r>
    <x v="0"/>
    <x v="0"/>
    <x v="0"/>
    <x v="30"/>
  </r>
  <r>
    <x v="0"/>
    <x v="0"/>
    <x v="0"/>
    <x v="30"/>
  </r>
  <r>
    <x v="0"/>
    <x v="0"/>
    <x v="0"/>
    <x v="30"/>
  </r>
  <r>
    <x v="0"/>
    <x v="0"/>
    <x v="0"/>
    <x v="30"/>
  </r>
  <r>
    <x v="0"/>
    <x v="0"/>
    <x v="0"/>
    <x v="30"/>
  </r>
  <r>
    <x v="0"/>
    <x v="0"/>
    <x v="0"/>
    <x v="30"/>
  </r>
  <r>
    <x v="0"/>
    <x v="0"/>
    <x v="0"/>
    <x v="30"/>
  </r>
  <r>
    <x v="0"/>
    <x v="0"/>
    <x v="0"/>
    <x v="30"/>
  </r>
  <r>
    <x v="0"/>
    <x v="0"/>
    <x v="0"/>
    <x v="30"/>
  </r>
  <r>
    <x v="0"/>
    <x v="0"/>
    <x v="0"/>
    <x v="30"/>
  </r>
  <r>
    <x v="0"/>
    <x v="0"/>
    <x v="0"/>
    <x v="3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300-000000000000}" name="Tableau croisé dynamique1" cacheId="0" applyNumberFormats="0" applyBorderFormats="0" applyFontFormats="0" applyPatternFormats="0" applyAlignmentFormats="0" applyWidthHeightFormats="1" dataCaption="Valeurs" updatedVersion="5" minRefreshableVersion="3" useAutoFormatting="1" itemPrintTitles="1" createdVersion="5" indent="0" outline="1" outlineData="1" multipleFieldFilters="0">
  <location ref="A3:B7" firstHeaderRow="1" firstDataRow="1" firstDataCol="1"/>
  <pivotFields count="4">
    <pivotField axis="axisRow" showAll="0">
      <items count="3">
        <item x="1"/>
        <item x="0"/>
        <item t="default"/>
      </items>
    </pivotField>
    <pivotField dataField="1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showAll="0">
      <items count="32">
        <item x="0"/>
        <item x="9"/>
        <item x="10"/>
        <item x="11"/>
        <item x="12"/>
        <item x="13"/>
        <item x="14"/>
        <item x="15"/>
        <item x="16"/>
        <item x="17"/>
        <item x="18"/>
        <item x="1"/>
        <item x="19"/>
        <item x="20"/>
        <item x="21"/>
        <item x="22"/>
        <item x="23"/>
        <item x="24"/>
        <item x="25"/>
        <item x="26"/>
        <item x="27"/>
        <item x="28"/>
        <item x="2"/>
        <item x="29"/>
        <item x="30"/>
        <item x="3"/>
        <item x="4"/>
        <item x="5"/>
        <item x="6"/>
        <item x="7"/>
        <item x="8"/>
        <item t="default"/>
      </items>
    </pivotField>
  </pivotFields>
  <rowFields count="2">
    <field x="2"/>
    <field x="0"/>
  </rowFields>
  <rowItems count="4">
    <i>
      <x/>
    </i>
    <i r="1">
      <x/>
    </i>
    <i r="1">
      <x v="1"/>
    </i>
    <i t="grand">
      <x/>
    </i>
  </rowItems>
  <colItems count="1">
    <i/>
  </colItems>
  <dataFields count="1">
    <dataField name="Nombre de Colonne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7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9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0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9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0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9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10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9.emf"/><Relationship Id="rId4" Type="http://schemas.openxmlformats.org/officeDocument/2006/relationships/control" Target="../activeX/activeX15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10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8.xml"/><Relationship Id="rId5" Type="http://schemas.openxmlformats.org/officeDocument/2006/relationships/image" Target="../media/image9.emf"/><Relationship Id="rId4" Type="http://schemas.openxmlformats.org/officeDocument/2006/relationships/control" Target="../activeX/activeX1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1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0.xml"/><Relationship Id="rId5" Type="http://schemas.openxmlformats.org/officeDocument/2006/relationships/image" Target="../media/image12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10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2.xml"/><Relationship Id="rId5" Type="http://schemas.openxmlformats.org/officeDocument/2006/relationships/image" Target="../media/image9.emf"/><Relationship Id="rId4" Type="http://schemas.openxmlformats.org/officeDocument/2006/relationships/control" Target="../activeX/activeX21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10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24.xml"/><Relationship Id="rId5" Type="http://schemas.openxmlformats.org/officeDocument/2006/relationships/image" Target="../media/image9.emf"/><Relationship Id="rId4" Type="http://schemas.openxmlformats.org/officeDocument/2006/relationships/control" Target="../activeX/activeX23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10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26.xml"/><Relationship Id="rId5" Type="http://schemas.openxmlformats.org/officeDocument/2006/relationships/image" Target="../media/image11.emf"/><Relationship Id="rId4" Type="http://schemas.openxmlformats.org/officeDocument/2006/relationships/control" Target="../activeX/activeX25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10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28.xml"/><Relationship Id="rId5" Type="http://schemas.openxmlformats.org/officeDocument/2006/relationships/image" Target="../media/image9.emf"/><Relationship Id="rId4" Type="http://schemas.openxmlformats.org/officeDocument/2006/relationships/control" Target="../activeX/activeX27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10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30.xml"/><Relationship Id="rId5" Type="http://schemas.openxmlformats.org/officeDocument/2006/relationships/image" Target="../media/image9.emf"/><Relationship Id="rId4" Type="http://schemas.openxmlformats.org/officeDocument/2006/relationships/control" Target="../activeX/activeX29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10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32.xml"/><Relationship Id="rId5" Type="http://schemas.openxmlformats.org/officeDocument/2006/relationships/image" Target="../media/image9.emf"/><Relationship Id="rId4" Type="http://schemas.openxmlformats.org/officeDocument/2006/relationships/control" Target="../activeX/activeX31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13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34.xml"/><Relationship Id="rId5" Type="http://schemas.openxmlformats.org/officeDocument/2006/relationships/image" Target="../media/image11.emf"/><Relationship Id="rId4" Type="http://schemas.openxmlformats.org/officeDocument/2006/relationships/control" Target="../activeX/activeX33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10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36.xml"/><Relationship Id="rId5" Type="http://schemas.openxmlformats.org/officeDocument/2006/relationships/image" Target="../media/image9.emf"/><Relationship Id="rId4" Type="http://schemas.openxmlformats.org/officeDocument/2006/relationships/control" Target="../activeX/activeX35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10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38.xml"/><Relationship Id="rId5" Type="http://schemas.openxmlformats.org/officeDocument/2006/relationships/image" Target="../media/image9.emf"/><Relationship Id="rId4" Type="http://schemas.openxmlformats.org/officeDocument/2006/relationships/control" Target="../activeX/activeX37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10.emf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40.xml"/><Relationship Id="rId5" Type="http://schemas.openxmlformats.org/officeDocument/2006/relationships/image" Target="../media/image9.emf"/><Relationship Id="rId4" Type="http://schemas.openxmlformats.org/officeDocument/2006/relationships/control" Target="../activeX/activeX39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10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42.xml"/><Relationship Id="rId5" Type="http://schemas.openxmlformats.org/officeDocument/2006/relationships/image" Target="../media/image9.emf"/><Relationship Id="rId4" Type="http://schemas.openxmlformats.org/officeDocument/2006/relationships/control" Target="../activeX/activeX41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10.emf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44.xml"/><Relationship Id="rId5" Type="http://schemas.openxmlformats.org/officeDocument/2006/relationships/image" Target="../media/image9.emf"/><Relationship Id="rId4" Type="http://schemas.openxmlformats.org/officeDocument/2006/relationships/control" Target="../activeX/activeX43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23.vml"/><Relationship Id="rId7" Type="http://schemas.openxmlformats.org/officeDocument/2006/relationships/image" Target="../media/image10.emf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46.xml"/><Relationship Id="rId5" Type="http://schemas.openxmlformats.org/officeDocument/2006/relationships/image" Target="../media/image9.emf"/><Relationship Id="rId4" Type="http://schemas.openxmlformats.org/officeDocument/2006/relationships/control" Target="../activeX/activeX45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vmlDrawing" Target="../drawings/vmlDrawing24.vml"/><Relationship Id="rId7" Type="http://schemas.openxmlformats.org/officeDocument/2006/relationships/image" Target="../media/image10.emf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48.xml"/><Relationship Id="rId5" Type="http://schemas.openxmlformats.org/officeDocument/2006/relationships/image" Target="../media/image9.emf"/><Relationship Id="rId4" Type="http://schemas.openxmlformats.org/officeDocument/2006/relationships/control" Target="../activeX/activeX47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3" Type="http://schemas.openxmlformats.org/officeDocument/2006/relationships/vmlDrawing" Target="../drawings/vmlDrawing25.vml"/><Relationship Id="rId7" Type="http://schemas.openxmlformats.org/officeDocument/2006/relationships/image" Target="../media/image10.emf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50.xml"/><Relationship Id="rId5" Type="http://schemas.openxmlformats.org/officeDocument/2006/relationships/image" Target="../media/image9.emf"/><Relationship Id="rId4" Type="http://schemas.openxmlformats.org/officeDocument/2006/relationships/control" Target="../activeX/activeX49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vmlDrawing" Target="../drawings/vmlDrawing26.vml"/><Relationship Id="rId7" Type="http://schemas.openxmlformats.org/officeDocument/2006/relationships/image" Target="../media/image10.emf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6" Type="http://schemas.openxmlformats.org/officeDocument/2006/relationships/control" Target="../activeX/activeX52.xml"/><Relationship Id="rId5" Type="http://schemas.openxmlformats.org/officeDocument/2006/relationships/image" Target="../media/image9.emf"/><Relationship Id="rId4" Type="http://schemas.openxmlformats.org/officeDocument/2006/relationships/control" Target="../activeX/activeX51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vmlDrawing" Target="../drawings/vmlDrawing27.vml"/><Relationship Id="rId7" Type="http://schemas.openxmlformats.org/officeDocument/2006/relationships/image" Target="../media/image10.emf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54.xml"/><Relationship Id="rId5" Type="http://schemas.openxmlformats.org/officeDocument/2006/relationships/image" Target="../media/image9.emf"/><Relationship Id="rId4" Type="http://schemas.openxmlformats.org/officeDocument/2006/relationships/control" Target="../activeX/activeX53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.xml"/><Relationship Id="rId3" Type="http://schemas.openxmlformats.org/officeDocument/2006/relationships/vmlDrawing" Target="../drawings/vmlDrawing28.vml"/><Relationship Id="rId7" Type="http://schemas.openxmlformats.org/officeDocument/2006/relationships/image" Target="../media/image10.emf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openxmlformats.org/officeDocument/2006/relationships/control" Target="../activeX/activeX56.xml"/><Relationship Id="rId5" Type="http://schemas.openxmlformats.org/officeDocument/2006/relationships/image" Target="../media/image9.emf"/><Relationship Id="rId4" Type="http://schemas.openxmlformats.org/officeDocument/2006/relationships/control" Target="../activeX/activeX55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29.vml"/><Relationship Id="rId7" Type="http://schemas.openxmlformats.org/officeDocument/2006/relationships/image" Target="../media/image10.emf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6" Type="http://schemas.openxmlformats.org/officeDocument/2006/relationships/control" Target="../activeX/activeX58.xml"/><Relationship Id="rId5" Type="http://schemas.openxmlformats.org/officeDocument/2006/relationships/image" Target="../media/image9.emf"/><Relationship Id="rId4" Type="http://schemas.openxmlformats.org/officeDocument/2006/relationships/control" Target="../activeX/activeX57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30.vml"/><Relationship Id="rId7" Type="http://schemas.openxmlformats.org/officeDocument/2006/relationships/image" Target="../media/image10.emf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6" Type="http://schemas.openxmlformats.org/officeDocument/2006/relationships/control" Target="../activeX/activeX60.xml"/><Relationship Id="rId5" Type="http://schemas.openxmlformats.org/officeDocument/2006/relationships/image" Target="../media/image9.emf"/><Relationship Id="rId4" Type="http://schemas.openxmlformats.org/officeDocument/2006/relationships/control" Target="../activeX/activeX59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3" Type="http://schemas.openxmlformats.org/officeDocument/2006/relationships/vmlDrawing" Target="../drawings/vmlDrawing31.vml"/><Relationship Id="rId7" Type="http://schemas.openxmlformats.org/officeDocument/2006/relationships/image" Target="../media/image9.emf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ntrol" Target="../activeX/activeX62.xml"/><Relationship Id="rId5" Type="http://schemas.openxmlformats.org/officeDocument/2006/relationships/image" Target="../media/image10.emf"/><Relationship Id="rId4" Type="http://schemas.openxmlformats.org/officeDocument/2006/relationships/control" Target="../activeX/activeX61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8"/>
  <dimension ref="A1:M98"/>
  <sheetViews>
    <sheetView showGridLines="0" zoomScaleNormal="100" workbookViewId="0">
      <pane xSplit="3" ySplit="7" topLeftCell="E8" activePane="bottomRight" state="frozen"/>
      <selection activeCell="C8" sqref="C8"/>
      <selection pane="topRight" activeCell="C8" sqref="C8"/>
      <selection pane="bottomLeft" activeCell="C8" sqref="C8"/>
      <selection pane="bottomRight" activeCell="K8" sqref="K8"/>
    </sheetView>
  </sheetViews>
  <sheetFormatPr baseColWidth="10" defaultColWidth="11.453125" defaultRowHeight="13" x14ac:dyDescent="0.25"/>
  <cols>
    <col min="1" max="2" width="5.6328125" style="1" customWidth="1"/>
    <col min="3" max="3" width="6.6328125" style="1" customWidth="1"/>
    <col min="4" max="4" width="7.54296875" style="1" customWidth="1"/>
    <col min="5" max="5" width="44.453125" style="21" customWidth="1"/>
    <col min="6" max="6" width="10.54296875" style="1" customWidth="1"/>
    <col min="7" max="7" width="13.90625" style="1" customWidth="1"/>
    <col min="8" max="8" width="4.6328125" style="1" customWidth="1"/>
    <col min="9" max="9" width="6.08984375" style="1" customWidth="1"/>
    <col min="10" max="10" width="26.54296875" style="1" customWidth="1"/>
    <col min="11" max="11" width="7.36328125" style="1" customWidth="1"/>
    <col min="12" max="12" width="27" style="24" customWidth="1"/>
    <col min="13" max="13" width="26" style="1" customWidth="1"/>
    <col min="14" max="16384" width="11.453125" style="1"/>
  </cols>
  <sheetData>
    <row r="1" spans="1:13" ht="12.75" customHeight="1" x14ac:dyDescent="0.25">
      <c r="E1" s="71" t="s">
        <v>1023</v>
      </c>
      <c r="F1" s="72"/>
      <c r="L1" s="73" t="s">
        <v>1021</v>
      </c>
      <c r="M1" s="44" t="s">
        <v>1022</v>
      </c>
    </row>
    <row r="2" spans="1:13" ht="12.75" customHeight="1" x14ac:dyDescent="0.25">
      <c r="E2" s="72"/>
      <c r="F2" s="72"/>
      <c r="L2" s="74"/>
      <c r="M2" s="70">
        <v>42705</v>
      </c>
    </row>
    <row r="3" spans="1:13" ht="12.75" customHeight="1" x14ac:dyDescent="0.25">
      <c r="E3" s="72"/>
      <c r="F3" s="72"/>
      <c r="L3" s="41"/>
      <c r="M3" s="70"/>
    </row>
    <row r="4" spans="1:13" ht="15.75" customHeight="1" x14ac:dyDescent="0.25">
      <c r="E4" s="72"/>
      <c r="F4" s="72"/>
      <c r="L4" s="38" t="s">
        <v>140</v>
      </c>
      <c r="M4" s="70"/>
    </row>
    <row r="5" spans="1:13" ht="21.9" customHeight="1" thickBot="1" x14ac:dyDescent="0.3">
      <c r="L5" s="36"/>
      <c r="M5" s="69">
        <f>M2</f>
        <v>42705</v>
      </c>
    </row>
    <row r="6" spans="1:13" ht="24.9" customHeight="1" x14ac:dyDescent="0.25">
      <c r="A6" s="75" t="s">
        <v>2351</v>
      </c>
      <c r="B6" s="75" t="s">
        <v>2350</v>
      </c>
      <c r="C6" s="76" t="s">
        <v>1362</v>
      </c>
      <c r="D6" s="75" t="s">
        <v>1153</v>
      </c>
      <c r="E6" s="75" t="s">
        <v>1016</v>
      </c>
      <c r="F6" s="76" t="s">
        <v>2352</v>
      </c>
      <c r="G6" s="76" t="s">
        <v>1017</v>
      </c>
      <c r="H6" s="79"/>
      <c r="I6" s="76" t="s">
        <v>1364</v>
      </c>
      <c r="J6" s="76" t="s">
        <v>1363</v>
      </c>
      <c r="K6" s="83" t="s">
        <v>1018</v>
      </c>
      <c r="L6" s="84"/>
      <c r="M6" s="84"/>
    </row>
    <row r="7" spans="1:13" ht="12.5" x14ac:dyDescent="0.25">
      <c r="A7" s="75"/>
      <c r="B7" s="75"/>
      <c r="C7" s="77"/>
      <c r="D7" s="75"/>
      <c r="E7" s="75"/>
      <c r="F7" s="78"/>
      <c r="G7" s="80"/>
      <c r="H7" s="81"/>
      <c r="I7" s="77"/>
      <c r="J7" s="77"/>
      <c r="K7" s="42" t="s">
        <v>1015</v>
      </c>
      <c r="L7" s="42" t="s">
        <v>1019</v>
      </c>
      <c r="M7" s="32" t="s">
        <v>1020</v>
      </c>
    </row>
    <row r="8" spans="1:13" ht="30" customHeight="1" x14ac:dyDescent="0.25">
      <c r="A8" s="45"/>
      <c r="B8" s="45"/>
      <c r="C8" s="58"/>
      <c r="D8" s="47"/>
      <c r="E8" s="27"/>
      <c r="F8" s="31"/>
      <c r="G8" s="82"/>
      <c r="H8" s="82"/>
      <c r="I8" s="34"/>
      <c r="J8" s="33"/>
      <c r="K8" s="19"/>
      <c r="L8" s="20"/>
      <c r="M8" s="18"/>
    </row>
    <row r="9" spans="1:13" ht="30" customHeight="1" x14ac:dyDescent="0.25">
      <c r="A9" s="45"/>
      <c r="B9" s="45"/>
      <c r="C9" s="67"/>
      <c r="D9" s="47"/>
      <c r="E9" s="27" t="s">
        <v>1420</v>
      </c>
      <c r="F9" s="31"/>
      <c r="G9" s="82"/>
      <c r="H9" s="82"/>
      <c r="I9" s="35"/>
      <c r="J9" s="33"/>
      <c r="K9" s="19"/>
      <c r="L9" s="20"/>
      <c r="M9" s="37"/>
    </row>
    <row r="10" spans="1:13" ht="30" customHeight="1" x14ac:dyDescent="0.25">
      <c r="A10" s="45"/>
      <c r="B10" s="45"/>
      <c r="C10" s="67"/>
      <c r="D10" s="48"/>
      <c r="E10" s="28"/>
      <c r="F10" s="31"/>
      <c r="G10" s="82" t="str">
        <f>IF(F10=0,"",VLOOKUP(F10,Employés!$A$2:$B$186,2,0))</f>
        <v/>
      </c>
      <c r="H10" s="82"/>
      <c r="I10" s="35"/>
      <c r="J10" s="29"/>
      <c r="K10" s="19"/>
      <c r="L10" s="20" t="s">
        <v>1420</v>
      </c>
      <c r="M10" s="37" t="str">
        <f>IF(I10=0,"",VLOOKUP(I10,Municipalités!$A$2:$B$1290,2,TRUE))</f>
        <v/>
      </c>
    </row>
    <row r="11" spans="1:13" ht="30" customHeight="1" x14ac:dyDescent="0.25">
      <c r="A11" s="45"/>
      <c r="B11" s="45"/>
      <c r="C11" s="57"/>
      <c r="D11" s="47"/>
      <c r="E11" s="28"/>
      <c r="F11" s="31"/>
      <c r="G11" s="82" t="str">
        <f>IF(F11=0,"",VLOOKUP(F11,Employés!$A$2:$B$186,2,0))</f>
        <v/>
      </c>
      <c r="H11" s="82"/>
      <c r="I11" s="35"/>
      <c r="J11" s="29"/>
      <c r="K11" s="19"/>
      <c r="L11" s="20" t="s">
        <v>1420</v>
      </c>
      <c r="M11" s="37" t="str">
        <f>IF(I11=0,"",VLOOKUP(I11,Municipalités!$A$2:$B$1290,2,TRUE))</f>
        <v/>
      </c>
    </row>
    <row r="12" spans="1:13" ht="30" customHeight="1" x14ac:dyDescent="0.25">
      <c r="A12" s="45"/>
      <c r="B12" s="45"/>
      <c r="C12" s="57"/>
      <c r="D12" s="46"/>
      <c r="E12" s="27"/>
      <c r="F12" s="31"/>
      <c r="G12" s="82" t="str">
        <f>IF(F12=0,"",VLOOKUP(F12,Employés!$A$2:$B$186,2,0))</f>
        <v/>
      </c>
      <c r="H12" s="82"/>
      <c r="I12" s="35"/>
      <c r="J12" s="29"/>
      <c r="K12" s="19"/>
      <c r="L12" s="20" t="s">
        <v>1420</v>
      </c>
      <c r="M12" s="37" t="str">
        <f>IF(I12=0,"",VLOOKUP(I12,Municipalités!$A$2:$B$1290,2,TRUE))</f>
        <v/>
      </c>
    </row>
    <row r="13" spans="1:13" ht="30" customHeight="1" x14ac:dyDescent="0.25">
      <c r="A13" s="45"/>
      <c r="B13" s="45"/>
      <c r="C13" s="57"/>
      <c r="D13" s="46"/>
      <c r="E13" s="27" t="s">
        <v>1420</v>
      </c>
      <c r="F13" s="31"/>
      <c r="G13" s="82" t="str">
        <f>IF(F13=0,"",VLOOKUP(F13,Employés!$A$2:$B$186,2,0))</f>
        <v/>
      </c>
      <c r="H13" s="82"/>
      <c r="I13" s="35"/>
      <c r="J13" s="29"/>
      <c r="K13" s="19"/>
      <c r="L13" s="20"/>
      <c r="M13" s="37" t="str">
        <f>IF(I13=0,"",VLOOKUP(I13,Municipalités!$A$2:$B$1290,2,TRUE))</f>
        <v/>
      </c>
    </row>
    <row r="14" spans="1:13" ht="30" customHeight="1" x14ac:dyDescent="0.25">
      <c r="A14" s="45"/>
      <c r="B14" s="45"/>
      <c r="C14" s="57"/>
      <c r="D14" s="47"/>
      <c r="E14" s="27"/>
      <c r="F14" s="31"/>
      <c r="G14" s="82" t="str">
        <f>IF(F14=0,"",VLOOKUP(F14,Employés!$A$2:$B$186,2,0))</f>
        <v/>
      </c>
      <c r="H14" s="82"/>
      <c r="I14" s="35"/>
      <c r="J14" s="29"/>
      <c r="K14" s="19"/>
      <c r="L14" s="20"/>
      <c r="M14" s="37" t="str">
        <f>IF(I14=0,"",VLOOKUP(I14,Municipalités!$A$2:$B$1290,2,TRUE))</f>
        <v/>
      </c>
    </row>
    <row r="15" spans="1:13" ht="30" customHeight="1" x14ac:dyDescent="0.25">
      <c r="A15" s="45"/>
      <c r="B15" s="45"/>
      <c r="C15" s="57"/>
      <c r="D15" s="47"/>
      <c r="E15" s="27"/>
      <c r="F15" s="31"/>
      <c r="G15" s="82" t="str">
        <f>IF(F15=0,"",VLOOKUP(F15,Employés!$A$2:$B$186,2,0))</f>
        <v/>
      </c>
      <c r="H15" s="82"/>
      <c r="I15" s="35"/>
      <c r="J15" s="29"/>
      <c r="K15" s="19"/>
      <c r="L15" s="20"/>
      <c r="M15" s="37" t="str">
        <f>IF(I15=0,"",VLOOKUP(I15,Municipalités!$A$2:$B$1290,2,TRUE))</f>
        <v/>
      </c>
    </row>
    <row r="16" spans="1:13" ht="30" customHeight="1" x14ac:dyDescent="0.25">
      <c r="A16" s="45"/>
      <c r="B16" s="45"/>
      <c r="C16" s="57"/>
      <c r="D16" s="47"/>
      <c r="E16" s="27"/>
      <c r="F16" s="31"/>
      <c r="G16" s="82" t="str">
        <f>IF(F16=0,"",VLOOKUP(F16,Employés!$A$2:$B$186,2,0))</f>
        <v/>
      </c>
      <c r="H16" s="82"/>
      <c r="I16" s="35"/>
      <c r="J16" s="29"/>
      <c r="K16" s="19"/>
      <c r="L16" s="20"/>
      <c r="M16" s="37" t="str">
        <f>IF(I16=0,"",VLOOKUP(I16,Municipalités!$A$2:$B$1290,2,TRUE))</f>
        <v/>
      </c>
    </row>
    <row r="17" spans="1:13" ht="30" customHeight="1" x14ac:dyDescent="0.25">
      <c r="A17" s="45"/>
      <c r="B17" s="45"/>
      <c r="C17" s="57"/>
      <c r="D17" s="47"/>
      <c r="E17" s="27"/>
      <c r="F17" s="31"/>
      <c r="G17" s="82" t="str">
        <f>IF(F17=0,"",VLOOKUP(F17,Employés!$A$2:$B$186,2,0))</f>
        <v/>
      </c>
      <c r="H17" s="82"/>
      <c r="I17" s="35"/>
      <c r="J17" s="29"/>
      <c r="K17" s="19"/>
      <c r="L17" s="20"/>
      <c r="M17" s="37" t="str">
        <f>IF(I17=0,"",VLOOKUP(I17,Municipalités!$A$2:$B$1290,2,TRUE))</f>
        <v/>
      </c>
    </row>
    <row r="18" spans="1:13" ht="30" customHeight="1" x14ac:dyDescent="0.25">
      <c r="A18" s="45"/>
      <c r="B18" s="45"/>
      <c r="C18" s="57"/>
      <c r="D18" s="47"/>
      <c r="E18" s="27"/>
      <c r="F18" s="31"/>
      <c r="G18" s="82" t="str">
        <f>IF(F18=0,"",VLOOKUP(F18,Employés!$A$2:$B$186,2,0))</f>
        <v/>
      </c>
      <c r="H18" s="82"/>
      <c r="I18" s="35"/>
      <c r="J18" s="29"/>
      <c r="K18" s="19"/>
      <c r="L18" s="20"/>
      <c r="M18" s="37" t="str">
        <f>IF(I18=0,"",VLOOKUP(I18,Municipalités!$A$2:$B$1290,2,TRUE))</f>
        <v/>
      </c>
    </row>
    <row r="19" spans="1:13" ht="30" customHeight="1" x14ac:dyDescent="0.25">
      <c r="A19" s="45"/>
      <c r="B19" s="45"/>
      <c r="C19" s="57"/>
      <c r="D19" s="46"/>
      <c r="E19" s="27"/>
      <c r="F19" s="31"/>
      <c r="G19" s="82" t="str">
        <f>IF(F19=0,"",VLOOKUP(F19,Employés!$A$2:$B$186,2,0))</f>
        <v/>
      </c>
      <c r="H19" s="82"/>
      <c r="I19" s="35"/>
      <c r="J19" s="29"/>
      <c r="K19" s="19"/>
      <c r="L19" s="20"/>
      <c r="M19" s="37" t="str">
        <f>IF(I19=0,"",VLOOKUP(I19,Municipalités!$A$2:$B$1290,2,TRUE))</f>
        <v/>
      </c>
    </row>
    <row r="20" spans="1:13" ht="30" customHeight="1" x14ac:dyDescent="0.25">
      <c r="A20" s="45"/>
      <c r="B20" s="45"/>
      <c r="C20" s="57"/>
      <c r="D20" s="47"/>
      <c r="E20" s="27"/>
      <c r="F20" s="31"/>
      <c r="G20" s="82" t="str">
        <f>IF(F20=0,"",VLOOKUP(F20,Employés!$A$2:$B$186,2,0))</f>
        <v/>
      </c>
      <c r="H20" s="82"/>
      <c r="I20" s="35"/>
      <c r="J20" s="29"/>
      <c r="K20" s="19"/>
      <c r="L20" s="20"/>
      <c r="M20" s="37" t="str">
        <f>IF(I20=0,"",VLOOKUP(I20,Municipalités!$A$2:$B$1290,2,TRUE))</f>
        <v/>
      </c>
    </row>
    <row r="21" spans="1:13" ht="30" customHeight="1" x14ac:dyDescent="0.25">
      <c r="A21" s="45"/>
      <c r="B21" s="45"/>
      <c r="C21" s="57"/>
      <c r="D21" s="47"/>
      <c r="E21" s="27"/>
      <c r="F21" s="31"/>
      <c r="G21" s="82" t="str">
        <f>IF(F21=0,"",VLOOKUP(F21,Employés!$A$2:$B$186,2,0))</f>
        <v/>
      </c>
      <c r="H21" s="82"/>
      <c r="I21" s="35"/>
      <c r="J21" s="29"/>
      <c r="K21" s="19"/>
      <c r="L21" s="20"/>
      <c r="M21" s="37" t="str">
        <f>IF(I21=0,"",VLOOKUP(I21,Municipalités!$A$2:$B$1290,2,TRUE))</f>
        <v/>
      </c>
    </row>
    <row r="22" spans="1:13" ht="30" customHeight="1" x14ac:dyDescent="0.25">
      <c r="A22" s="45"/>
      <c r="B22" s="45"/>
      <c r="C22" s="57"/>
      <c r="D22" s="46"/>
      <c r="E22" s="27"/>
      <c r="F22" s="31"/>
      <c r="G22" s="82" t="str">
        <f>IF(F22=0,"",VLOOKUP(F22,Employés!$A$2:$B$186,2,0))</f>
        <v/>
      </c>
      <c r="H22" s="82"/>
      <c r="I22" s="35"/>
      <c r="J22" s="29"/>
      <c r="K22" s="19"/>
      <c r="L22" s="20"/>
      <c r="M22" s="37" t="str">
        <f>IF(I22=0,"",VLOOKUP(I22,Municipalités!$A$2:$B$1290,2,TRUE))</f>
        <v/>
      </c>
    </row>
    <row r="23" spans="1:13" ht="30" customHeight="1" x14ac:dyDescent="0.25">
      <c r="A23" s="45"/>
      <c r="B23" s="45"/>
      <c r="C23" s="57"/>
      <c r="D23" s="47"/>
      <c r="E23" s="27"/>
      <c r="F23" s="31"/>
      <c r="G23" s="82" t="str">
        <f>IF(F23=0,"",VLOOKUP(F23,Employés!$A$2:$B$186,2,0))</f>
        <v/>
      </c>
      <c r="H23" s="82"/>
      <c r="I23" s="35"/>
      <c r="J23" s="29"/>
      <c r="K23" s="19"/>
      <c r="L23" s="20"/>
      <c r="M23" s="37" t="str">
        <f>IF(I23=0,"",VLOOKUP(I23,Municipalités!$A$2:$B$1290,2,TRUE))</f>
        <v/>
      </c>
    </row>
    <row r="24" spans="1:13" ht="30" customHeight="1" x14ac:dyDescent="0.25">
      <c r="A24" s="45"/>
      <c r="B24" s="45"/>
      <c r="C24" s="57"/>
      <c r="D24" s="46"/>
      <c r="E24" s="27"/>
      <c r="F24" s="31"/>
      <c r="G24" s="82" t="str">
        <f>IF(F24=0,"",VLOOKUP(F24,Employés!$A$2:$B$186,2,0))</f>
        <v/>
      </c>
      <c r="H24" s="82"/>
      <c r="I24" s="35"/>
      <c r="J24" s="29"/>
      <c r="K24" s="19"/>
      <c r="L24" s="20"/>
      <c r="M24" s="37" t="str">
        <f>IF(I24=0,"",VLOOKUP(I24,Municipalités!$A$2:$B$1290,2,TRUE))</f>
        <v/>
      </c>
    </row>
    <row r="25" spans="1:13" ht="30" customHeight="1" x14ac:dyDescent="0.25">
      <c r="A25" s="45"/>
      <c r="B25" s="45"/>
      <c r="C25" s="57"/>
      <c r="D25" s="47"/>
      <c r="E25" s="27"/>
      <c r="F25" s="31"/>
      <c r="G25" s="82" t="str">
        <f>IF(F25=0,"",VLOOKUP(F25,Employés!$A$2:$B$186,2,0))</f>
        <v/>
      </c>
      <c r="H25" s="82"/>
      <c r="I25" s="35"/>
      <c r="J25" s="29"/>
      <c r="K25" s="19"/>
      <c r="L25" s="20"/>
      <c r="M25" s="37" t="str">
        <f>IF(I25=0,"",VLOOKUP(I25,Municipalités!$A$2:$B$1290,2,TRUE))</f>
        <v/>
      </c>
    </row>
    <row r="26" spans="1:13" ht="30" customHeight="1" x14ac:dyDescent="0.25">
      <c r="A26" s="45"/>
      <c r="B26" s="45"/>
      <c r="C26" s="57"/>
      <c r="D26" s="46"/>
      <c r="E26" s="27"/>
      <c r="F26" s="31"/>
      <c r="G26" s="82" t="str">
        <f>IF(F26=0,"",VLOOKUP(F26,Employés!$A$2:$B$186,2,0))</f>
        <v/>
      </c>
      <c r="H26" s="82"/>
      <c r="I26" s="35"/>
      <c r="J26" s="29"/>
      <c r="K26" s="19"/>
      <c r="L26" s="20"/>
      <c r="M26" s="37" t="str">
        <f>IF(I26=0,"",VLOOKUP(I26,Municipalités!$A$2:$B$1290,2,TRUE))</f>
        <v/>
      </c>
    </row>
    <row r="27" spans="1:13" ht="30" customHeight="1" x14ac:dyDescent="0.25">
      <c r="A27" s="45"/>
      <c r="B27" s="45"/>
      <c r="C27" s="58"/>
      <c r="D27" s="46"/>
      <c r="E27" s="27"/>
      <c r="F27" s="31"/>
      <c r="G27" s="82" t="str">
        <f>IF(F27=0,"",VLOOKUP(F27,Employés!$A$2:$B$186,2,0))</f>
        <v/>
      </c>
      <c r="H27" s="82"/>
      <c r="I27" s="35"/>
      <c r="J27" s="29"/>
      <c r="K27" s="19"/>
      <c r="L27" s="20"/>
      <c r="M27" s="37" t="str">
        <f>IF(I27=0,"",VLOOKUP(I27,Municipalités!$A$2:$B$1290,2,TRUE))</f>
        <v/>
      </c>
    </row>
    <row r="28" spans="1:13" ht="30" customHeight="1" x14ac:dyDescent="0.25">
      <c r="A28" s="45"/>
      <c r="B28" s="45"/>
      <c r="C28" s="58"/>
      <c r="D28" s="47"/>
      <c r="E28" s="27"/>
      <c r="F28" s="31"/>
      <c r="G28" s="82" t="str">
        <f>IF(F28=0,"",VLOOKUP(F28,Employés!$A$2:$B$186,2,0))</f>
        <v/>
      </c>
      <c r="H28" s="82"/>
      <c r="I28" s="35"/>
      <c r="J28" s="29"/>
      <c r="K28" s="19"/>
      <c r="L28" s="20"/>
      <c r="M28" s="37" t="str">
        <f>IF(I28=0,"",VLOOKUP(I28,Municipalités!$A$2:$B$1290,2,TRUE))</f>
        <v/>
      </c>
    </row>
    <row r="29" spans="1:13" ht="30" customHeight="1" x14ac:dyDescent="0.25">
      <c r="A29" s="45"/>
      <c r="B29" s="45"/>
      <c r="C29" s="58"/>
      <c r="D29" s="47"/>
      <c r="E29" s="27"/>
      <c r="F29" s="31"/>
      <c r="G29" s="82" t="str">
        <f>IF(F29=0,"",VLOOKUP(F29,Employés!$A$2:$B$186,2,0))</f>
        <v/>
      </c>
      <c r="H29" s="82"/>
      <c r="I29" s="35"/>
      <c r="J29" s="29"/>
      <c r="K29" s="19"/>
      <c r="L29" s="20"/>
      <c r="M29" s="37" t="str">
        <f>IF(I29=0,"",VLOOKUP(I29,Municipalités!$A$2:$B$1290,2,TRUE))</f>
        <v/>
      </c>
    </row>
    <row r="30" spans="1:13" ht="30" customHeight="1" x14ac:dyDescent="0.25">
      <c r="A30" s="45"/>
      <c r="B30" s="45"/>
      <c r="C30" s="58"/>
      <c r="D30" s="47"/>
      <c r="E30" s="27"/>
      <c r="F30" s="31"/>
      <c r="G30" s="82" t="str">
        <f>IF(F30=0,"",VLOOKUP(F30,Employés!$A$2:$B$186,2,0))</f>
        <v/>
      </c>
      <c r="H30" s="82"/>
      <c r="I30" s="35"/>
      <c r="J30" s="29"/>
      <c r="K30" s="19"/>
      <c r="L30" s="20"/>
      <c r="M30" s="37" t="str">
        <f>IF(I30=0,"",VLOOKUP(I30,Municipalités!$A$2:$B$1290,2,TRUE))</f>
        <v/>
      </c>
    </row>
    <row r="31" spans="1:13" ht="30" customHeight="1" x14ac:dyDescent="0.25">
      <c r="A31" s="45"/>
      <c r="B31" s="45"/>
      <c r="C31" s="58"/>
      <c r="D31" s="47"/>
      <c r="E31" s="27"/>
      <c r="F31" s="31"/>
      <c r="G31" s="82" t="str">
        <f>IF(F31=0,"",VLOOKUP(F31,Employés!$A$2:$B$186,2,0))</f>
        <v/>
      </c>
      <c r="H31" s="82"/>
      <c r="I31" s="35"/>
      <c r="J31" s="29"/>
      <c r="K31" s="19"/>
      <c r="L31" s="20"/>
      <c r="M31" s="37" t="str">
        <f>IF(I31=0,"",VLOOKUP(I31,Municipalités!$A$2:$B$1290,2,TRUE))</f>
        <v/>
      </c>
    </row>
    <row r="32" spans="1:13" ht="30" customHeight="1" x14ac:dyDescent="0.25">
      <c r="A32" s="45"/>
      <c r="B32" s="45"/>
      <c r="C32" s="58"/>
      <c r="D32" s="47"/>
      <c r="E32" s="27"/>
      <c r="F32" s="31"/>
      <c r="G32" s="82" t="str">
        <f>IF(F32=0,"",VLOOKUP(F32,Employés!$A$2:$B$186,2,0))</f>
        <v/>
      </c>
      <c r="H32" s="82"/>
      <c r="I32" s="35"/>
      <c r="J32" s="29"/>
      <c r="K32" s="19"/>
      <c r="L32" s="20"/>
      <c r="M32" s="37" t="str">
        <f>IF(I32=0,"",VLOOKUP(I32,Municipalités!$A$2:$B$1290,2,TRUE))</f>
        <v/>
      </c>
    </row>
    <row r="33" spans="1:13" ht="30" customHeight="1" x14ac:dyDescent="0.25">
      <c r="A33" s="45"/>
      <c r="B33" s="45"/>
      <c r="C33" s="58"/>
      <c r="D33" s="47"/>
      <c r="E33" s="27"/>
      <c r="F33" s="31"/>
      <c r="G33" s="82" t="str">
        <f>IF(F33=0,"",VLOOKUP(F33,Employés!$A$2:$B$186,2,0))</f>
        <v/>
      </c>
      <c r="H33" s="82"/>
      <c r="I33" s="35"/>
      <c r="J33" s="29"/>
      <c r="K33" s="19"/>
      <c r="L33" s="20"/>
      <c r="M33" s="37" t="str">
        <f>IF(I33=0,"",VLOOKUP(I33,Municipalités!$A$2:$B$1290,2,TRUE))</f>
        <v/>
      </c>
    </row>
    <row r="34" spans="1:13" ht="30" customHeight="1" x14ac:dyDescent="0.25">
      <c r="A34" s="45"/>
      <c r="B34" s="45"/>
      <c r="C34" s="58"/>
      <c r="D34" s="47"/>
      <c r="E34" s="27"/>
      <c r="F34" s="31"/>
      <c r="G34" s="82" t="str">
        <f>IF(F34=0,"",VLOOKUP(F34,Employés!$A$2:$B$186,2,0))</f>
        <v/>
      </c>
      <c r="H34" s="82"/>
      <c r="I34" s="35"/>
      <c r="J34" s="29"/>
      <c r="K34" s="19"/>
      <c r="L34" s="20"/>
      <c r="M34" s="37" t="str">
        <f>IF(I34=0,"",VLOOKUP(I34,Municipalités!$A$2:$B$1290,2,TRUE))</f>
        <v/>
      </c>
    </row>
    <row r="35" spans="1:13" ht="30" customHeight="1" x14ac:dyDescent="0.25">
      <c r="A35" s="45"/>
      <c r="B35" s="45"/>
      <c r="C35" s="58"/>
      <c r="D35" s="47"/>
      <c r="E35" s="27"/>
      <c r="F35" s="31"/>
      <c r="G35" s="82" t="str">
        <f>IF(F35=0,"",VLOOKUP(F35,Employés!$A$2:$B$186,2,0))</f>
        <v/>
      </c>
      <c r="H35" s="82"/>
      <c r="I35" s="35"/>
      <c r="J35" s="29"/>
      <c r="K35" s="19"/>
      <c r="L35" s="20"/>
      <c r="M35" s="37" t="str">
        <f>IF(I35=0,"",VLOOKUP(I35,Municipalités!$A$2:$B$1290,2,TRUE))</f>
        <v/>
      </c>
    </row>
    <row r="36" spans="1:13" ht="30" customHeight="1" x14ac:dyDescent="0.25">
      <c r="A36" s="45"/>
      <c r="B36" s="45"/>
      <c r="C36" s="58"/>
      <c r="D36" s="47"/>
      <c r="E36" s="27"/>
      <c r="F36" s="31"/>
      <c r="G36" s="82" t="str">
        <f>IF(F36=0,"",VLOOKUP(F36,Employés!$A$2:$B$186,2,0))</f>
        <v/>
      </c>
      <c r="H36" s="82"/>
      <c r="I36" s="35"/>
      <c r="J36" s="29"/>
      <c r="K36" s="19"/>
      <c r="L36" s="20"/>
      <c r="M36" s="37" t="str">
        <f>IF(I36=0,"",VLOOKUP(I36,Municipalités!$A$2:$B$1290,2,TRUE))</f>
        <v/>
      </c>
    </row>
    <row r="37" spans="1:13" ht="30" customHeight="1" x14ac:dyDescent="0.25">
      <c r="A37" s="45"/>
      <c r="B37" s="45"/>
      <c r="C37" s="58"/>
      <c r="D37" s="47"/>
      <c r="E37" s="27"/>
      <c r="F37" s="31"/>
      <c r="G37" s="82" t="str">
        <f>IF(F37=0,"",VLOOKUP(F37,Employés!$A$2:$B$186,2,0))</f>
        <v/>
      </c>
      <c r="H37" s="82"/>
      <c r="I37" s="35"/>
      <c r="J37" s="29"/>
      <c r="K37" s="19"/>
      <c r="L37" s="20"/>
      <c r="M37" s="37" t="str">
        <f>IF(I37=0,"",VLOOKUP(I37,Municipalités!$A$2:$B$1290,2,TRUE))</f>
        <v/>
      </c>
    </row>
    <row r="38" spans="1:13" ht="30" customHeight="1" x14ac:dyDescent="0.25">
      <c r="A38" s="45"/>
      <c r="B38" s="45"/>
      <c r="C38" s="58"/>
      <c r="D38" s="47"/>
      <c r="E38" s="27"/>
      <c r="F38" s="31"/>
      <c r="G38" s="82" t="str">
        <f>IF(F38=0,"",VLOOKUP(F38,Employés!$A$2:$B$186,2,0))</f>
        <v/>
      </c>
      <c r="H38" s="82"/>
      <c r="I38" s="35"/>
      <c r="J38" s="29"/>
      <c r="K38" s="19"/>
      <c r="L38" s="20"/>
      <c r="M38" s="37" t="str">
        <f>IF(I38=0,"",VLOOKUP(I38,Municipalités!$A$2:$B$1290,2,TRUE))</f>
        <v/>
      </c>
    </row>
    <row r="39" spans="1:13" ht="30" customHeight="1" x14ac:dyDescent="0.25">
      <c r="A39" s="45"/>
      <c r="B39" s="45"/>
      <c r="C39" s="58"/>
      <c r="D39" s="45"/>
      <c r="E39" s="27"/>
      <c r="F39" s="31"/>
      <c r="G39" s="82" t="str">
        <f>IF(F39=0,"",VLOOKUP(F39,Employés!$A$2:$B$186,2,0))</f>
        <v/>
      </c>
      <c r="H39" s="82"/>
      <c r="I39" s="35"/>
      <c r="J39" s="29"/>
      <c r="K39" s="26"/>
      <c r="L39" s="25"/>
      <c r="M39" s="37" t="str">
        <f>IF(I39=0,"",VLOOKUP(I39,Municipalités!$A$2:$B$1290,2,TRUE))</f>
        <v/>
      </c>
    </row>
    <row r="40" spans="1:13" ht="30" customHeight="1" x14ac:dyDescent="0.25">
      <c r="A40" s="8"/>
      <c r="B40" s="8"/>
      <c r="C40" s="58"/>
      <c r="D40" s="8"/>
      <c r="E40" s="27"/>
      <c r="F40" s="31"/>
      <c r="G40" s="82" t="str">
        <f>IF(F40=0,"",VLOOKUP(F40,Employés!$A$2:$B$186,2,0))</f>
        <v/>
      </c>
      <c r="H40" s="82"/>
      <c r="I40" s="35"/>
      <c r="J40" s="29"/>
      <c r="K40" s="26"/>
      <c r="L40" s="25"/>
      <c r="M40" s="37" t="str">
        <f>IF(I40=0,"",VLOOKUP(I40,Municipalités!$A$2:$B$1290,2,TRUE))</f>
        <v/>
      </c>
    </row>
    <row r="41" spans="1:13" ht="30" customHeight="1" x14ac:dyDescent="0.25">
      <c r="A41" s="8"/>
      <c r="B41" s="8"/>
      <c r="C41" s="58"/>
      <c r="D41" s="8"/>
      <c r="E41" s="27"/>
      <c r="F41" s="31"/>
      <c r="G41" s="82" t="str">
        <f>IF(F41=0,"",VLOOKUP(F41,Employés!$A$2:$B$186,2,0))</f>
        <v/>
      </c>
      <c r="H41" s="82"/>
      <c r="I41" s="35"/>
      <c r="J41" s="29"/>
      <c r="K41" s="26"/>
      <c r="L41" s="25"/>
      <c r="M41" s="37" t="str">
        <f>IF(I41=0,"",VLOOKUP(I41,Municipalités!$A$2:$B$1290,2,TRUE))</f>
        <v/>
      </c>
    </row>
    <row r="42" spans="1:13" ht="30" customHeight="1" x14ac:dyDescent="0.25">
      <c r="A42" s="8"/>
      <c r="B42" s="8"/>
      <c r="C42" s="58"/>
      <c r="D42" s="8"/>
      <c r="E42" s="27"/>
      <c r="F42" s="31"/>
      <c r="G42" s="82" t="str">
        <f>IF(F42=0,"",VLOOKUP(F42,Employés!$A$2:$B$186,2,0))</f>
        <v/>
      </c>
      <c r="H42" s="82"/>
      <c r="I42" s="35"/>
      <c r="J42" s="29"/>
      <c r="K42" s="26"/>
      <c r="L42" s="25"/>
      <c r="M42" s="37" t="str">
        <f>IF(I42=0,"",VLOOKUP(I42,Municipalités!$A$2:$B$1290,2,TRUE))</f>
        <v/>
      </c>
    </row>
    <row r="43" spans="1:13" ht="30" customHeight="1" x14ac:dyDescent="0.25">
      <c r="A43" s="8"/>
      <c r="B43" s="8"/>
      <c r="C43" s="30"/>
      <c r="D43" s="8"/>
      <c r="E43" s="27"/>
      <c r="F43" s="31"/>
      <c r="G43" s="82" t="str">
        <f>IF(F43=0,"",VLOOKUP(F43,Employés!$A$2:$B$186,2,0))</f>
        <v/>
      </c>
      <c r="H43" s="82"/>
      <c r="I43" s="35"/>
      <c r="J43" s="29"/>
      <c r="K43" s="26"/>
      <c r="L43" s="25" t="s">
        <v>1420</v>
      </c>
      <c r="M43" s="37" t="str">
        <f>IF(I43=0,"",VLOOKUP(I43,Municipalités!$A$2:$B$1290,2,TRUE))</f>
        <v/>
      </c>
    </row>
    <row r="44" spans="1:13" ht="30" customHeight="1" x14ac:dyDescent="0.25">
      <c r="A44" s="8"/>
      <c r="B44" s="8"/>
      <c r="C44" s="30"/>
      <c r="D44" s="8"/>
      <c r="E44" s="27" t="s">
        <v>1420</v>
      </c>
      <c r="F44" s="31"/>
      <c r="G44" s="82" t="str">
        <f>IF(F44=0,"",VLOOKUP(F44,Employés!$A$2:$B$186,2,0))</f>
        <v/>
      </c>
      <c r="H44" s="82"/>
      <c r="I44" s="35"/>
      <c r="J44" s="29"/>
      <c r="K44" s="26"/>
      <c r="L44" s="25"/>
      <c r="M44" s="37" t="str">
        <f>IF(I44=0,"",VLOOKUP(I44,Municipalités!$A$2:$B$1290,2,TRUE))</f>
        <v/>
      </c>
    </row>
    <row r="45" spans="1:13" ht="30" customHeight="1" x14ac:dyDescent="0.25">
      <c r="A45" s="8"/>
      <c r="B45" s="8"/>
      <c r="C45" s="30"/>
      <c r="D45" s="8"/>
      <c r="E45" s="27"/>
      <c r="F45" s="31"/>
      <c r="G45" s="82" t="str">
        <f>IF(F45=0,"",VLOOKUP(F45,Employés!$A$2:$B$186,2,0))</f>
        <v/>
      </c>
      <c r="H45" s="82"/>
      <c r="I45" s="35"/>
      <c r="J45" s="29"/>
      <c r="K45" s="26"/>
      <c r="L45" s="25"/>
      <c r="M45" s="37" t="str">
        <f>IF(I45=0,"",VLOOKUP(I45,Municipalités!$A$2:$B$1290,2,TRUE))</f>
        <v/>
      </c>
    </row>
    <row r="46" spans="1:13" ht="30" customHeight="1" x14ac:dyDescent="0.25">
      <c r="A46" s="8"/>
      <c r="B46" s="8"/>
      <c r="C46" s="30"/>
      <c r="D46" s="8"/>
      <c r="E46" s="27"/>
      <c r="F46" s="31"/>
      <c r="G46" s="82" t="str">
        <f>IF(F46=0,"",VLOOKUP(F46,Employés!$A$2:$B$186,2,0))</f>
        <v/>
      </c>
      <c r="H46" s="82"/>
      <c r="I46" s="35"/>
      <c r="J46" s="29"/>
      <c r="K46" s="26"/>
      <c r="L46" s="25"/>
      <c r="M46" s="37" t="str">
        <f>IF(I46=0,"",VLOOKUP(I46,Municipalités!$A$2:$B$1290,2,TRUE))</f>
        <v/>
      </c>
    </row>
    <row r="47" spans="1:13" ht="30" customHeight="1" x14ac:dyDescent="0.25">
      <c r="A47" s="8"/>
      <c r="B47" s="8"/>
      <c r="C47" s="30"/>
      <c r="D47" s="8"/>
      <c r="E47" s="27"/>
      <c r="F47" s="31"/>
      <c r="G47" s="82" t="str">
        <f>IF(F47=0,"",VLOOKUP(F47,Employés!$A$2:$B$186,2,0))</f>
        <v/>
      </c>
      <c r="H47" s="82"/>
      <c r="I47" s="35"/>
      <c r="J47" s="29"/>
      <c r="K47" s="26"/>
      <c r="L47" s="25"/>
      <c r="M47" s="37" t="str">
        <f>IF(I47=0,"",VLOOKUP(I47,Municipalités!$A$2:$B$1290,2,TRUE))</f>
        <v/>
      </c>
    </row>
    <row r="48" spans="1:13" ht="30" customHeight="1" x14ac:dyDescent="0.25">
      <c r="A48" s="8"/>
      <c r="B48" s="8"/>
      <c r="C48" s="30"/>
      <c r="D48" s="8"/>
      <c r="E48" s="27"/>
      <c r="F48" s="31"/>
      <c r="G48" s="82" t="str">
        <f>IF(F48=0,"",VLOOKUP(F48,Employés!$A$2:$B$186,2,0))</f>
        <v/>
      </c>
      <c r="H48" s="82"/>
      <c r="I48" s="35"/>
      <c r="J48" s="29"/>
      <c r="K48" s="26"/>
      <c r="L48" s="25"/>
      <c r="M48" s="37" t="str">
        <f>IF(I48=0,"",VLOOKUP(I48,Municipalités!$A$2:$B$1290,2,TRUE))</f>
        <v/>
      </c>
    </row>
    <row r="49" spans="1:13" ht="30" customHeight="1" x14ac:dyDescent="0.25">
      <c r="A49" s="8"/>
      <c r="B49" s="8"/>
      <c r="C49" s="30"/>
      <c r="D49" s="8"/>
      <c r="E49" s="27"/>
      <c r="F49" s="31"/>
      <c r="G49" s="82" t="str">
        <f>IF(F49=0,"",VLOOKUP(F49,Employés!$A$2:$B$186,2,0))</f>
        <v/>
      </c>
      <c r="H49" s="82"/>
      <c r="I49" s="35"/>
      <c r="J49" s="29"/>
      <c r="K49" s="26"/>
      <c r="L49" s="25"/>
      <c r="M49" s="37" t="str">
        <f>IF(I49=0,"",VLOOKUP(I49,Municipalités!$A$2:$B$1290,2,TRUE))</f>
        <v/>
      </c>
    </row>
    <row r="50" spans="1:13" ht="30" customHeight="1" x14ac:dyDescent="0.25">
      <c r="A50" s="8"/>
      <c r="B50" s="8"/>
      <c r="C50" s="30"/>
      <c r="D50" s="8"/>
      <c r="E50" s="27"/>
      <c r="F50" s="31"/>
      <c r="G50" s="82" t="str">
        <f>IF(F50=0,"",VLOOKUP(F50,Employés!$A$2:$B$186,2,0))</f>
        <v/>
      </c>
      <c r="H50" s="82"/>
      <c r="I50" s="35"/>
      <c r="J50" s="29"/>
      <c r="K50" s="26"/>
      <c r="L50" s="25"/>
      <c r="M50" s="37" t="str">
        <f>IF(I50=0,"",VLOOKUP(I50,Municipalités!$A$2:$B$1290,2,TRUE))</f>
        <v/>
      </c>
    </row>
    <row r="51" spans="1:13" ht="30" customHeight="1" x14ac:dyDescent="0.25">
      <c r="A51" s="8"/>
      <c r="B51" s="8"/>
      <c r="C51" s="30"/>
      <c r="D51" s="8"/>
      <c r="E51" s="27"/>
      <c r="F51" s="31"/>
      <c r="G51" s="82" t="str">
        <f>IF(F51=0,"",VLOOKUP(F51,Employés!$A$2:$B$186,2,0))</f>
        <v/>
      </c>
      <c r="H51" s="82"/>
      <c r="I51" s="35"/>
      <c r="J51" s="29"/>
      <c r="K51" s="26"/>
      <c r="L51" s="25"/>
      <c r="M51" s="37" t="str">
        <f>IF(I51=0,"",VLOOKUP(I51,Municipalités!$A$2:$B$1290,2,TRUE))</f>
        <v/>
      </c>
    </row>
    <row r="52" spans="1:13" ht="30" customHeight="1" x14ac:dyDescent="0.25">
      <c r="A52" s="8"/>
      <c r="B52" s="8"/>
      <c r="C52" s="30"/>
      <c r="D52" s="8"/>
      <c r="E52" s="27"/>
      <c r="F52" s="31"/>
      <c r="G52" s="82" t="str">
        <f>IF(F52=0,"",VLOOKUP(F52,Employés!$A$2:$B$186,2,0))</f>
        <v/>
      </c>
      <c r="H52" s="82"/>
      <c r="I52" s="35"/>
      <c r="J52" s="29"/>
      <c r="K52" s="26"/>
      <c r="L52" s="25"/>
      <c r="M52" s="37" t="str">
        <f>IF(I52=0,"",VLOOKUP(I52,Municipalités!$A$2:$B$1290,2,TRUE))</f>
        <v/>
      </c>
    </row>
    <row r="53" spans="1:13" ht="30" customHeight="1" x14ac:dyDescent="0.25">
      <c r="A53" s="8"/>
      <c r="B53" s="8"/>
      <c r="C53" s="30"/>
      <c r="D53" s="8"/>
      <c r="E53" s="27"/>
      <c r="F53" s="31"/>
      <c r="G53" s="82" t="str">
        <f>IF(F53=0,"",VLOOKUP(F53,Employés!$A$2:$B$186,2,0))</f>
        <v/>
      </c>
      <c r="H53" s="82"/>
      <c r="I53" s="35"/>
      <c r="J53" s="29"/>
      <c r="K53" s="26"/>
      <c r="L53" s="25"/>
      <c r="M53" s="37" t="str">
        <f>IF(I53=0,"",VLOOKUP(I53,Municipalités!$A$2:$B$1290,2,TRUE))</f>
        <v/>
      </c>
    </row>
    <row r="54" spans="1:13" ht="30" customHeight="1" x14ac:dyDescent="0.25">
      <c r="A54" s="8"/>
      <c r="B54" s="8"/>
      <c r="C54" s="30"/>
      <c r="D54" s="8"/>
      <c r="E54" s="27"/>
      <c r="F54" s="31"/>
      <c r="G54" s="82" t="str">
        <f>IF(F54=0,"",VLOOKUP(F54,Employés!$A$2:$B$186,2,0))</f>
        <v/>
      </c>
      <c r="H54" s="82"/>
      <c r="I54" s="35"/>
      <c r="J54" s="29"/>
      <c r="K54" s="26"/>
      <c r="L54" s="25"/>
      <c r="M54" s="37" t="str">
        <f>IF(I54=0,"",VLOOKUP(I54,Municipalités!$A$2:$B$1290,2,TRUE))</f>
        <v/>
      </c>
    </row>
    <row r="55" spans="1:13" ht="30" customHeight="1" x14ac:dyDescent="0.25">
      <c r="A55" s="8"/>
      <c r="B55" s="8"/>
      <c r="C55" s="30"/>
      <c r="D55" s="8"/>
      <c r="E55" s="27"/>
      <c r="F55" s="31"/>
      <c r="G55" s="82" t="str">
        <f>IF(F55=0,"",VLOOKUP(F55,Employés!$A$2:$B$186,2,0))</f>
        <v/>
      </c>
      <c r="H55" s="82"/>
      <c r="I55" s="35"/>
      <c r="J55" s="29"/>
      <c r="K55" s="26"/>
      <c r="L55" s="25"/>
      <c r="M55" s="37" t="str">
        <f>IF(I55=0,"",VLOOKUP(I55,Municipalités!$A$2:$B$1290,2,TRUE))</f>
        <v/>
      </c>
    </row>
    <row r="56" spans="1:13" ht="30" customHeight="1" x14ac:dyDescent="0.25">
      <c r="A56" s="8"/>
      <c r="B56" s="8"/>
      <c r="C56" s="30"/>
      <c r="D56" s="8"/>
      <c r="E56" s="27"/>
      <c r="F56" s="31"/>
      <c r="G56" s="82" t="str">
        <f>IF(F56=0,"",VLOOKUP(F56,Employés!$A$2:$B$186,2,0))</f>
        <v/>
      </c>
      <c r="H56" s="82"/>
      <c r="I56" s="35"/>
      <c r="J56" s="29"/>
      <c r="K56" s="26"/>
      <c r="L56" s="25"/>
      <c r="M56" s="37" t="str">
        <f>IF(I56=0,"",VLOOKUP(I56,Municipalités!$A$2:$B$1290,2,TRUE))</f>
        <v/>
      </c>
    </row>
    <row r="57" spans="1:13" ht="30" customHeight="1" x14ac:dyDescent="0.25">
      <c r="A57" s="8"/>
      <c r="B57" s="8"/>
      <c r="C57" s="30"/>
      <c r="D57" s="8"/>
      <c r="E57" s="27"/>
      <c r="F57" s="31"/>
      <c r="G57" s="82" t="str">
        <f>IF(F57=0,"",VLOOKUP(F57,Employés!$A$2:$B$186,2,0))</f>
        <v/>
      </c>
      <c r="H57" s="82"/>
      <c r="I57" s="35"/>
      <c r="J57" s="29"/>
      <c r="K57" s="26"/>
      <c r="L57" s="25"/>
      <c r="M57" s="37" t="str">
        <f>IF(I57=0,"",VLOOKUP(I57,Municipalités!$A$2:$B$1290,2,TRUE))</f>
        <v/>
      </c>
    </row>
    <row r="58" spans="1:13" ht="30" customHeight="1" x14ac:dyDescent="0.25">
      <c r="A58" s="8"/>
      <c r="B58" s="8"/>
      <c r="C58" s="30"/>
      <c r="D58" s="8"/>
      <c r="E58" s="27"/>
      <c r="F58" s="31"/>
      <c r="G58" s="82" t="str">
        <f>IF(F58=0,"",VLOOKUP(F58,Employés!$A$2:$B$186,2,0))</f>
        <v/>
      </c>
      <c r="H58" s="82"/>
      <c r="I58" s="35"/>
      <c r="J58" s="29"/>
      <c r="K58" s="26"/>
      <c r="L58" s="25"/>
      <c r="M58" s="37" t="str">
        <f>IF(I58=0,"",VLOOKUP(I58,Municipalités!$A$2:$B$1290,2,TRUE))</f>
        <v/>
      </c>
    </row>
    <row r="59" spans="1:13" ht="30" customHeight="1" x14ac:dyDescent="0.25">
      <c r="A59" s="8"/>
      <c r="B59" s="8"/>
      <c r="C59" s="30"/>
      <c r="D59" s="8"/>
      <c r="E59" s="27"/>
      <c r="F59" s="31"/>
      <c r="G59" s="82" t="str">
        <f>IF(F59=0,"",VLOOKUP(F59,Employés!$A$2:$B$186,2,0))</f>
        <v/>
      </c>
      <c r="H59" s="82"/>
      <c r="I59" s="35"/>
      <c r="J59" s="29"/>
      <c r="K59" s="26"/>
      <c r="L59" s="25"/>
      <c r="M59" s="37" t="str">
        <f>IF(I59=0,"",VLOOKUP(I59,Municipalités!$A$2:$B$1290,2,TRUE))</f>
        <v/>
      </c>
    </row>
    <row r="60" spans="1:13" ht="30" customHeight="1" x14ac:dyDescent="0.25">
      <c r="A60" s="8"/>
      <c r="B60" s="8"/>
      <c r="C60" s="30"/>
      <c r="D60" s="8"/>
      <c r="E60" s="27"/>
      <c r="F60" s="31"/>
      <c r="G60" s="82" t="str">
        <f>IF(F60=0,"",VLOOKUP(F60,Employés!$A$2:$B$186,2,0))</f>
        <v/>
      </c>
      <c r="H60" s="82"/>
      <c r="I60" s="35"/>
      <c r="J60" s="29"/>
      <c r="K60" s="26"/>
      <c r="L60" s="25"/>
      <c r="M60" s="37" t="str">
        <f>IF(I60=0,"",VLOOKUP(I60,Municipalités!$A$2:$B$1290,2,TRUE))</f>
        <v/>
      </c>
    </row>
    <row r="61" spans="1:13" ht="30" customHeight="1" x14ac:dyDescent="0.25">
      <c r="A61" s="8"/>
      <c r="B61" s="8"/>
      <c r="C61" s="30"/>
      <c r="D61" s="8"/>
      <c r="E61" s="27"/>
      <c r="F61" s="31"/>
      <c r="G61" s="82" t="str">
        <f>IF(F61=0,"",VLOOKUP(F61,Employés!$A$2:$B$186,2,0))</f>
        <v/>
      </c>
      <c r="H61" s="82"/>
      <c r="I61" s="35"/>
      <c r="J61" s="29"/>
      <c r="K61" s="26"/>
      <c r="L61" s="25"/>
      <c r="M61" s="37" t="str">
        <f>IF(I61=0,"",VLOOKUP(I61,Municipalités!$A$2:$B$1290,2,TRUE))</f>
        <v/>
      </c>
    </row>
    <row r="62" spans="1:13" x14ac:dyDescent="0.25">
      <c r="C62" s="14"/>
    </row>
    <row r="63" spans="1:13" x14ac:dyDescent="0.25">
      <c r="C63" s="14"/>
    </row>
    <row r="64" spans="1:13" x14ac:dyDescent="0.25">
      <c r="C64" s="14"/>
    </row>
    <row r="65" spans="3:5" x14ac:dyDescent="0.25">
      <c r="C65" s="14"/>
    </row>
    <row r="66" spans="3:5" x14ac:dyDescent="0.25">
      <c r="C66" s="14"/>
    </row>
    <row r="67" spans="3:5" x14ac:dyDescent="0.25">
      <c r="C67" s="14"/>
    </row>
    <row r="68" spans="3:5" x14ac:dyDescent="0.25">
      <c r="C68" s="14"/>
    </row>
    <row r="69" spans="3:5" x14ac:dyDescent="0.25">
      <c r="C69" s="14"/>
    </row>
    <row r="70" spans="3:5" x14ac:dyDescent="0.25">
      <c r="C70" s="14"/>
    </row>
    <row r="71" spans="3:5" x14ac:dyDescent="0.25">
      <c r="C71" s="14"/>
    </row>
    <row r="72" spans="3:5" x14ac:dyDescent="0.25">
      <c r="C72" s="14"/>
    </row>
    <row r="73" spans="3:5" x14ac:dyDescent="0.25">
      <c r="C73" s="14"/>
    </row>
    <row r="74" spans="3:5" x14ac:dyDescent="0.25">
      <c r="C74" s="14"/>
    </row>
    <row r="75" spans="3:5" x14ac:dyDescent="0.25">
      <c r="C75" s="14"/>
    </row>
    <row r="76" spans="3:5" x14ac:dyDescent="0.25">
      <c r="C76" s="14"/>
    </row>
    <row r="77" spans="3:5" x14ac:dyDescent="0.25">
      <c r="C77" s="14"/>
    </row>
    <row r="78" spans="3:5" x14ac:dyDescent="0.25">
      <c r="C78" s="14"/>
      <c r="E78" s="21" t="s">
        <v>1420</v>
      </c>
    </row>
    <row r="79" spans="3:5" x14ac:dyDescent="0.25">
      <c r="C79" s="14"/>
    </row>
    <row r="80" spans="3:5" x14ac:dyDescent="0.25">
      <c r="C80" s="14"/>
    </row>
    <row r="81" spans="3:3" x14ac:dyDescent="0.25">
      <c r="C81" s="14"/>
    </row>
    <row r="82" spans="3:3" x14ac:dyDescent="0.25">
      <c r="C82" s="14"/>
    </row>
    <row r="83" spans="3:3" x14ac:dyDescent="0.25">
      <c r="C83" s="14"/>
    </row>
    <row r="84" spans="3:3" x14ac:dyDescent="0.25">
      <c r="C84" s="14"/>
    </row>
    <row r="85" spans="3:3" x14ac:dyDescent="0.25">
      <c r="C85" s="14"/>
    </row>
    <row r="86" spans="3:3" x14ac:dyDescent="0.25">
      <c r="C86" s="14"/>
    </row>
    <row r="87" spans="3:3" x14ac:dyDescent="0.25">
      <c r="C87" s="14"/>
    </row>
    <row r="88" spans="3:3" x14ac:dyDescent="0.25">
      <c r="C88" s="14"/>
    </row>
    <row r="89" spans="3:3" x14ac:dyDescent="0.25">
      <c r="C89" s="14"/>
    </row>
    <row r="90" spans="3:3" x14ac:dyDescent="0.25">
      <c r="C90" s="14"/>
    </row>
    <row r="91" spans="3:3" x14ac:dyDescent="0.25">
      <c r="C91" s="14"/>
    </row>
    <row r="92" spans="3:3" x14ac:dyDescent="0.25">
      <c r="C92" s="14"/>
    </row>
    <row r="93" spans="3:3" x14ac:dyDescent="0.25">
      <c r="C93" s="14"/>
    </row>
    <row r="94" spans="3:3" x14ac:dyDescent="0.25">
      <c r="C94" s="14"/>
    </row>
    <row r="95" spans="3:3" x14ac:dyDescent="0.25">
      <c r="C95" s="14"/>
    </row>
    <row r="96" spans="3:3" x14ac:dyDescent="0.25">
      <c r="C96" s="14"/>
    </row>
    <row r="97" spans="3:3" x14ac:dyDescent="0.25">
      <c r="C97" s="14"/>
    </row>
    <row r="98" spans="3:3" x14ac:dyDescent="0.25">
      <c r="C98" s="14"/>
    </row>
  </sheetData>
  <mergeCells count="67">
    <mergeCell ref="G53:H53"/>
    <mergeCell ref="G42:H42"/>
    <mergeCell ref="G43:H43"/>
    <mergeCell ref="G44:H44"/>
    <mergeCell ref="G45:H45"/>
    <mergeCell ref="G46:H46"/>
    <mergeCell ref="G47:H47"/>
    <mergeCell ref="G48:H48"/>
    <mergeCell ref="G49:H49"/>
    <mergeCell ref="G50:H50"/>
    <mergeCell ref="G51:H51"/>
    <mergeCell ref="G52:H52"/>
    <mergeCell ref="G60:H60"/>
    <mergeCell ref="G61:H61"/>
    <mergeCell ref="G54:H54"/>
    <mergeCell ref="G55:H55"/>
    <mergeCell ref="G56:H56"/>
    <mergeCell ref="G57:H57"/>
    <mergeCell ref="G58:H58"/>
    <mergeCell ref="G59:H59"/>
    <mergeCell ref="G41:H41"/>
    <mergeCell ref="G30:H30"/>
    <mergeCell ref="G31:H31"/>
    <mergeCell ref="G32:H32"/>
    <mergeCell ref="G33:H33"/>
    <mergeCell ref="G34:H34"/>
    <mergeCell ref="G35:H35"/>
    <mergeCell ref="G36:H36"/>
    <mergeCell ref="G37:H37"/>
    <mergeCell ref="G38:H38"/>
    <mergeCell ref="G39:H39"/>
    <mergeCell ref="G40:H40"/>
    <mergeCell ref="G29:H29"/>
    <mergeCell ref="G18:H18"/>
    <mergeCell ref="G19:H19"/>
    <mergeCell ref="G20:H20"/>
    <mergeCell ref="G21:H21"/>
    <mergeCell ref="G22:H22"/>
    <mergeCell ref="G23:H23"/>
    <mergeCell ref="G24:H24"/>
    <mergeCell ref="G25:H25"/>
    <mergeCell ref="G26:H26"/>
    <mergeCell ref="G27:H27"/>
    <mergeCell ref="G28:H28"/>
    <mergeCell ref="G17:H17"/>
    <mergeCell ref="J6:J7"/>
    <mergeCell ref="K6:M6"/>
    <mergeCell ref="G8:H8"/>
    <mergeCell ref="G9:H9"/>
    <mergeCell ref="G10:H10"/>
    <mergeCell ref="G11:H11"/>
    <mergeCell ref="G12:H12"/>
    <mergeCell ref="G13:H13"/>
    <mergeCell ref="G14:H14"/>
    <mergeCell ref="G15:H15"/>
    <mergeCell ref="G16:H16"/>
    <mergeCell ref="M2:M4"/>
    <mergeCell ref="E1:F4"/>
    <mergeCell ref="L1:L2"/>
    <mergeCell ref="A6:A7"/>
    <mergeCell ref="B6:B7"/>
    <mergeCell ref="C6:C7"/>
    <mergeCell ref="D6:D7"/>
    <mergeCell ref="E6:E7"/>
    <mergeCell ref="F6:F7"/>
    <mergeCell ref="G6:H7"/>
    <mergeCell ref="I6:I7"/>
  </mergeCells>
  <conditionalFormatting sqref="C23:C45 C8:C21">
    <cfRule type="expression" dxfId="187" priority="7" stopIfTrue="1">
      <formula>#REF!=1</formula>
    </cfRule>
    <cfRule type="expression" priority="8" stopIfTrue="1">
      <formula>#REF!=2</formula>
    </cfRule>
    <cfRule type="expression" dxfId="186" priority="9" stopIfTrue="1">
      <formula>#REF!=3</formula>
    </cfRule>
  </conditionalFormatting>
  <conditionalFormatting sqref="C22">
    <cfRule type="expression" dxfId="185" priority="4" stopIfTrue="1">
      <formula>#REF!=1</formula>
    </cfRule>
    <cfRule type="expression" priority="5" stopIfTrue="1">
      <formula>#REF!=2</formula>
    </cfRule>
    <cfRule type="expression" dxfId="184" priority="6" stopIfTrue="1">
      <formula>#REF!=3</formula>
    </cfRule>
  </conditionalFormatting>
  <conditionalFormatting sqref="C46:C61">
    <cfRule type="expression" dxfId="183" priority="1" stopIfTrue="1">
      <formula>#REF!=1</formula>
    </cfRule>
    <cfRule type="expression" priority="2" stopIfTrue="1">
      <formula>#REF!=2</formula>
    </cfRule>
    <cfRule type="expression" dxfId="182" priority="3" stopIfTrue="1">
      <formula>#REF!=3</formula>
    </cfRule>
  </conditionalFormatting>
  <dataValidations count="2">
    <dataValidation type="textLength" operator="greaterThanOrEqual" allowBlank="1" showInputMessage="1" showErrorMessage="1" errorTitle="Saisie incorrecte" error="Re-saisir le numéro d'entrée en utilisant 3 chiffres_x000a_Ex.: 001" promptTitle="Saisie du numéro d'entrée" prompt="Minimum 3 chiffres_x000a_Ex.: 001" sqref="C8:C39" xr:uid="{00000000-0002-0000-0000-000000000000}">
      <formula1>3</formula1>
    </dataValidation>
    <dataValidation operator="greaterThan" allowBlank="1" showDropDown="1" showInputMessage="1" showErrorMessage="1" errorTitle="Saisie incorrecte" error="Re-Saisir le numéro de dossier sous le format_x000a_000-000000-000" promptTitle="Saisie du numéro d'événement" prompt="000-000000-000_x000a_Ex. : 071-030901-001" sqref="J8:J39" xr:uid="{00000000-0002-0000-0000-000001000000}"/>
  </dataValidations>
  <printOptions horizontalCentered="1" verticalCentered="1"/>
  <pageMargins left="0" right="0" top="0.31496062992125984" bottom="0.39370078740157483" header="0.15748031496062992" footer="0.19685039370078741"/>
  <pageSetup paperSize="5" scale="90" orientation="landscape" r:id="rId1"/>
  <headerFooter alignWithMargins="0">
    <oddFooter>&amp;R&amp;8Page &amp;P de &amp;N</oddFooter>
  </headerFooter>
  <drawing r:id="rId2"/>
  <legacyDrawing r:id="rId3"/>
  <controls>
    <mc:AlternateContent xmlns:mc="http://schemas.openxmlformats.org/markup-compatibility/2006">
      <mc:Choice Requires="x14">
        <control shapeId="138244" r:id="rId4" name="ComboBox1">
          <controlPr defaultSize="0" autoLine="0" r:id="rId5">
            <anchor moveWithCells="1">
              <from>
                <xdr:col>11</xdr:col>
                <xdr:colOff>0</xdr:colOff>
                <xdr:row>7</xdr:row>
                <xdr:rowOff>0</xdr:rowOff>
              </from>
              <to>
                <xdr:col>11</xdr:col>
                <xdr:colOff>1854200</xdr:colOff>
                <xdr:row>8</xdr:row>
                <xdr:rowOff>38100</xdr:rowOff>
              </to>
            </anchor>
          </controlPr>
        </control>
      </mc:Choice>
      <mc:Fallback>
        <control shapeId="138244" r:id="rId4" name="ComboBox1"/>
      </mc:Fallback>
    </mc:AlternateContent>
    <mc:AlternateContent xmlns:mc="http://schemas.openxmlformats.org/markup-compatibility/2006">
      <mc:Choice Requires="x14">
        <control shapeId="138245" r:id="rId6" name="ComboBox2">
          <controlPr defaultSize="0" autoLine="0" r:id="rId7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0</xdr:colOff>
                <xdr:row>8</xdr:row>
                <xdr:rowOff>38100</xdr:rowOff>
              </to>
            </anchor>
          </controlPr>
        </control>
      </mc:Choice>
      <mc:Fallback>
        <control shapeId="138245" r:id="rId6" name="ComboBox2"/>
      </mc:Fallback>
    </mc:AlternateContent>
    <mc:AlternateContent xmlns:mc="http://schemas.openxmlformats.org/markup-compatibility/2006">
      <mc:Choice Requires="x14">
        <control shapeId="138243" r:id="rId8" name="Button 3">
          <controlPr defaultSize="0" print="0" autoFill="0" autoPict="0" macro="[0]!test2">
            <anchor moveWithCells="1">
              <from>
                <xdr:col>5</xdr:col>
                <xdr:colOff>222250</xdr:colOff>
                <xdr:row>1</xdr:row>
                <xdr:rowOff>139700</xdr:rowOff>
              </from>
              <to>
                <xdr:col>9</xdr:col>
                <xdr:colOff>819150</xdr:colOff>
                <xdr:row>4</xdr:row>
                <xdr:rowOff>107950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59"/>
  <dimension ref="A1:M98"/>
  <sheetViews>
    <sheetView showGridLines="0" zoomScaleNormal="100" workbookViewId="0">
      <pane xSplit="3" ySplit="7" topLeftCell="F8" activePane="bottomRight" state="frozen"/>
      <selection activeCell="C8" sqref="C8"/>
      <selection pane="topRight" activeCell="C8" sqref="C8"/>
      <selection pane="bottomLeft" activeCell="C8" sqref="C8"/>
      <selection pane="bottomRight" activeCell="M2" sqref="M2:M5"/>
    </sheetView>
  </sheetViews>
  <sheetFormatPr baseColWidth="10" defaultColWidth="11.453125" defaultRowHeight="13" x14ac:dyDescent="0.25"/>
  <cols>
    <col min="1" max="2" width="5.6328125" style="1" customWidth="1"/>
    <col min="3" max="3" width="6.6328125" style="1" customWidth="1"/>
    <col min="4" max="4" width="7.54296875" style="1" customWidth="1"/>
    <col min="5" max="5" width="44.453125" style="21" customWidth="1"/>
    <col min="6" max="6" width="10.54296875" style="1" customWidth="1"/>
    <col min="7" max="7" width="13.90625" style="1" customWidth="1"/>
    <col min="8" max="8" width="4.6328125" style="1" hidden="1" customWidth="1"/>
    <col min="9" max="9" width="6.08984375" style="1" customWidth="1"/>
    <col min="10" max="10" width="26.54296875" style="1" customWidth="1"/>
    <col min="11" max="11" width="7.36328125" style="1" customWidth="1"/>
    <col min="12" max="12" width="27" style="24" customWidth="1"/>
    <col min="13" max="13" width="26" style="1" customWidth="1"/>
    <col min="14" max="16384" width="11.453125" style="1"/>
  </cols>
  <sheetData>
    <row r="1" spans="1:13" ht="12.75" customHeight="1" x14ac:dyDescent="0.25">
      <c r="E1" s="71" t="s">
        <v>1023</v>
      </c>
      <c r="F1" s="72"/>
      <c r="L1" s="73" t="s">
        <v>1021</v>
      </c>
      <c r="M1" s="51" t="s">
        <v>1022</v>
      </c>
    </row>
    <row r="2" spans="1:13" ht="12.75" customHeight="1" x14ac:dyDescent="0.25">
      <c r="E2" s="72"/>
      <c r="F2" s="72"/>
      <c r="L2" s="74"/>
      <c r="M2" s="70">
        <f>'01'!M2:M5+1</f>
        <v>42706</v>
      </c>
    </row>
    <row r="3" spans="1:13" ht="12.75" customHeight="1" x14ac:dyDescent="0.25">
      <c r="E3" s="72"/>
      <c r="F3" s="72"/>
      <c r="L3" s="52"/>
      <c r="M3" s="70"/>
    </row>
    <row r="4" spans="1:13" ht="15.75" customHeight="1" x14ac:dyDescent="0.25">
      <c r="E4" s="72"/>
      <c r="F4" s="72"/>
      <c r="L4" s="49" t="s">
        <v>140</v>
      </c>
      <c r="M4" s="70"/>
    </row>
    <row r="5" spans="1:13" ht="21.9" customHeight="1" thickBot="1" x14ac:dyDescent="0.3">
      <c r="L5" s="36"/>
      <c r="M5" s="69">
        <f>M2</f>
        <v>42706</v>
      </c>
    </row>
    <row r="6" spans="1:13" ht="24.9" customHeight="1" x14ac:dyDescent="0.25">
      <c r="A6" s="75" t="s">
        <v>2351</v>
      </c>
      <c r="B6" s="75" t="s">
        <v>2350</v>
      </c>
      <c r="C6" s="76" t="s">
        <v>1362</v>
      </c>
      <c r="D6" s="75" t="s">
        <v>1153</v>
      </c>
      <c r="E6" s="75" t="s">
        <v>1016</v>
      </c>
      <c r="F6" s="76" t="s">
        <v>2352</v>
      </c>
      <c r="G6" s="76" t="s">
        <v>1017</v>
      </c>
      <c r="H6" s="79"/>
      <c r="I6" s="76" t="s">
        <v>1364</v>
      </c>
      <c r="J6" s="76" t="s">
        <v>1363</v>
      </c>
      <c r="K6" s="83" t="s">
        <v>1018</v>
      </c>
      <c r="L6" s="84"/>
      <c r="M6" s="84"/>
    </row>
    <row r="7" spans="1:13" ht="12.5" x14ac:dyDescent="0.25">
      <c r="A7" s="75"/>
      <c r="B7" s="75"/>
      <c r="C7" s="77"/>
      <c r="D7" s="75"/>
      <c r="E7" s="75"/>
      <c r="F7" s="78"/>
      <c r="G7" s="80"/>
      <c r="H7" s="81"/>
      <c r="I7" s="77"/>
      <c r="J7" s="77"/>
      <c r="K7" s="50" t="s">
        <v>1015</v>
      </c>
      <c r="L7" s="50" t="s">
        <v>1019</v>
      </c>
      <c r="M7" s="32" t="s">
        <v>1020</v>
      </c>
    </row>
    <row r="8" spans="1:13" ht="30" customHeight="1" x14ac:dyDescent="0.25">
      <c r="A8" s="45"/>
      <c r="B8" s="45"/>
      <c r="C8" s="39"/>
      <c r="D8" s="46"/>
      <c r="E8" s="27"/>
      <c r="F8" s="31"/>
      <c r="G8" s="82" t="str">
        <f>IF(F8=0,"",VLOOKUP(F8,Employés!$A$2:$B$186,2,0))</f>
        <v/>
      </c>
      <c r="H8" s="82"/>
      <c r="I8" s="34"/>
      <c r="J8" s="33"/>
      <c r="K8" s="19"/>
      <c r="L8" s="20"/>
      <c r="M8" s="37" t="str">
        <f>IF(I8=0,"",VLOOKUP(I8,Municipalités!$A$2:$B$1290,2,TRUE))</f>
        <v/>
      </c>
    </row>
    <row r="9" spans="1:13" ht="30" customHeight="1" x14ac:dyDescent="0.25">
      <c r="A9" s="45"/>
      <c r="B9" s="45"/>
      <c r="C9" s="39"/>
      <c r="D9" s="47"/>
      <c r="E9" s="27"/>
      <c r="F9" s="31"/>
      <c r="G9" s="82" t="str">
        <f>IF(F9=0,"",VLOOKUP(F9,Employés!$A$2:$B$186,2,0))</f>
        <v/>
      </c>
      <c r="H9" s="82"/>
      <c r="I9" s="35"/>
      <c r="J9" s="33"/>
      <c r="K9" s="19"/>
      <c r="L9" s="20"/>
      <c r="M9" s="37" t="str">
        <f>IF(I9=0,"",VLOOKUP(I9,Municipalités!$A$2:$B$1290,2,TRUE))</f>
        <v/>
      </c>
    </row>
    <row r="10" spans="1:13" ht="30" customHeight="1" x14ac:dyDescent="0.25">
      <c r="A10" s="45"/>
      <c r="B10" s="45"/>
      <c r="C10" s="39"/>
      <c r="D10" s="48"/>
      <c r="E10" s="28"/>
      <c r="F10" s="31"/>
      <c r="G10" s="82" t="str">
        <f>IF(F10=0,"",VLOOKUP(F10,Employés!$A$2:$B$186,2,0))</f>
        <v/>
      </c>
      <c r="H10" s="82"/>
      <c r="I10" s="35"/>
      <c r="J10" s="29"/>
      <c r="K10" s="19"/>
      <c r="L10" s="20"/>
      <c r="M10" s="37" t="str">
        <f>IF(I10=0,"",VLOOKUP(I10,Municipalités!$A$2:$B$1290,2,TRUE))</f>
        <v/>
      </c>
    </row>
    <row r="11" spans="1:13" ht="30" customHeight="1" x14ac:dyDescent="0.25">
      <c r="A11" s="45"/>
      <c r="B11" s="45"/>
      <c r="C11" s="39"/>
      <c r="D11" s="47"/>
      <c r="E11" s="28" t="s">
        <v>1420</v>
      </c>
      <c r="F11" s="31"/>
      <c r="G11" s="82" t="str">
        <f>IF(F11=0,"",VLOOKUP(F11,Employés!$A$2:$B$186,2,0))</f>
        <v/>
      </c>
      <c r="H11" s="82"/>
      <c r="I11" s="35"/>
      <c r="J11" s="29"/>
      <c r="K11" s="19"/>
      <c r="L11" s="20"/>
      <c r="M11" s="37" t="str">
        <f>IF(I11=0,"",VLOOKUP(I11,Municipalités!$A$2:$B$1290,2,TRUE))</f>
        <v/>
      </c>
    </row>
    <row r="12" spans="1:13" ht="30" customHeight="1" x14ac:dyDescent="0.25">
      <c r="A12" s="45"/>
      <c r="B12" s="45"/>
      <c r="C12" s="39"/>
      <c r="D12" s="46"/>
      <c r="E12" s="27"/>
      <c r="F12" s="31"/>
      <c r="G12" s="82" t="str">
        <f>IF(F12=0,"",VLOOKUP(F12,Employés!$A$2:$B$186,2,0))</f>
        <v/>
      </c>
      <c r="H12" s="82"/>
      <c r="I12" s="35"/>
      <c r="J12" s="29"/>
      <c r="K12" s="19"/>
      <c r="L12" s="20"/>
      <c r="M12" s="37" t="str">
        <f>IF(I12=0,"",VLOOKUP(I12,Municipalités!$A$2:$B$1290,2,TRUE))</f>
        <v/>
      </c>
    </row>
    <row r="13" spans="1:13" ht="30" customHeight="1" x14ac:dyDescent="0.25">
      <c r="A13" s="45"/>
      <c r="B13" s="45"/>
      <c r="C13" s="39"/>
      <c r="D13" s="46"/>
      <c r="E13" s="27"/>
      <c r="F13" s="31"/>
      <c r="G13" s="82" t="str">
        <f>IF(F13=0,"",VLOOKUP(F13,Employés!$A$2:$B$186,2,0))</f>
        <v/>
      </c>
      <c r="H13" s="82"/>
      <c r="I13" s="35"/>
      <c r="J13" s="29"/>
      <c r="K13" s="19"/>
      <c r="L13" s="20"/>
      <c r="M13" s="37" t="str">
        <f>IF(I13=0,"",VLOOKUP(I13,Municipalités!$A$2:$B$1290,2,TRUE))</f>
        <v/>
      </c>
    </row>
    <row r="14" spans="1:13" ht="30" customHeight="1" x14ac:dyDescent="0.25">
      <c r="A14" s="45"/>
      <c r="B14" s="45"/>
      <c r="C14" s="39"/>
      <c r="D14" s="47"/>
      <c r="E14" s="27"/>
      <c r="F14" s="31"/>
      <c r="G14" s="82" t="str">
        <f>IF(F14=0,"",VLOOKUP(F14,Employés!$A$2:$B$186,2,0))</f>
        <v/>
      </c>
      <c r="H14" s="82"/>
      <c r="I14" s="35"/>
      <c r="J14" s="29"/>
      <c r="K14" s="19"/>
      <c r="L14" s="20"/>
      <c r="M14" s="37" t="str">
        <f>IF(I14=0,"",VLOOKUP(I14,Municipalités!$A$2:$B$1290,2,TRUE))</f>
        <v/>
      </c>
    </row>
    <row r="15" spans="1:13" ht="30" customHeight="1" x14ac:dyDescent="0.25">
      <c r="A15" s="45"/>
      <c r="B15" s="45"/>
      <c r="C15" s="39"/>
      <c r="D15" s="47"/>
      <c r="E15" s="27"/>
      <c r="F15" s="31"/>
      <c r="G15" s="82" t="str">
        <f>IF(F15=0,"",VLOOKUP(F15,Employés!$A$2:$B$186,2,0))</f>
        <v/>
      </c>
      <c r="H15" s="82"/>
      <c r="I15" s="35"/>
      <c r="J15" s="29"/>
      <c r="K15" s="19"/>
      <c r="L15" s="20"/>
      <c r="M15" s="37" t="str">
        <f>IF(I15=0,"",VLOOKUP(I15,Municipalités!$A$2:$B$1290,2,TRUE))</f>
        <v/>
      </c>
    </row>
    <row r="16" spans="1:13" ht="30" customHeight="1" x14ac:dyDescent="0.25">
      <c r="A16" s="45"/>
      <c r="B16" s="45"/>
      <c r="C16" s="39"/>
      <c r="D16" s="46"/>
      <c r="E16" s="27"/>
      <c r="F16" s="31"/>
      <c r="G16" s="82" t="str">
        <f>IF(F16=0,"",VLOOKUP(F16,Employés!$A$2:$B$186,2,0))</f>
        <v/>
      </c>
      <c r="H16" s="82"/>
      <c r="I16" s="35"/>
      <c r="J16" s="29"/>
      <c r="K16" s="19"/>
      <c r="L16" s="20"/>
      <c r="M16" s="37" t="str">
        <f>IF(I16=0,"",VLOOKUP(I16,Municipalités!$A$2:$B$1290,2,TRUE))</f>
        <v/>
      </c>
    </row>
    <row r="17" spans="1:13" ht="30" customHeight="1" x14ac:dyDescent="0.25">
      <c r="A17" s="45"/>
      <c r="B17" s="45"/>
      <c r="C17" s="39"/>
      <c r="D17" s="46"/>
      <c r="E17" s="27"/>
      <c r="F17" s="31"/>
      <c r="G17" s="82" t="str">
        <f>IF(F17=0,"",VLOOKUP(F17,Employés!$A$2:$B$186,2,0))</f>
        <v/>
      </c>
      <c r="H17" s="82"/>
      <c r="I17" s="35"/>
      <c r="J17" s="29"/>
      <c r="K17" s="19"/>
      <c r="L17" s="20"/>
      <c r="M17" s="37" t="str">
        <f>IF(I17=0,"",VLOOKUP(I17,Municipalités!$A$2:$B$1290,2,TRUE))</f>
        <v/>
      </c>
    </row>
    <row r="18" spans="1:13" ht="30" customHeight="1" x14ac:dyDescent="0.25">
      <c r="A18" s="45"/>
      <c r="B18" s="45"/>
      <c r="C18" s="39"/>
      <c r="D18" s="46"/>
      <c r="E18" s="27"/>
      <c r="F18" s="31"/>
      <c r="G18" s="82" t="str">
        <f>IF(F18=0,"",VLOOKUP(F18,Employés!$A$2:$B$186,2,0))</f>
        <v/>
      </c>
      <c r="H18" s="82"/>
      <c r="I18" s="35"/>
      <c r="J18" s="29"/>
      <c r="K18" s="19"/>
      <c r="L18" s="20"/>
      <c r="M18" s="37" t="str">
        <f>IF(I18=0,"",VLOOKUP(I18,Municipalités!$A$2:$B$1290,2,TRUE))</f>
        <v/>
      </c>
    </row>
    <row r="19" spans="1:13" ht="30" customHeight="1" x14ac:dyDescent="0.25">
      <c r="A19" s="45"/>
      <c r="B19" s="45"/>
      <c r="C19" s="39"/>
      <c r="D19" s="46"/>
      <c r="E19" s="27"/>
      <c r="F19" s="31"/>
      <c r="G19" s="82" t="str">
        <f>IF(F19=0,"",VLOOKUP(F19,Employés!$A$2:$B$186,2,0))</f>
        <v/>
      </c>
      <c r="H19" s="82"/>
      <c r="I19" s="35"/>
      <c r="J19" s="29"/>
      <c r="K19" s="19"/>
      <c r="L19" s="20"/>
      <c r="M19" s="37" t="str">
        <f>IF(I19=0,"",VLOOKUP(I19,Municipalités!$A$2:$B$1290,2,TRUE))</f>
        <v/>
      </c>
    </row>
    <row r="20" spans="1:13" ht="30" customHeight="1" x14ac:dyDescent="0.25">
      <c r="A20" s="45"/>
      <c r="B20" s="45"/>
      <c r="C20" s="39"/>
      <c r="D20" s="47"/>
      <c r="E20" s="27"/>
      <c r="F20" s="31"/>
      <c r="G20" s="82" t="str">
        <f>IF(F20=0,"",VLOOKUP(F20,Employés!$A$2:$B$186,2,0))</f>
        <v/>
      </c>
      <c r="H20" s="82"/>
      <c r="I20" s="35"/>
      <c r="J20" s="29"/>
      <c r="K20" s="19"/>
      <c r="L20" s="20"/>
      <c r="M20" s="37" t="str">
        <f>IF(I20=0,"",VLOOKUP(I20,Municipalités!$A$2:$B$1290,2,TRUE))</f>
        <v/>
      </c>
    </row>
    <row r="21" spans="1:13" ht="30" customHeight="1" x14ac:dyDescent="0.25">
      <c r="A21" s="45"/>
      <c r="B21" s="45"/>
      <c r="C21" s="39"/>
      <c r="D21" s="47"/>
      <c r="E21" s="27"/>
      <c r="F21" s="31"/>
      <c r="G21" s="82" t="str">
        <f>IF(F21=0,"",VLOOKUP(F21,Employés!$A$2:$B$186,2,0))</f>
        <v/>
      </c>
      <c r="H21" s="82"/>
      <c r="I21" s="35"/>
      <c r="J21" s="29"/>
      <c r="K21" s="19"/>
      <c r="L21" s="20"/>
      <c r="M21" s="37" t="str">
        <f>IF(I21=0,"",VLOOKUP(I21,Municipalités!$A$2:$B$1290,2,TRUE))</f>
        <v/>
      </c>
    </row>
    <row r="22" spans="1:13" ht="30" customHeight="1" x14ac:dyDescent="0.25">
      <c r="A22" s="45"/>
      <c r="B22" s="45"/>
      <c r="C22" s="39"/>
      <c r="D22" s="46"/>
      <c r="E22" s="27"/>
      <c r="F22" s="31"/>
      <c r="G22" s="82" t="str">
        <f>IF(F22=0,"",VLOOKUP(F22,Employés!$A$2:$B$186,2,0))</f>
        <v/>
      </c>
      <c r="H22" s="82"/>
      <c r="I22" s="35"/>
      <c r="J22" s="29"/>
      <c r="K22" s="19"/>
      <c r="L22" s="20"/>
      <c r="M22" s="37" t="str">
        <f>IF(I22=0,"",VLOOKUP(I22,Municipalités!$A$2:$B$1290,2,TRUE))</f>
        <v/>
      </c>
    </row>
    <row r="23" spans="1:13" ht="30" customHeight="1" x14ac:dyDescent="0.25">
      <c r="A23" s="45"/>
      <c r="B23" s="45"/>
      <c r="C23" s="39"/>
      <c r="D23" s="46"/>
      <c r="E23" s="27"/>
      <c r="F23" s="31"/>
      <c r="G23" s="82" t="str">
        <f>IF(F23=0,"",VLOOKUP(F23,Employés!$A$2:$B$186,2,0))</f>
        <v/>
      </c>
      <c r="H23" s="82"/>
      <c r="I23" s="35"/>
      <c r="J23" s="29"/>
      <c r="K23" s="19"/>
      <c r="L23" s="20"/>
      <c r="M23" s="37" t="str">
        <f>IF(I23=0,"",VLOOKUP(I23,Municipalités!$A$2:$B$1290,2,TRUE))</f>
        <v/>
      </c>
    </row>
    <row r="24" spans="1:13" ht="30" customHeight="1" x14ac:dyDescent="0.25">
      <c r="A24" s="45"/>
      <c r="B24" s="45"/>
      <c r="C24" s="39"/>
      <c r="D24" s="46"/>
      <c r="E24" s="27"/>
      <c r="F24" s="31"/>
      <c r="G24" s="82" t="str">
        <f>IF(F24=0,"",VLOOKUP(F24,Employés!$A$2:$B$186,2,0))</f>
        <v/>
      </c>
      <c r="H24" s="82"/>
      <c r="I24" s="35"/>
      <c r="J24" s="29"/>
      <c r="K24" s="19"/>
      <c r="L24" s="20"/>
      <c r="M24" s="37" t="str">
        <f>IF(I24=0,"",VLOOKUP(I24,Municipalités!$A$2:$B$1290,2,TRUE))</f>
        <v/>
      </c>
    </row>
    <row r="25" spans="1:13" ht="30" customHeight="1" x14ac:dyDescent="0.25">
      <c r="A25" s="45"/>
      <c r="B25" s="45"/>
      <c r="C25" s="39"/>
      <c r="D25" s="46"/>
      <c r="E25" s="27"/>
      <c r="F25" s="31"/>
      <c r="G25" s="82" t="str">
        <f>IF(F25=0,"",VLOOKUP(F25,Employés!$A$2:$B$186,2,0))</f>
        <v/>
      </c>
      <c r="H25" s="82"/>
      <c r="I25" s="35"/>
      <c r="J25" s="29"/>
      <c r="K25" s="19"/>
      <c r="L25" s="20"/>
      <c r="M25" s="37" t="str">
        <f>IF(I25=0,"",VLOOKUP(I25,Municipalités!$A$2:$B$1290,2,TRUE))</f>
        <v/>
      </c>
    </row>
    <row r="26" spans="1:13" ht="30" customHeight="1" x14ac:dyDescent="0.25">
      <c r="A26" s="45"/>
      <c r="B26" s="45"/>
      <c r="C26" s="39"/>
      <c r="D26" s="46"/>
      <c r="E26" s="27"/>
      <c r="F26" s="31"/>
      <c r="G26" s="82" t="str">
        <f>IF(F26=0,"",VLOOKUP(F26,Employés!$A$2:$B$186,2,0))</f>
        <v/>
      </c>
      <c r="H26" s="82"/>
      <c r="I26" s="35"/>
      <c r="J26" s="29"/>
      <c r="K26" s="19"/>
      <c r="L26" s="20"/>
      <c r="M26" s="37" t="str">
        <f>IF(I26=0,"",VLOOKUP(I26,Municipalités!$A$2:$B$1290,2,TRUE))</f>
        <v/>
      </c>
    </row>
    <row r="27" spans="1:13" ht="30" customHeight="1" x14ac:dyDescent="0.25">
      <c r="A27" s="45"/>
      <c r="B27" s="45"/>
      <c r="C27" s="39"/>
      <c r="D27" s="46"/>
      <c r="E27" s="27"/>
      <c r="F27" s="31"/>
      <c r="G27" s="82" t="str">
        <f>IF(F27=0,"",VLOOKUP(F27,Employés!$A$2:$B$186,2,0))</f>
        <v/>
      </c>
      <c r="H27" s="82"/>
      <c r="I27" s="35"/>
      <c r="J27" s="29"/>
      <c r="K27" s="19"/>
      <c r="L27" s="20"/>
      <c r="M27" s="37" t="str">
        <f>IF(I27=0,"",VLOOKUP(I27,Municipalités!$A$2:$B$1290,2,TRUE))</f>
        <v/>
      </c>
    </row>
    <row r="28" spans="1:13" ht="30" customHeight="1" x14ac:dyDescent="0.25">
      <c r="A28" s="45"/>
      <c r="B28" s="45"/>
      <c r="C28" s="39"/>
      <c r="D28" s="46"/>
      <c r="E28" s="27"/>
      <c r="F28" s="31"/>
      <c r="G28" s="82" t="str">
        <f>IF(F28=0,"",VLOOKUP(F28,Employés!$A$2:$B$186,2,0))</f>
        <v/>
      </c>
      <c r="H28" s="82"/>
      <c r="I28" s="35"/>
      <c r="J28" s="29"/>
      <c r="K28" s="19"/>
      <c r="L28" s="20"/>
      <c r="M28" s="37" t="str">
        <f>IF(I28=0,"",VLOOKUP(I28,Municipalités!$A$2:$B$1290,2,TRUE))</f>
        <v/>
      </c>
    </row>
    <row r="29" spans="1:13" ht="30" customHeight="1" x14ac:dyDescent="0.25">
      <c r="A29" s="45"/>
      <c r="B29" s="45"/>
      <c r="C29" s="39"/>
      <c r="D29" s="46"/>
      <c r="E29" s="27"/>
      <c r="F29" s="31"/>
      <c r="G29" s="82" t="str">
        <f>IF(F29=0,"",VLOOKUP(F29,Employés!$A$2:$B$186,2,0))</f>
        <v/>
      </c>
      <c r="H29" s="82"/>
      <c r="I29" s="35"/>
      <c r="J29" s="29"/>
      <c r="K29" s="19"/>
      <c r="L29" s="20"/>
      <c r="M29" s="37" t="str">
        <f>IF(I29=0,"",VLOOKUP(I29,Municipalités!$A$2:$B$1290,2,TRUE))</f>
        <v/>
      </c>
    </row>
    <row r="30" spans="1:13" ht="30" customHeight="1" x14ac:dyDescent="0.25">
      <c r="A30" s="45"/>
      <c r="B30" s="45"/>
      <c r="C30" s="39"/>
      <c r="D30" s="46"/>
      <c r="E30" s="27"/>
      <c r="F30" s="31"/>
      <c r="G30" s="82" t="str">
        <f>IF(F30=0,"",VLOOKUP(F30,Employés!$A$2:$B$186,2,0))</f>
        <v/>
      </c>
      <c r="H30" s="82"/>
      <c r="I30" s="35"/>
      <c r="J30" s="29"/>
      <c r="K30" s="19"/>
      <c r="L30" s="20"/>
      <c r="M30" s="37" t="str">
        <f>IF(I30=0,"",VLOOKUP(I30,Municipalités!$A$2:$B$1290,2,TRUE))</f>
        <v/>
      </c>
    </row>
    <row r="31" spans="1:13" ht="30" customHeight="1" x14ac:dyDescent="0.25">
      <c r="A31" s="45"/>
      <c r="B31" s="45"/>
      <c r="C31" s="39"/>
      <c r="D31" s="47"/>
      <c r="E31" s="27"/>
      <c r="F31" s="31"/>
      <c r="G31" s="82" t="str">
        <f>IF(F31=0,"",VLOOKUP(F31,Employés!$A$2:$B$186,2,0))</f>
        <v/>
      </c>
      <c r="H31" s="82"/>
      <c r="I31" s="35"/>
      <c r="J31" s="29"/>
      <c r="K31" s="19"/>
      <c r="L31" s="20"/>
      <c r="M31" s="37" t="str">
        <f>IF(I31=0,"",VLOOKUP(I31,Municipalités!$A$2:$B$1290,2,TRUE))</f>
        <v/>
      </c>
    </row>
    <row r="32" spans="1:13" ht="30" customHeight="1" x14ac:dyDescent="0.25">
      <c r="A32" s="45"/>
      <c r="B32" s="45"/>
      <c r="C32" s="39"/>
      <c r="D32" s="46"/>
      <c r="E32" s="27"/>
      <c r="F32" s="31"/>
      <c r="G32" s="82" t="str">
        <f>IF(F32=0,"",VLOOKUP(F32,Employés!$A$2:$B$186,2,0))</f>
        <v/>
      </c>
      <c r="H32" s="82"/>
      <c r="I32" s="35"/>
      <c r="J32" s="29"/>
      <c r="K32" s="19"/>
      <c r="L32" s="20"/>
      <c r="M32" s="37" t="str">
        <f>IF(I32=0,"",VLOOKUP(I32,Municipalités!$A$2:$B$1290,2,TRUE))</f>
        <v/>
      </c>
    </row>
    <row r="33" spans="1:13" ht="30" customHeight="1" x14ac:dyDescent="0.25">
      <c r="A33" s="45"/>
      <c r="B33" s="45"/>
      <c r="C33" s="39"/>
      <c r="D33" s="46"/>
      <c r="E33" s="27"/>
      <c r="F33" s="31"/>
      <c r="G33" s="82" t="str">
        <f>IF(F33=0,"",VLOOKUP(F33,Employés!$A$2:$B$186,2,0))</f>
        <v/>
      </c>
      <c r="H33" s="82"/>
      <c r="I33" s="35"/>
      <c r="J33" s="29"/>
      <c r="K33" s="19"/>
      <c r="L33" s="20"/>
      <c r="M33" s="37" t="str">
        <f>IF(I33=0,"",VLOOKUP(I33,Municipalités!$A$2:$B$1290,2,TRUE))</f>
        <v/>
      </c>
    </row>
    <row r="34" spans="1:13" ht="30" customHeight="1" x14ac:dyDescent="0.25">
      <c r="A34" s="45"/>
      <c r="B34" s="45"/>
      <c r="C34" s="39"/>
      <c r="D34" s="46"/>
      <c r="E34" s="27"/>
      <c r="F34" s="31"/>
      <c r="G34" s="82" t="str">
        <f>IF(F34=0,"",VLOOKUP(F34,Employés!$A$2:$B$186,2,0))</f>
        <v/>
      </c>
      <c r="H34" s="82"/>
      <c r="I34" s="35"/>
      <c r="J34" s="29"/>
      <c r="K34" s="19"/>
      <c r="L34" s="20"/>
      <c r="M34" s="37" t="str">
        <f>IF(I34=0,"",VLOOKUP(I34,Municipalités!$A$2:$B$1290,2,TRUE))</f>
        <v/>
      </c>
    </row>
    <row r="35" spans="1:13" ht="30" customHeight="1" x14ac:dyDescent="0.25">
      <c r="A35" s="45"/>
      <c r="B35" s="45"/>
      <c r="C35" s="30"/>
      <c r="D35" s="46"/>
      <c r="E35" s="27"/>
      <c r="F35" s="31"/>
      <c r="G35" s="82" t="str">
        <f>IF(F35=0,"",VLOOKUP(F35,Employés!$A$2:$B$186,2,0))</f>
        <v/>
      </c>
      <c r="H35" s="82"/>
      <c r="I35" s="35"/>
      <c r="J35" s="29"/>
      <c r="K35" s="19"/>
      <c r="L35" s="20"/>
      <c r="M35" s="37" t="str">
        <f>IF(I35=0,"",VLOOKUP(I35,Municipalités!$A$2:$B$1290,2,TRUE))</f>
        <v/>
      </c>
    </row>
    <row r="36" spans="1:13" ht="30" customHeight="1" x14ac:dyDescent="0.25">
      <c r="A36" s="45"/>
      <c r="B36" s="45"/>
      <c r="C36" s="30"/>
      <c r="D36" s="46"/>
      <c r="E36" s="27"/>
      <c r="F36" s="31"/>
      <c r="G36" s="82" t="str">
        <f>IF(F36=0,"",VLOOKUP(F36,Employés!$A$2:$B$186,2,0))</f>
        <v/>
      </c>
      <c r="H36" s="82"/>
      <c r="I36" s="35"/>
      <c r="J36" s="29"/>
      <c r="K36" s="19"/>
      <c r="L36" s="20"/>
      <c r="M36" s="37" t="str">
        <f>IF(I36=0,"",VLOOKUP(I36,Municipalités!$A$2:$B$1290,2,TRUE))</f>
        <v/>
      </c>
    </row>
    <row r="37" spans="1:13" ht="30" customHeight="1" x14ac:dyDescent="0.25">
      <c r="A37" s="45"/>
      <c r="B37" s="45"/>
      <c r="C37" s="39"/>
      <c r="D37" s="46"/>
      <c r="E37" s="27"/>
      <c r="F37" s="31"/>
      <c r="G37" s="82" t="str">
        <f>IF(F37=0,"",VLOOKUP(F37,Employés!$A$2:$B$186,2,0))</f>
        <v/>
      </c>
      <c r="H37" s="82"/>
      <c r="I37" s="35"/>
      <c r="J37" s="29"/>
      <c r="K37" s="19"/>
      <c r="L37" s="20"/>
      <c r="M37" s="37" t="str">
        <f>IF(I37=0,"",VLOOKUP(I37,Municipalités!$A$2:$B$1290,2,TRUE))</f>
        <v/>
      </c>
    </row>
    <row r="38" spans="1:13" ht="30" customHeight="1" x14ac:dyDescent="0.25">
      <c r="A38" s="45"/>
      <c r="B38" s="45"/>
      <c r="C38" s="39"/>
      <c r="D38" s="47"/>
      <c r="E38" s="27"/>
      <c r="F38" s="31"/>
      <c r="G38" s="82" t="str">
        <f>IF(F38=0,"",VLOOKUP(F38,Employés!$A$2:$B$186,2,0))</f>
        <v/>
      </c>
      <c r="H38" s="82"/>
      <c r="I38" s="35"/>
      <c r="J38" s="29"/>
      <c r="K38" s="19"/>
      <c r="L38" s="20"/>
      <c r="M38" s="37" t="str">
        <f>IF(I38=0,"",VLOOKUP(I38,Municipalités!$A$2:$B$1290,2,TRUE))</f>
        <v/>
      </c>
    </row>
    <row r="39" spans="1:13" ht="30" customHeight="1" x14ac:dyDescent="0.25">
      <c r="A39" s="45"/>
      <c r="B39" s="45"/>
      <c r="C39" s="39"/>
      <c r="D39" s="45"/>
      <c r="E39" s="27"/>
      <c r="F39" s="31"/>
      <c r="G39" s="82" t="str">
        <f>IF(F39=0,"",VLOOKUP(F39,Employés!$A$2:$B$186,2,0))</f>
        <v/>
      </c>
      <c r="H39" s="82"/>
      <c r="I39" s="35"/>
      <c r="J39" s="29"/>
      <c r="K39" s="26"/>
      <c r="L39" s="25"/>
      <c r="M39" s="37" t="str">
        <f>IF(I39=0,"",VLOOKUP(I39,Municipalités!$A$2:$B$1290,2,TRUE))</f>
        <v/>
      </c>
    </row>
    <row r="40" spans="1:13" ht="30" customHeight="1" x14ac:dyDescent="0.25">
      <c r="A40" s="8"/>
      <c r="B40" s="8"/>
      <c r="C40" s="30"/>
      <c r="D40" s="8"/>
      <c r="E40" s="27"/>
      <c r="F40" s="31"/>
      <c r="G40" s="82" t="str">
        <f>IF(F40=0,"",VLOOKUP(F40,Employés!$A$2:$B$186,2,0))</f>
        <v/>
      </c>
      <c r="H40" s="82"/>
      <c r="I40" s="35"/>
      <c r="J40" s="29"/>
      <c r="K40" s="26"/>
      <c r="L40" s="25"/>
      <c r="M40" s="37" t="str">
        <f>IF(I40=0,"",VLOOKUP(I40,Municipalités!$A$2:$B$1290,2,TRUE))</f>
        <v/>
      </c>
    </row>
    <row r="41" spans="1:13" ht="30" customHeight="1" x14ac:dyDescent="0.25">
      <c r="A41" s="8"/>
      <c r="B41" s="8"/>
      <c r="C41" s="30"/>
      <c r="D41" s="8"/>
      <c r="E41" s="27"/>
      <c r="F41" s="31"/>
      <c r="G41" s="82" t="str">
        <f>IF(F41=0,"",VLOOKUP(F41,Employés!$A$2:$B$186,2,0))</f>
        <v/>
      </c>
      <c r="H41" s="82"/>
      <c r="I41" s="35"/>
      <c r="J41" s="29"/>
      <c r="K41" s="26"/>
      <c r="L41" s="25"/>
      <c r="M41" s="37" t="str">
        <f>IF(I41=0,"",VLOOKUP(I41,Municipalités!$A$2:$B$1290,2,TRUE))</f>
        <v/>
      </c>
    </row>
    <row r="42" spans="1:13" ht="30" customHeight="1" x14ac:dyDescent="0.25">
      <c r="A42" s="8"/>
      <c r="B42" s="8"/>
      <c r="C42" s="30"/>
      <c r="D42" s="8"/>
      <c r="E42" s="27"/>
      <c r="F42" s="31"/>
      <c r="G42" s="82" t="str">
        <f>IF(F42=0,"",VLOOKUP(F42,Employés!$A$2:$B$186,2,0))</f>
        <v/>
      </c>
      <c r="H42" s="82"/>
      <c r="I42" s="35"/>
      <c r="J42" s="29"/>
      <c r="K42" s="26"/>
      <c r="L42" s="25"/>
      <c r="M42" s="37" t="str">
        <f>IF(I42=0,"",VLOOKUP(I42,Municipalités!$A$2:$B$1290,2,TRUE))</f>
        <v/>
      </c>
    </row>
    <row r="43" spans="1:13" ht="30" customHeight="1" x14ac:dyDescent="0.25">
      <c r="A43" s="8"/>
      <c r="B43" s="8"/>
      <c r="C43" s="30"/>
      <c r="D43" s="8"/>
      <c r="E43" s="27" t="s">
        <v>1420</v>
      </c>
      <c r="F43" s="31"/>
      <c r="G43" s="82" t="str">
        <f>IF(F43=0,"",VLOOKUP(F43,Employés!$A$2:$B$186,2,0))</f>
        <v/>
      </c>
      <c r="H43" s="82"/>
      <c r="I43" s="35"/>
      <c r="J43" s="29"/>
      <c r="K43" s="26"/>
      <c r="L43" s="25" t="s">
        <v>1420</v>
      </c>
      <c r="M43" s="37" t="str">
        <f>IF(I43=0,"",VLOOKUP(I43,Municipalités!$A$2:$B$1290,2,TRUE))</f>
        <v/>
      </c>
    </row>
    <row r="44" spans="1:13" ht="30" customHeight="1" x14ac:dyDescent="0.25">
      <c r="A44" s="8"/>
      <c r="B44" s="8"/>
      <c r="C44" s="30"/>
      <c r="D44" s="8"/>
      <c r="E44" s="27"/>
      <c r="F44" s="31"/>
      <c r="G44" s="82" t="str">
        <f>IF(F44=0,"",VLOOKUP(F44,Employés!$A$2:$B$186,2,0))</f>
        <v/>
      </c>
      <c r="H44" s="82"/>
      <c r="I44" s="35"/>
      <c r="J44" s="29"/>
      <c r="K44" s="26"/>
      <c r="L44" s="25"/>
      <c r="M44" s="37" t="str">
        <f>IF(I44=0,"",VLOOKUP(I44,Municipalités!$A$2:$B$1290,2,TRUE))</f>
        <v/>
      </c>
    </row>
    <row r="45" spans="1:13" ht="30" customHeight="1" x14ac:dyDescent="0.25">
      <c r="A45" s="8"/>
      <c r="B45" s="8"/>
      <c r="C45" s="30"/>
      <c r="D45" s="8"/>
      <c r="E45" s="27"/>
      <c r="F45" s="31"/>
      <c r="G45" s="82" t="str">
        <f>IF(F45=0,"",VLOOKUP(F45,Employés!$A$2:$B$186,2,0))</f>
        <v/>
      </c>
      <c r="H45" s="82"/>
      <c r="I45" s="35"/>
      <c r="J45" s="29"/>
      <c r="K45" s="26"/>
      <c r="L45" s="25"/>
      <c r="M45" s="37" t="str">
        <f>IF(I45=0,"",VLOOKUP(I45,Municipalités!$A$2:$B$1290,2,TRUE))</f>
        <v/>
      </c>
    </row>
    <row r="46" spans="1:13" ht="30" customHeight="1" x14ac:dyDescent="0.25">
      <c r="A46" s="8"/>
      <c r="B46" s="8"/>
      <c r="C46" s="30"/>
      <c r="D46" s="8"/>
      <c r="E46" s="27"/>
      <c r="F46" s="31"/>
      <c r="G46" s="82" t="str">
        <f>IF(F46=0,"",VLOOKUP(F46,Employés!$A$2:$B$186,2,0))</f>
        <v/>
      </c>
      <c r="H46" s="82"/>
      <c r="I46" s="35"/>
      <c r="J46" s="29"/>
      <c r="K46" s="26"/>
      <c r="L46" s="25"/>
      <c r="M46" s="37" t="str">
        <f>IF(I46=0,"",VLOOKUP(I46,Municipalités!$A$2:$B$1290,2,TRUE))</f>
        <v/>
      </c>
    </row>
    <row r="47" spans="1:13" ht="30" customHeight="1" x14ac:dyDescent="0.25">
      <c r="A47" s="8"/>
      <c r="B47" s="8"/>
      <c r="C47" s="30"/>
      <c r="D47" s="8"/>
      <c r="E47" s="27"/>
      <c r="F47" s="31"/>
      <c r="G47" s="82" t="str">
        <f>IF(F47=0,"",VLOOKUP(F47,Employés!$A$2:$B$186,2,0))</f>
        <v/>
      </c>
      <c r="H47" s="82"/>
      <c r="I47" s="35"/>
      <c r="J47" s="29"/>
      <c r="K47" s="26"/>
      <c r="L47" s="25"/>
      <c r="M47" s="37" t="str">
        <f>IF(I47=0,"",VLOOKUP(I47,Municipalités!$A$2:$B$1290,2,TRUE))</f>
        <v/>
      </c>
    </row>
    <row r="48" spans="1:13" ht="30" customHeight="1" x14ac:dyDescent="0.25">
      <c r="A48" s="8"/>
      <c r="B48" s="8"/>
      <c r="C48" s="30"/>
      <c r="D48" s="8"/>
      <c r="E48" s="27"/>
      <c r="F48" s="31"/>
      <c r="G48" s="82" t="str">
        <f>IF(F48=0,"",VLOOKUP(F48,Employés!$A$2:$B$186,2,0))</f>
        <v/>
      </c>
      <c r="H48" s="82"/>
      <c r="I48" s="35"/>
      <c r="J48" s="29"/>
      <c r="K48" s="26"/>
      <c r="L48" s="25"/>
      <c r="M48" s="37" t="str">
        <f>IF(I48=0,"",VLOOKUP(I48,Municipalités!$A$2:$B$1290,2,TRUE))</f>
        <v/>
      </c>
    </row>
    <row r="49" spans="1:13" ht="30" customHeight="1" x14ac:dyDescent="0.25">
      <c r="A49" s="8"/>
      <c r="B49" s="8"/>
      <c r="C49" s="30"/>
      <c r="D49" s="8"/>
      <c r="E49" s="27"/>
      <c r="F49" s="31"/>
      <c r="G49" s="82" t="str">
        <f>IF(F49=0,"",VLOOKUP(F49,Employés!$A$2:$B$186,2,0))</f>
        <v/>
      </c>
      <c r="H49" s="82"/>
      <c r="I49" s="35"/>
      <c r="J49" s="29"/>
      <c r="K49" s="26"/>
      <c r="L49" s="25"/>
      <c r="M49" s="37" t="str">
        <f>IF(I49=0,"",VLOOKUP(I49,Municipalités!$A$2:$B$1290,2,TRUE))</f>
        <v/>
      </c>
    </row>
    <row r="50" spans="1:13" ht="30" customHeight="1" x14ac:dyDescent="0.25">
      <c r="A50" s="8"/>
      <c r="B50" s="8"/>
      <c r="C50" s="30"/>
      <c r="D50" s="8"/>
      <c r="E50" s="27"/>
      <c r="F50" s="31"/>
      <c r="G50" s="82" t="str">
        <f>IF(F50=0,"",VLOOKUP(F50,Employés!$A$2:$B$186,2,0))</f>
        <v/>
      </c>
      <c r="H50" s="82"/>
      <c r="I50" s="35"/>
      <c r="J50" s="29"/>
      <c r="K50" s="26"/>
      <c r="L50" s="25"/>
      <c r="M50" s="37" t="str">
        <f>IF(I50=0,"",VLOOKUP(I50,Municipalités!$A$2:$B$1290,2,TRUE))</f>
        <v/>
      </c>
    </row>
    <row r="51" spans="1:13" ht="30" customHeight="1" x14ac:dyDescent="0.25">
      <c r="A51" s="8"/>
      <c r="B51" s="8"/>
      <c r="C51" s="30"/>
      <c r="D51" s="8"/>
      <c r="E51" s="27"/>
      <c r="F51" s="31"/>
      <c r="G51" s="82" t="str">
        <f>IF(F51=0,"",VLOOKUP(F51,Employés!$A$2:$B$186,2,0))</f>
        <v/>
      </c>
      <c r="H51" s="82"/>
      <c r="I51" s="35"/>
      <c r="J51" s="29"/>
      <c r="K51" s="26"/>
      <c r="L51" s="25"/>
      <c r="M51" s="37" t="str">
        <f>IF(I51=0,"",VLOOKUP(I51,Municipalités!$A$2:$B$1290,2,TRUE))</f>
        <v/>
      </c>
    </row>
    <row r="52" spans="1:13" ht="30" customHeight="1" x14ac:dyDescent="0.25">
      <c r="A52" s="8"/>
      <c r="B52" s="8"/>
      <c r="C52" s="30"/>
      <c r="D52" s="8"/>
      <c r="E52" s="27"/>
      <c r="F52" s="31"/>
      <c r="G52" s="82" t="str">
        <f>IF(F52=0,"",VLOOKUP(F52,Employés!$A$2:$B$186,2,0))</f>
        <v/>
      </c>
      <c r="H52" s="82"/>
      <c r="I52" s="35"/>
      <c r="J52" s="29"/>
      <c r="K52" s="26"/>
      <c r="L52" s="25"/>
      <c r="M52" s="37" t="str">
        <f>IF(I52=0,"",VLOOKUP(I52,Municipalités!$A$2:$B$1290,2,TRUE))</f>
        <v/>
      </c>
    </row>
    <row r="53" spans="1:13" ht="30" customHeight="1" x14ac:dyDescent="0.25">
      <c r="A53" s="8"/>
      <c r="B53" s="8"/>
      <c r="C53" s="30"/>
      <c r="D53" s="8"/>
      <c r="E53" s="27"/>
      <c r="F53" s="31"/>
      <c r="G53" s="82" t="str">
        <f>IF(F53=0,"",VLOOKUP(F53,Employés!$A$2:$B$186,2,0))</f>
        <v/>
      </c>
      <c r="H53" s="82"/>
      <c r="I53" s="35"/>
      <c r="J53" s="29"/>
      <c r="K53" s="26"/>
      <c r="L53" s="25"/>
      <c r="M53" s="37" t="str">
        <f>IF(I53=0,"",VLOOKUP(I53,Municipalités!$A$2:$B$1290,2,TRUE))</f>
        <v/>
      </c>
    </row>
    <row r="54" spans="1:13" ht="30" customHeight="1" x14ac:dyDescent="0.25">
      <c r="A54" s="8"/>
      <c r="B54" s="8"/>
      <c r="C54" s="30"/>
      <c r="D54" s="8"/>
      <c r="E54" s="27"/>
      <c r="F54" s="31"/>
      <c r="G54" s="82" t="str">
        <f>IF(F54=0,"",VLOOKUP(F54,Employés!$A$2:$B$186,2,0))</f>
        <v/>
      </c>
      <c r="H54" s="82"/>
      <c r="I54" s="35"/>
      <c r="J54" s="29"/>
      <c r="K54" s="26"/>
      <c r="L54" s="25"/>
      <c r="M54" s="37" t="str">
        <f>IF(I54=0,"",VLOOKUP(I54,Municipalités!$A$2:$B$1290,2,TRUE))</f>
        <v/>
      </c>
    </row>
    <row r="55" spans="1:13" ht="30" customHeight="1" x14ac:dyDescent="0.25">
      <c r="A55" s="8"/>
      <c r="B55" s="8"/>
      <c r="C55" s="30"/>
      <c r="D55" s="8"/>
      <c r="E55" s="27"/>
      <c r="F55" s="31"/>
      <c r="G55" s="82" t="str">
        <f>IF(F55=0,"",VLOOKUP(F55,Employés!$A$2:$B$186,2,0))</f>
        <v/>
      </c>
      <c r="H55" s="82"/>
      <c r="I55" s="35"/>
      <c r="J55" s="29"/>
      <c r="K55" s="26"/>
      <c r="L55" s="25"/>
      <c r="M55" s="37" t="str">
        <f>IF(I55=0,"",VLOOKUP(I55,Municipalités!$A$2:$B$1290,2,TRUE))</f>
        <v/>
      </c>
    </row>
    <row r="56" spans="1:13" ht="30" customHeight="1" x14ac:dyDescent="0.25">
      <c r="A56" s="8"/>
      <c r="B56" s="8"/>
      <c r="C56" s="30"/>
      <c r="D56" s="8"/>
      <c r="E56" s="27"/>
      <c r="F56" s="31"/>
      <c r="G56" s="82" t="str">
        <f>IF(F56=0,"",VLOOKUP(F56,Employés!$A$2:$B$186,2,0))</f>
        <v/>
      </c>
      <c r="H56" s="82"/>
      <c r="I56" s="35"/>
      <c r="J56" s="29"/>
      <c r="K56" s="26"/>
      <c r="L56" s="25"/>
      <c r="M56" s="37" t="str">
        <f>IF(I56=0,"",VLOOKUP(I56,Municipalités!$A$2:$B$1290,2,TRUE))</f>
        <v/>
      </c>
    </row>
    <row r="57" spans="1:13" ht="30" customHeight="1" x14ac:dyDescent="0.25">
      <c r="A57" s="8"/>
      <c r="B57" s="8"/>
      <c r="C57" s="30"/>
      <c r="D57" s="8"/>
      <c r="E57" s="27"/>
      <c r="F57" s="31"/>
      <c r="G57" s="82" t="str">
        <f>IF(F57=0,"",VLOOKUP(F57,Employés!$A$2:$B$186,2,0))</f>
        <v/>
      </c>
      <c r="H57" s="82"/>
      <c r="I57" s="35"/>
      <c r="J57" s="29"/>
      <c r="K57" s="26"/>
      <c r="L57" s="25"/>
      <c r="M57" s="37" t="str">
        <f>IF(I57=0,"",VLOOKUP(I57,Municipalités!$A$2:$B$1290,2,TRUE))</f>
        <v/>
      </c>
    </row>
    <row r="58" spans="1:13" ht="30" customHeight="1" x14ac:dyDescent="0.25">
      <c r="A58" s="8"/>
      <c r="B58" s="8"/>
      <c r="C58" s="30"/>
      <c r="D58" s="8"/>
      <c r="E58" s="27"/>
      <c r="F58" s="31"/>
      <c r="G58" s="82" t="str">
        <f>IF(F58=0,"",VLOOKUP(F58,Employés!$A$2:$B$186,2,0))</f>
        <v/>
      </c>
      <c r="H58" s="82"/>
      <c r="I58" s="35"/>
      <c r="J58" s="29"/>
      <c r="K58" s="26"/>
      <c r="L58" s="25"/>
      <c r="M58" s="37" t="str">
        <f>IF(I58=0,"",VLOOKUP(I58,Municipalités!$A$2:$B$1290,2,TRUE))</f>
        <v/>
      </c>
    </row>
    <row r="59" spans="1:13" ht="30" customHeight="1" x14ac:dyDescent="0.25">
      <c r="A59" s="8"/>
      <c r="B59" s="8"/>
      <c r="C59" s="30"/>
      <c r="D59" s="8"/>
      <c r="E59" s="27"/>
      <c r="F59" s="31"/>
      <c r="G59" s="82" t="str">
        <f>IF(F59=0,"",VLOOKUP(F59,Employés!$A$2:$B$186,2,0))</f>
        <v/>
      </c>
      <c r="H59" s="82"/>
      <c r="I59" s="35"/>
      <c r="J59" s="29"/>
      <c r="K59" s="26"/>
      <c r="L59" s="25"/>
      <c r="M59" s="37" t="str">
        <f>IF(I59=0,"",VLOOKUP(I59,Municipalités!$A$2:$B$1290,2,TRUE))</f>
        <v/>
      </c>
    </row>
    <row r="60" spans="1:13" ht="30" customHeight="1" x14ac:dyDescent="0.25">
      <c r="A60" s="8"/>
      <c r="B60" s="8"/>
      <c r="C60" s="30"/>
      <c r="D60" s="8"/>
      <c r="E60" s="27"/>
      <c r="F60" s="31"/>
      <c r="G60" s="82" t="str">
        <f>IF(F60=0,"",VLOOKUP(F60,Employés!$A$2:$B$186,2,0))</f>
        <v/>
      </c>
      <c r="H60" s="82"/>
      <c r="I60" s="35"/>
      <c r="J60" s="29"/>
      <c r="K60" s="26"/>
      <c r="L60" s="25"/>
      <c r="M60" s="37" t="str">
        <f>IF(I60=0,"",VLOOKUP(I60,Municipalités!$A$2:$B$1290,2,TRUE))</f>
        <v/>
      </c>
    </row>
    <row r="61" spans="1:13" ht="30" customHeight="1" x14ac:dyDescent="0.25">
      <c r="A61" s="8"/>
      <c r="B61" s="8"/>
      <c r="C61" s="30"/>
      <c r="D61" s="8"/>
      <c r="E61" s="27"/>
      <c r="F61" s="31"/>
      <c r="G61" s="82" t="str">
        <f>IF(F61=0,"",VLOOKUP(F61,Employés!$A$2:$B$186,2,0))</f>
        <v/>
      </c>
      <c r="H61" s="82"/>
      <c r="I61" s="35"/>
      <c r="J61" s="29"/>
      <c r="K61" s="26"/>
      <c r="L61" s="25"/>
      <c r="M61" s="37" t="str">
        <f>IF(I61=0,"",VLOOKUP(I61,Municipalités!$A$2:$B$1290,2,TRUE))</f>
        <v/>
      </c>
    </row>
    <row r="62" spans="1:13" x14ac:dyDescent="0.25">
      <c r="C62" s="14"/>
    </row>
    <row r="63" spans="1:13" x14ac:dyDescent="0.25">
      <c r="C63" s="14"/>
    </row>
    <row r="64" spans="1:13" x14ac:dyDescent="0.25">
      <c r="C64" s="14"/>
    </row>
    <row r="65" spans="3:5" x14ac:dyDescent="0.25">
      <c r="C65" s="14"/>
    </row>
    <row r="66" spans="3:5" x14ac:dyDescent="0.25">
      <c r="C66" s="14"/>
    </row>
    <row r="67" spans="3:5" x14ac:dyDescent="0.25">
      <c r="C67" s="14"/>
    </row>
    <row r="68" spans="3:5" x14ac:dyDescent="0.25">
      <c r="C68" s="14"/>
    </row>
    <row r="69" spans="3:5" x14ac:dyDescent="0.25">
      <c r="C69" s="14"/>
    </row>
    <row r="70" spans="3:5" x14ac:dyDescent="0.25">
      <c r="C70" s="14"/>
    </row>
    <row r="71" spans="3:5" x14ac:dyDescent="0.25">
      <c r="C71" s="14"/>
    </row>
    <row r="72" spans="3:5" x14ac:dyDescent="0.25">
      <c r="C72" s="14"/>
    </row>
    <row r="73" spans="3:5" x14ac:dyDescent="0.25">
      <c r="C73" s="14"/>
    </row>
    <row r="74" spans="3:5" x14ac:dyDescent="0.25">
      <c r="C74" s="14"/>
    </row>
    <row r="75" spans="3:5" x14ac:dyDescent="0.25">
      <c r="C75" s="14"/>
    </row>
    <row r="76" spans="3:5" x14ac:dyDescent="0.25">
      <c r="C76" s="14"/>
    </row>
    <row r="77" spans="3:5" x14ac:dyDescent="0.25">
      <c r="C77" s="14"/>
    </row>
    <row r="78" spans="3:5" x14ac:dyDescent="0.25">
      <c r="C78" s="14"/>
      <c r="E78" s="21" t="s">
        <v>1420</v>
      </c>
    </row>
    <row r="79" spans="3:5" x14ac:dyDescent="0.25">
      <c r="C79" s="14"/>
    </row>
    <row r="80" spans="3:5" x14ac:dyDescent="0.25">
      <c r="C80" s="14"/>
    </row>
    <row r="81" spans="3:3" x14ac:dyDescent="0.25">
      <c r="C81" s="14"/>
    </row>
    <row r="82" spans="3:3" x14ac:dyDescent="0.25">
      <c r="C82" s="14"/>
    </row>
    <row r="83" spans="3:3" x14ac:dyDescent="0.25">
      <c r="C83" s="14"/>
    </row>
    <row r="84" spans="3:3" x14ac:dyDescent="0.25">
      <c r="C84" s="14"/>
    </row>
    <row r="85" spans="3:3" x14ac:dyDescent="0.25">
      <c r="C85" s="14"/>
    </row>
    <row r="86" spans="3:3" x14ac:dyDescent="0.25">
      <c r="C86" s="14"/>
    </row>
    <row r="87" spans="3:3" x14ac:dyDescent="0.25">
      <c r="C87" s="14"/>
    </row>
    <row r="88" spans="3:3" x14ac:dyDescent="0.25">
      <c r="C88" s="14"/>
    </row>
    <row r="89" spans="3:3" x14ac:dyDescent="0.25">
      <c r="C89" s="14"/>
    </row>
    <row r="90" spans="3:3" x14ac:dyDescent="0.25">
      <c r="C90" s="14"/>
    </row>
    <row r="91" spans="3:3" x14ac:dyDescent="0.25">
      <c r="C91" s="14"/>
    </row>
    <row r="92" spans="3:3" x14ac:dyDescent="0.25">
      <c r="C92" s="14"/>
    </row>
    <row r="93" spans="3:3" x14ac:dyDescent="0.25">
      <c r="C93" s="14"/>
    </row>
    <row r="94" spans="3:3" x14ac:dyDescent="0.25">
      <c r="C94" s="14"/>
    </row>
    <row r="95" spans="3:3" x14ac:dyDescent="0.25">
      <c r="C95" s="14"/>
    </row>
    <row r="96" spans="3:3" x14ac:dyDescent="0.25">
      <c r="C96" s="14"/>
    </row>
    <row r="97" spans="3:3" x14ac:dyDescent="0.25">
      <c r="C97" s="14"/>
    </row>
    <row r="98" spans="3:3" x14ac:dyDescent="0.25">
      <c r="C98" s="14"/>
    </row>
  </sheetData>
  <mergeCells count="67">
    <mergeCell ref="G59:H59"/>
    <mergeCell ref="G60:H60"/>
    <mergeCell ref="G61:H61"/>
    <mergeCell ref="G53:H53"/>
    <mergeCell ref="G54:H54"/>
    <mergeCell ref="G55:H55"/>
    <mergeCell ref="G56:H56"/>
    <mergeCell ref="G57:H57"/>
    <mergeCell ref="G58:H58"/>
    <mergeCell ref="G52:H52"/>
    <mergeCell ref="G41:H41"/>
    <mergeCell ref="G42:H42"/>
    <mergeCell ref="G43:H43"/>
    <mergeCell ref="G44:H44"/>
    <mergeCell ref="G45:H45"/>
    <mergeCell ref="G46:H46"/>
    <mergeCell ref="G47:H47"/>
    <mergeCell ref="G48:H48"/>
    <mergeCell ref="G49:H49"/>
    <mergeCell ref="G50:H50"/>
    <mergeCell ref="G51:H51"/>
    <mergeCell ref="G40:H40"/>
    <mergeCell ref="G29:H29"/>
    <mergeCell ref="G30:H30"/>
    <mergeCell ref="G31:H31"/>
    <mergeCell ref="G32:H32"/>
    <mergeCell ref="G33:H33"/>
    <mergeCell ref="G34:H34"/>
    <mergeCell ref="G35:H35"/>
    <mergeCell ref="G36:H36"/>
    <mergeCell ref="G37:H37"/>
    <mergeCell ref="G38:H38"/>
    <mergeCell ref="G39:H39"/>
    <mergeCell ref="G28:H28"/>
    <mergeCell ref="G17:H17"/>
    <mergeCell ref="G18:H18"/>
    <mergeCell ref="G19:H19"/>
    <mergeCell ref="G20:H20"/>
    <mergeCell ref="G21:H21"/>
    <mergeCell ref="G22:H22"/>
    <mergeCell ref="G23:H23"/>
    <mergeCell ref="G24:H24"/>
    <mergeCell ref="G25:H25"/>
    <mergeCell ref="G26:H26"/>
    <mergeCell ref="G27:H27"/>
    <mergeCell ref="M2:M4"/>
    <mergeCell ref="G16:H16"/>
    <mergeCell ref="I6:I7"/>
    <mergeCell ref="J6:J7"/>
    <mergeCell ref="K6:M6"/>
    <mergeCell ref="G8:H8"/>
    <mergeCell ref="G9:H9"/>
    <mergeCell ref="G10:H10"/>
    <mergeCell ref="G11:H11"/>
    <mergeCell ref="G12:H12"/>
    <mergeCell ref="G13:H13"/>
    <mergeCell ref="G14:H14"/>
    <mergeCell ref="G15:H15"/>
    <mergeCell ref="E1:F4"/>
    <mergeCell ref="L1:L2"/>
    <mergeCell ref="A6:A7"/>
    <mergeCell ref="B6:B7"/>
    <mergeCell ref="C6:C7"/>
    <mergeCell ref="D6:D7"/>
    <mergeCell ref="E6:E7"/>
    <mergeCell ref="F6:F7"/>
    <mergeCell ref="G6:H7"/>
  </mergeCells>
  <conditionalFormatting sqref="C21 C23:C45">
    <cfRule type="expression" dxfId="181" priority="10" stopIfTrue="1">
      <formula>#REF!=1</formula>
    </cfRule>
    <cfRule type="expression" priority="11" stopIfTrue="1">
      <formula>#REF!=2</formula>
    </cfRule>
    <cfRule type="expression" dxfId="180" priority="12" stopIfTrue="1">
      <formula>#REF!=3</formula>
    </cfRule>
  </conditionalFormatting>
  <conditionalFormatting sqref="C22">
    <cfRule type="expression" dxfId="179" priority="7" stopIfTrue="1">
      <formula>#REF!=1</formula>
    </cfRule>
    <cfRule type="expression" priority="8" stopIfTrue="1">
      <formula>#REF!=2</formula>
    </cfRule>
    <cfRule type="expression" dxfId="178" priority="9" stopIfTrue="1">
      <formula>#REF!=3</formula>
    </cfRule>
  </conditionalFormatting>
  <conditionalFormatting sqref="C46:C61">
    <cfRule type="expression" dxfId="177" priority="4" stopIfTrue="1">
      <formula>#REF!=1</formula>
    </cfRule>
    <cfRule type="expression" priority="5" stopIfTrue="1">
      <formula>#REF!=2</formula>
    </cfRule>
    <cfRule type="expression" dxfId="176" priority="6" stopIfTrue="1">
      <formula>#REF!=3</formula>
    </cfRule>
  </conditionalFormatting>
  <conditionalFormatting sqref="C8:C20">
    <cfRule type="expression" dxfId="175" priority="1" stopIfTrue="1">
      <formula>#REF!=1</formula>
    </cfRule>
    <cfRule type="expression" priority="2" stopIfTrue="1">
      <formula>#REF!=2</formula>
    </cfRule>
    <cfRule type="expression" dxfId="174" priority="3" stopIfTrue="1">
      <formula>#REF!=3</formula>
    </cfRule>
  </conditionalFormatting>
  <dataValidations count="2">
    <dataValidation operator="greaterThan" allowBlank="1" showDropDown="1" showInputMessage="1" showErrorMessage="1" errorTitle="Saisie incorrecte" error="Re-Saisir le numéro de dossier sous le format_x000a_000-000000-000" promptTitle="Saisie du numéro d'événement" prompt="000-000000-000_x000a_Ex. : 071-030901-001" sqref="J8:J39" xr:uid="{00000000-0002-0000-0100-000000000000}"/>
    <dataValidation type="textLength" operator="greaterThanOrEqual" allowBlank="1" showInputMessage="1" showErrorMessage="1" errorTitle="Saisie incorrecte" error="Re-saisir le numéro d'entrée en utilisant 3 chiffres_x000a_Ex.: 001" promptTitle="Saisie du numéro d'entrée" prompt="Minimum 3 chiffres_x000a_Ex.: 001" sqref="C8:C39" xr:uid="{00000000-0002-0000-0100-000001000000}">
      <formula1>3</formula1>
    </dataValidation>
  </dataValidations>
  <printOptions horizontalCentered="1" verticalCentered="1"/>
  <pageMargins left="0" right="0" top="0.31496062992125984" bottom="0.39370078740157483" header="0.15748031496062992" footer="0.19685039370078741"/>
  <pageSetup paperSize="5" scale="90" orientation="landscape" r:id="rId1"/>
  <headerFooter alignWithMargins="0">
    <oddFooter>&amp;R&amp;8Page &amp;P de &amp;N</oddFooter>
  </headerFooter>
  <drawing r:id="rId2"/>
  <legacyDrawing r:id="rId3"/>
  <controls>
    <mc:AlternateContent xmlns:mc="http://schemas.openxmlformats.org/markup-compatibility/2006">
      <mc:Choice Requires="x14">
        <control shapeId="143363" r:id="rId4" name="ComboBox2">
          <controlPr defaultSize="0" autoLine="0" r:id="rId5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4</xdr:col>
                <xdr:colOff>2965450</xdr:colOff>
                <xdr:row>8</xdr:row>
                <xdr:rowOff>38100</xdr:rowOff>
              </to>
            </anchor>
          </controlPr>
        </control>
      </mc:Choice>
      <mc:Fallback>
        <control shapeId="143363" r:id="rId4" name="ComboBox2"/>
      </mc:Fallback>
    </mc:AlternateContent>
    <mc:AlternateContent xmlns:mc="http://schemas.openxmlformats.org/markup-compatibility/2006">
      <mc:Choice Requires="x14">
        <control shapeId="143362" r:id="rId6" name="ComboBox1">
          <controlPr defaultSize="0" autoLine="0" r:id="rId7">
            <anchor moveWithCells="1">
              <from>
                <xdr:col>11</xdr:col>
                <xdr:colOff>0</xdr:colOff>
                <xdr:row>9</xdr:row>
                <xdr:rowOff>0</xdr:rowOff>
              </from>
              <to>
                <xdr:col>11</xdr:col>
                <xdr:colOff>1803400</xdr:colOff>
                <xdr:row>10</xdr:row>
                <xdr:rowOff>38100</xdr:rowOff>
              </to>
            </anchor>
          </controlPr>
        </control>
      </mc:Choice>
      <mc:Fallback>
        <control shapeId="143362" r:id="rId6" name="ComboBox1"/>
      </mc:Fallback>
    </mc:AlternateContent>
    <mc:AlternateContent xmlns:mc="http://schemas.openxmlformats.org/markup-compatibility/2006">
      <mc:Choice Requires="x14">
        <control shapeId="143361" r:id="rId8" name="Button 1">
          <controlPr defaultSize="0" print="0" autoFill="0" autoPict="0" macro="[0]!test2">
            <anchor moveWithCells="1">
              <from>
                <xdr:col>5</xdr:col>
                <xdr:colOff>222250</xdr:colOff>
                <xdr:row>1</xdr:row>
                <xdr:rowOff>139700</xdr:rowOff>
              </from>
              <to>
                <xdr:col>9</xdr:col>
                <xdr:colOff>1143000</xdr:colOff>
                <xdr:row>4</xdr:row>
                <xdr:rowOff>107950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60"/>
  <dimension ref="A1:M98"/>
  <sheetViews>
    <sheetView showGridLines="0" zoomScaleNormal="100" workbookViewId="0">
      <pane xSplit="3" ySplit="7" topLeftCell="F32" activePane="bottomRight" state="frozen"/>
      <selection activeCell="C8" sqref="C8"/>
      <selection pane="topRight" activeCell="C8" sqref="C8"/>
      <selection pane="bottomLeft" activeCell="C8" sqref="C8"/>
      <selection pane="bottomRight" activeCell="T13" sqref="T13"/>
    </sheetView>
  </sheetViews>
  <sheetFormatPr baseColWidth="10" defaultColWidth="11.453125" defaultRowHeight="13" x14ac:dyDescent="0.25"/>
  <cols>
    <col min="1" max="2" width="5.6328125" style="1" customWidth="1"/>
    <col min="3" max="3" width="6.6328125" style="1" customWidth="1"/>
    <col min="4" max="4" width="7.54296875" style="1" customWidth="1"/>
    <col min="5" max="5" width="44.453125" style="21" customWidth="1"/>
    <col min="6" max="6" width="10.54296875" style="1" customWidth="1"/>
    <col min="7" max="7" width="13.90625" style="1" customWidth="1"/>
    <col min="8" max="8" width="4.6328125" style="1" hidden="1" customWidth="1"/>
    <col min="9" max="9" width="6.08984375" style="1" customWidth="1"/>
    <col min="10" max="10" width="26.54296875" style="1" customWidth="1"/>
    <col min="11" max="11" width="7.36328125" style="1" customWidth="1"/>
    <col min="12" max="12" width="27" style="24" customWidth="1"/>
    <col min="13" max="13" width="26" style="1" customWidth="1"/>
    <col min="14" max="16384" width="11.453125" style="1"/>
  </cols>
  <sheetData>
    <row r="1" spans="1:13" ht="12.75" customHeight="1" x14ac:dyDescent="0.25">
      <c r="E1" s="71" t="s">
        <v>1023</v>
      </c>
      <c r="F1" s="72"/>
      <c r="L1" s="73" t="s">
        <v>1021</v>
      </c>
      <c r="M1" s="51" t="s">
        <v>1022</v>
      </c>
    </row>
    <row r="2" spans="1:13" ht="12.75" customHeight="1" x14ac:dyDescent="0.25">
      <c r="E2" s="72"/>
      <c r="F2" s="72"/>
      <c r="L2" s="74"/>
      <c r="M2" s="70">
        <f>'02'!M2:M5+1</f>
        <v>42707</v>
      </c>
    </row>
    <row r="3" spans="1:13" ht="12.75" customHeight="1" x14ac:dyDescent="0.25">
      <c r="E3" s="72"/>
      <c r="F3" s="72"/>
      <c r="L3" s="52"/>
      <c r="M3" s="70"/>
    </row>
    <row r="4" spans="1:13" ht="15.75" customHeight="1" x14ac:dyDescent="0.25">
      <c r="E4" s="72"/>
      <c r="F4" s="72"/>
      <c r="L4" s="49" t="s">
        <v>140</v>
      </c>
      <c r="M4" s="70"/>
    </row>
    <row r="5" spans="1:13" ht="21.9" customHeight="1" thickBot="1" x14ac:dyDescent="0.3">
      <c r="L5" s="36"/>
      <c r="M5" s="69">
        <f>M2</f>
        <v>42707</v>
      </c>
    </row>
    <row r="6" spans="1:13" ht="24.9" customHeight="1" x14ac:dyDescent="0.25">
      <c r="A6" s="75" t="s">
        <v>2351</v>
      </c>
      <c r="B6" s="75" t="s">
        <v>2350</v>
      </c>
      <c r="C6" s="76" t="s">
        <v>1362</v>
      </c>
      <c r="D6" s="75" t="s">
        <v>1153</v>
      </c>
      <c r="E6" s="75" t="s">
        <v>1016</v>
      </c>
      <c r="F6" s="76" t="s">
        <v>2352</v>
      </c>
      <c r="G6" s="76" t="s">
        <v>1017</v>
      </c>
      <c r="H6" s="79"/>
      <c r="I6" s="76" t="s">
        <v>1364</v>
      </c>
      <c r="J6" s="76" t="s">
        <v>1363</v>
      </c>
      <c r="K6" s="83" t="s">
        <v>1018</v>
      </c>
      <c r="L6" s="84"/>
      <c r="M6" s="84"/>
    </row>
    <row r="7" spans="1:13" ht="12.5" x14ac:dyDescent="0.25">
      <c r="A7" s="75"/>
      <c r="B7" s="75"/>
      <c r="C7" s="77"/>
      <c r="D7" s="75"/>
      <c r="E7" s="75"/>
      <c r="F7" s="78"/>
      <c r="G7" s="80"/>
      <c r="H7" s="81"/>
      <c r="I7" s="77"/>
      <c r="J7" s="77"/>
      <c r="K7" s="50" t="s">
        <v>1015</v>
      </c>
      <c r="L7" s="50" t="s">
        <v>1019</v>
      </c>
      <c r="M7" s="32" t="s">
        <v>1020</v>
      </c>
    </row>
    <row r="8" spans="1:13" ht="30" customHeight="1" x14ac:dyDescent="0.25">
      <c r="A8" s="45"/>
      <c r="B8" s="45"/>
      <c r="C8" s="30"/>
      <c r="D8" s="46"/>
      <c r="E8" s="27"/>
      <c r="F8" s="31"/>
      <c r="G8" s="82" t="str">
        <f>IF(F8=0,"",VLOOKUP(F8,Employés!$A$2:$B$186,2,0))</f>
        <v/>
      </c>
      <c r="H8" s="82"/>
      <c r="I8" s="34"/>
      <c r="J8" s="33"/>
      <c r="K8" s="19"/>
      <c r="L8" s="20" t="s">
        <v>1420</v>
      </c>
      <c r="M8" s="37" t="str">
        <f>IF(I8=0,"",VLOOKUP(I8,Municipalités!$A$2:$B$1290,2,TRUE))</f>
        <v/>
      </c>
    </row>
    <row r="9" spans="1:13" ht="30" customHeight="1" x14ac:dyDescent="0.25">
      <c r="A9" s="45"/>
      <c r="B9" s="45"/>
      <c r="C9" s="39"/>
      <c r="D9" s="47"/>
      <c r="E9" s="27"/>
      <c r="F9" s="31"/>
      <c r="G9" s="82" t="str">
        <f>IF(F9=0,"",VLOOKUP(F9,Employés!$A$2:$B$186,2,0))</f>
        <v/>
      </c>
      <c r="H9" s="82"/>
      <c r="I9" s="35"/>
      <c r="J9" s="33"/>
      <c r="K9" s="19"/>
      <c r="L9" s="20"/>
      <c r="M9" s="37" t="str">
        <f>IF(I9=0,"",VLOOKUP(I9,Municipalités!$A$2:$B$1290,2,TRUE))</f>
        <v/>
      </c>
    </row>
    <row r="10" spans="1:13" ht="30" customHeight="1" x14ac:dyDescent="0.25">
      <c r="A10" s="45"/>
      <c r="B10" s="45"/>
      <c r="C10" s="39"/>
      <c r="D10" s="48"/>
      <c r="E10" s="28"/>
      <c r="F10" s="31"/>
      <c r="G10" s="82" t="str">
        <f>IF(F10=0,"",VLOOKUP(F10,Employés!$A$2:$B$186,2,0))</f>
        <v/>
      </c>
      <c r="H10" s="82"/>
      <c r="I10" s="35"/>
      <c r="J10" s="29"/>
      <c r="K10" s="19"/>
      <c r="L10" s="20"/>
      <c r="M10" s="37" t="str">
        <f>IF(I10=0,"",VLOOKUP(I10,Municipalités!$A$2:$B$1290,2,TRUE))</f>
        <v/>
      </c>
    </row>
    <row r="11" spans="1:13" ht="30" customHeight="1" x14ac:dyDescent="0.25">
      <c r="A11" s="45"/>
      <c r="B11" s="45"/>
      <c r="C11" s="39"/>
      <c r="D11" s="47"/>
      <c r="E11" s="28" t="s">
        <v>1420</v>
      </c>
      <c r="F11" s="31"/>
      <c r="G11" s="82" t="str">
        <f>IF(F11=0,"",VLOOKUP(F11,Employés!$A$2:$B$186,2,0))</f>
        <v/>
      </c>
      <c r="H11" s="82"/>
      <c r="I11" s="35"/>
      <c r="J11" s="29"/>
      <c r="K11" s="19"/>
      <c r="L11" s="20"/>
      <c r="M11" s="37" t="str">
        <f>IF(I11=0,"",VLOOKUP(I11,Municipalités!$A$2:$B$1290,2,TRUE))</f>
        <v/>
      </c>
    </row>
    <row r="12" spans="1:13" ht="30" customHeight="1" x14ac:dyDescent="0.25">
      <c r="A12" s="45"/>
      <c r="B12" s="45"/>
      <c r="C12" s="39"/>
      <c r="D12" s="46"/>
      <c r="E12" s="27"/>
      <c r="F12" s="31"/>
      <c r="G12" s="82" t="str">
        <f>IF(F12=0,"",VLOOKUP(F12,Employés!$A$2:$B$186,2,0))</f>
        <v/>
      </c>
      <c r="H12" s="82"/>
      <c r="I12" s="35"/>
      <c r="J12" s="29"/>
      <c r="K12" s="19"/>
      <c r="L12" s="20"/>
      <c r="M12" s="37" t="str">
        <f>IF(I12=0,"",VLOOKUP(I12,Municipalités!$A$2:$B$1290,2,TRUE))</f>
        <v/>
      </c>
    </row>
    <row r="13" spans="1:13" ht="30" customHeight="1" x14ac:dyDescent="0.25">
      <c r="A13" s="45"/>
      <c r="B13" s="45"/>
      <c r="C13" s="39"/>
      <c r="D13" s="46"/>
      <c r="E13" s="27"/>
      <c r="F13" s="31"/>
      <c r="G13" s="82" t="str">
        <f>IF(F13=0,"",VLOOKUP(F13,Employés!$A$2:$B$186,2,0))</f>
        <v/>
      </c>
      <c r="H13" s="82"/>
      <c r="I13" s="35"/>
      <c r="J13" s="29"/>
      <c r="K13" s="19"/>
      <c r="L13" s="20"/>
      <c r="M13" s="37" t="str">
        <f>IF(I13=0,"",VLOOKUP(I13,Municipalités!$A$2:$B$1290,2,TRUE))</f>
        <v/>
      </c>
    </row>
    <row r="14" spans="1:13" ht="30" customHeight="1" x14ac:dyDescent="0.25">
      <c r="A14" s="45"/>
      <c r="B14" s="45"/>
      <c r="C14" s="39"/>
      <c r="D14" s="47"/>
      <c r="E14" s="27"/>
      <c r="F14" s="31"/>
      <c r="G14" s="82" t="str">
        <f>IF(F14=0,"",VLOOKUP(F14,Employés!$A$2:$B$186,2,0))</f>
        <v/>
      </c>
      <c r="H14" s="82"/>
      <c r="I14" s="35"/>
      <c r="J14" s="29"/>
      <c r="K14" s="19"/>
      <c r="L14" s="20"/>
      <c r="M14" s="37" t="str">
        <f>IF(I14=0,"",VLOOKUP(I14,Municipalités!$A$2:$B$1290,2,TRUE))</f>
        <v/>
      </c>
    </row>
    <row r="15" spans="1:13" ht="30" customHeight="1" x14ac:dyDescent="0.25">
      <c r="A15" s="45"/>
      <c r="B15" s="45"/>
      <c r="C15" s="39"/>
      <c r="D15" s="47"/>
      <c r="E15" s="27"/>
      <c r="F15" s="31"/>
      <c r="G15" s="82" t="str">
        <f>IF(F15=0,"",VLOOKUP(F15,Employés!$A$2:$B$186,2,0))</f>
        <v/>
      </c>
      <c r="H15" s="82"/>
      <c r="I15" s="35"/>
      <c r="J15" s="29"/>
      <c r="K15" s="19"/>
      <c r="L15" s="20"/>
      <c r="M15" s="37" t="str">
        <f>IF(I15=0,"",VLOOKUP(I15,Municipalités!$A$2:$B$1290,2,TRUE))</f>
        <v/>
      </c>
    </row>
    <row r="16" spans="1:13" ht="30" customHeight="1" x14ac:dyDescent="0.25">
      <c r="A16" s="45"/>
      <c r="B16" s="45"/>
      <c r="C16" s="39"/>
      <c r="D16" s="46"/>
      <c r="E16" s="27"/>
      <c r="F16" s="31"/>
      <c r="G16" s="82" t="str">
        <f>IF(F16=0,"",VLOOKUP(F16,Employés!$A$2:$B$186,2,0))</f>
        <v/>
      </c>
      <c r="H16" s="82"/>
      <c r="I16" s="35"/>
      <c r="J16" s="29"/>
      <c r="K16" s="19"/>
      <c r="L16" s="20"/>
      <c r="M16" s="37" t="str">
        <f>IF(I16=0,"",VLOOKUP(I16,Municipalités!$A$2:$B$1290,2,TRUE))</f>
        <v/>
      </c>
    </row>
    <row r="17" spans="1:13" ht="30" customHeight="1" x14ac:dyDescent="0.25">
      <c r="A17" s="45"/>
      <c r="B17" s="45"/>
      <c r="C17" s="39"/>
      <c r="D17" s="46"/>
      <c r="E17" s="27"/>
      <c r="F17" s="31"/>
      <c r="G17" s="82" t="str">
        <f>IF(F17=0,"",VLOOKUP(F17,Employés!$A$2:$B$186,2,0))</f>
        <v/>
      </c>
      <c r="H17" s="82"/>
      <c r="I17" s="35"/>
      <c r="J17" s="29"/>
      <c r="K17" s="19"/>
      <c r="L17" s="20"/>
      <c r="M17" s="37" t="str">
        <f>IF(I17=0,"",VLOOKUP(I17,Municipalités!$A$2:$B$1290,2,TRUE))</f>
        <v/>
      </c>
    </row>
    <row r="18" spans="1:13" ht="30" customHeight="1" x14ac:dyDescent="0.25">
      <c r="A18" s="45"/>
      <c r="B18" s="45"/>
      <c r="C18" s="39"/>
      <c r="D18" s="46"/>
      <c r="E18" s="27"/>
      <c r="F18" s="31"/>
      <c r="G18" s="82" t="str">
        <f>IF(F18=0,"",VLOOKUP(F18,Employés!$A$2:$B$186,2,0))</f>
        <v/>
      </c>
      <c r="H18" s="82"/>
      <c r="I18" s="35"/>
      <c r="J18" s="29"/>
      <c r="K18" s="19"/>
      <c r="L18" s="20"/>
      <c r="M18" s="37" t="str">
        <f>IF(I18=0,"",VLOOKUP(I18,Municipalités!$A$2:$B$1290,2,TRUE))</f>
        <v/>
      </c>
    </row>
    <row r="19" spans="1:13" ht="30" customHeight="1" x14ac:dyDescent="0.25">
      <c r="A19" s="45"/>
      <c r="B19" s="45"/>
      <c r="C19" s="39"/>
      <c r="D19" s="46"/>
      <c r="E19" s="27"/>
      <c r="F19" s="31"/>
      <c r="G19" s="82" t="str">
        <f>IF(F19=0,"",VLOOKUP(F19,Employés!$A$2:$B$186,2,0))</f>
        <v/>
      </c>
      <c r="H19" s="82"/>
      <c r="I19" s="35"/>
      <c r="J19" s="29"/>
      <c r="K19" s="19"/>
      <c r="L19" s="20"/>
      <c r="M19" s="37" t="str">
        <f>IF(I19=0,"",VLOOKUP(I19,Municipalités!$A$2:$B$1290,2,TRUE))</f>
        <v/>
      </c>
    </row>
    <row r="20" spans="1:13" ht="30" customHeight="1" x14ac:dyDescent="0.25">
      <c r="A20" s="45"/>
      <c r="B20" s="45"/>
      <c r="C20" s="39"/>
      <c r="D20" s="47"/>
      <c r="E20" s="27"/>
      <c r="F20" s="31"/>
      <c r="G20" s="82" t="str">
        <f>IF(F20=0,"",VLOOKUP(F20,Employés!$A$2:$B$186,2,0))</f>
        <v/>
      </c>
      <c r="H20" s="82"/>
      <c r="I20" s="35"/>
      <c r="J20" s="29"/>
      <c r="K20" s="19"/>
      <c r="L20" s="20"/>
      <c r="M20" s="37" t="str">
        <f>IF(I20=0,"",VLOOKUP(I20,Municipalités!$A$2:$B$1290,2,TRUE))</f>
        <v/>
      </c>
    </row>
    <row r="21" spans="1:13" ht="30" customHeight="1" x14ac:dyDescent="0.25">
      <c r="A21" s="45"/>
      <c r="B21" s="45"/>
      <c r="C21" s="39"/>
      <c r="D21" s="47"/>
      <c r="E21" s="27"/>
      <c r="F21" s="31"/>
      <c r="G21" s="82" t="str">
        <f>IF(F21=0,"",VLOOKUP(F21,Employés!$A$2:$B$186,2,0))</f>
        <v/>
      </c>
      <c r="H21" s="82"/>
      <c r="I21" s="35"/>
      <c r="J21" s="29"/>
      <c r="K21" s="19"/>
      <c r="L21" s="20"/>
      <c r="M21" s="37" t="str">
        <f>IF(I21=0,"",VLOOKUP(I21,Municipalités!$A$2:$B$1290,2,TRUE))</f>
        <v/>
      </c>
    </row>
    <row r="22" spans="1:13" ht="30" customHeight="1" x14ac:dyDescent="0.25">
      <c r="A22" s="45"/>
      <c r="B22" s="45"/>
      <c r="C22" s="39"/>
      <c r="D22" s="46"/>
      <c r="E22" s="27"/>
      <c r="F22" s="31"/>
      <c r="G22" s="82" t="str">
        <f>IF(F22=0,"",VLOOKUP(F22,Employés!$A$2:$B$186,2,0))</f>
        <v/>
      </c>
      <c r="H22" s="82"/>
      <c r="I22" s="35"/>
      <c r="J22" s="29"/>
      <c r="K22" s="19"/>
      <c r="L22" s="20"/>
      <c r="M22" s="37" t="str">
        <f>IF(I22=0,"",VLOOKUP(I22,Municipalités!$A$2:$B$1290,2,TRUE))</f>
        <v/>
      </c>
    </row>
    <row r="23" spans="1:13" ht="30" customHeight="1" x14ac:dyDescent="0.25">
      <c r="A23" s="45"/>
      <c r="B23" s="45"/>
      <c r="C23" s="39"/>
      <c r="D23" s="46"/>
      <c r="E23" s="27"/>
      <c r="F23" s="31"/>
      <c r="G23" s="82" t="str">
        <f>IF(F23=0,"",VLOOKUP(F23,Employés!$A$2:$B$186,2,0))</f>
        <v/>
      </c>
      <c r="H23" s="82"/>
      <c r="I23" s="35"/>
      <c r="J23" s="29"/>
      <c r="K23" s="19"/>
      <c r="L23" s="20"/>
      <c r="M23" s="37" t="str">
        <f>IF(I23=0,"",VLOOKUP(I23,Municipalités!$A$2:$B$1290,2,TRUE))</f>
        <v/>
      </c>
    </row>
    <row r="24" spans="1:13" ht="30" customHeight="1" x14ac:dyDescent="0.25">
      <c r="A24" s="45"/>
      <c r="B24" s="45"/>
      <c r="C24" s="39"/>
      <c r="D24" s="46"/>
      <c r="E24" s="27"/>
      <c r="F24" s="31"/>
      <c r="G24" s="82" t="str">
        <f>IF(F24=0,"",VLOOKUP(F24,Employés!$A$2:$B$186,2,0))</f>
        <v/>
      </c>
      <c r="H24" s="82"/>
      <c r="I24" s="35"/>
      <c r="J24" s="29"/>
      <c r="K24" s="19"/>
      <c r="L24" s="20"/>
      <c r="M24" s="37" t="str">
        <f>IF(I24=0,"",VLOOKUP(I24,Municipalités!$A$2:$B$1290,2,TRUE))</f>
        <v/>
      </c>
    </row>
    <row r="25" spans="1:13" ht="30" customHeight="1" x14ac:dyDescent="0.25">
      <c r="A25" s="45"/>
      <c r="B25" s="45"/>
      <c r="C25" s="39"/>
      <c r="D25" s="46"/>
      <c r="E25" s="27"/>
      <c r="F25" s="31"/>
      <c r="G25" s="82" t="str">
        <f>IF(F25=0,"",VLOOKUP(F25,Employés!$A$2:$B$186,2,0))</f>
        <v/>
      </c>
      <c r="H25" s="82"/>
      <c r="I25" s="35"/>
      <c r="J25" s="29"/>
      <c r="K25" s="19"/>
      <c r="L25" s="20"/>
      <c r="M25" s="37" t="str">
        <f>IF(I25=0,"",VLOOKUP(I25,Municipalités!$A$2:$B$1290,2,TRUE))</f>
        <v/>
      </c>
    </row>
    <row r="26" spans="1:13" ht="30" customHeight="1" x14ac:dyDescent="0.25">
      <c r="A26" s="45"/>
      <c r="B26" s="45"/>
      <c r="C26" s="39"/>
      <c r="D26" s="46"/>
      <c r="E26" s="27"/>
      <c r="F26" s="31"/>
      <c r="G26" s="82" t="str">
        <f>IF(F26=0,"",VLOOKUP(F26,Employés!$A$2:$B$186,2,0))</f>
        <v/>
      </c>
      <c r="H26" s="82"/>
      <c r="I26" s="35"/>
      <c r="J26" s="29"/>
      <c r="K26" s="19"/>
      <c r="L26" s="20"/>
      <c r="M26" s="37" t="str">
        <f>IF(I26=0,"",VLOOKUP(I26,Municipalités!$A$2:$B$1290,2,TRUE))</f>
        <v/>
      </c>
    </row>
    <row r="27" spans="1:13" ht="30" customHeight="1" x14ac:dyDescent="0.25">
      <c r="A27" s="45"/>
      <c r="B27" s="45"/>
      <c r="C27" s="39"/>
      <c r="D27" s="46"/>
      <c r="E27" s="27"/>
      <c r="F27" s="31"/>
      <c r="G27" s="82" t="str">
        <f>IF(F27=0,"",VLOOKUP(F27,Employés!$A$2:$B$186,2,0))</f>
        <v/>
      </c>
      <c r="H27" s="82"/>
      <c r="I27" s="35"/>
      <c r="J27" s="29"/>
      <c r="K27" s="19"/>
      <c r="L27" s="20"/>
      <c r="M27" s="37" t="str">
        <f>IF(I27=0,"",VLOOKUP(I27,Municipalités!$A$2:$B$1290,2,TRUE))</f>
        <v/>
      </c>
    </row>
    <row r="28" spans="1:13" ht="30" customHeight="1" x14ac:dyDescent="0.25">
      <c r="A28" s="45"/>
      <c r="B28" s="45"/>
      <c r="C28" s="39"/>
      <c r="D28" s="46"/>
      <c r="E28" s="27"/>
      <c r="F28" s="31"/>
      <c r="G28" s="82" t="str">
        <f>IF(F28=0,"",VLOOKUP(F28,Employés!$A$2:$B$186,2,0))</f>
        <v/>
      </c>
      <c r="H28" s="82"/>
      <c r="I28" s="35"/>
      <c r="J28" s="29"/>
      <c r="K28" s="19"/>
      <c r="L28" s="20"/>
      <c r="M28" s="37" t="str">
        <f>IF(I28=0,"",VLOOKUP(I28,Municipalités!$A$2:$B$1290,2,TRUE))</f>
        <v/>
      </c>
    </row>
    <row r="29" spans="1:13" ht="30" customHeight="1" x14ac:dyDescent="0.25">
      <c r="A29" s="45"/>
      <c r="B29" s="45"/>
      <c r="C29" s="39"/>
      <c r="D29" s="46"/>
      <c r="E29" s="27"/>
      <c r="F29" s="31"/>
      <c r="G29" s="82" t="str">
        <f>IF(F29=0,"",VLOOKUP(F29,Employés!$A$2:$B$186,2,0))</f>
        <v/>
      </c>
      <c r="H29" s="82"/>
      <c r="I29" s="35"/>
      <c r="J29" s="29"/>
      <c r="K29" s="19"/>
      <c r="L29" s="20"/>
      <c r="M29" s="37" t="str">
        <f>IF(I29=0,"",VLOOKUP(I29,Municipalités!$A$2:$B$1290,2,TRUE))</f>
        <v/>
      </c>
    </row>
    <row r="30" spans="1:13" ht="30" customHeight="1" x14ac:dyDescent="0.25">
      <c r="A30" s="45"/>
      <c r="B30" s="45"/>
      <c r="C30" s="39"/>
      <c r="D30" s="46"/>
      <c r="E30" s="27"/>
      <c r="F30" s="31"/>
      <c r="G30" s="82" t="str">
        <f>IF(F30=0,"",VLOOKUP(F30,Employés!$A$2:$B$186,2,0))</f>
        <v/>
      </c>
      <c r="H30" s="82"/>
      <c r="I30" s="35"/>
      <c r="J30" s="29"/>
      <c r="K30" s="19"/>
      <c r="L30" s="20"/>
      <c r="M30" s="37" t="str">
        <f>IF(I30=0,"",VLOOKUP(I30,Municipalités!$A$2:$B$1290,2,TRUE))</f>
        <v/>
      </c>
    </row>
    <row r="31" spans="1:13" ht="30" customHeight="1" x14ac:dyDescent="0.25">
      <c r="A31" s="45"/>
      <c r="B31" s="45"/>
      <c r="C31" s="39"/>
      <c r="D31" s="47"/>
      <c r="E31" s="27"/>
      <c r="F31" s="31"/>
      <c r="G31" s="82" t="str">
        <f>IF(F31=0,"",VLOOKUP(F31,Employés!$A$2:$B$186,2,0))</f>
        <v/>
      </c>
      <c r="H31" s="82"/>
      <c r="I31" s="35"/>
      <c r="J31" s="29"/>
      <c r="K31" s="19"/>
      <c r="L31" s="20"/>
      <c r="M31" s="37" t="str">
        <f>IF(I31=0,"",VLOOKUP(I31,Municipalités!$A$2:$B$1290,2,TRUE))</f>
        <v/>
      </c>
    </row>
    <row r="32" spans="1:13" ht="30" customHeight="1" x14ac:dyDescent="0.25">
      <c r="A32" s="45"/>
      <c r="B32" s="45"/>
      <c r="C32" s="39"/>
      <c r="D32" s="46"/>
      <c r="E32" s="27"/>
      <c r="F32" s="31"/>
      <c r="G32" s="82" t="str">
        <f>IF(F32=0,"",VLOOKUP(F32,Employés!$A$2:$B$186,2,0))</f>
        <v/>
      </c>
      <c r="H32" s="82"/>
      <c r="I32" s="35"/>
      <c r="J32" s="29"/>
      <c r="K32" s="19"/>
      <c r="L32" s="20"/>
      <c r="M32" s="37" t="str">
        <f>IF(I32=0,"",VLOOKUP(I32,Municipalités!$A$2:$B$1290,2,TRUE))</f>
        <v/>
      </c>
    </row>
    <row r="33" spans="1:13" ht="30" customHeight="1" x14ac:dyDescent="0.25">
      <c r="A33" s="45"/>
      <c r="B33" s="45"/>
      <c r="C33" s="39"/>
      <c r="D33" s="46"/>
      <c r="E33" s="27"/>
      <c r="F33" s="31"/>
      <c r="G33" s="82" t="str">
        <f>IF(F33=0,"",VLOOKUP(F33,Employés!$A$2:$B$186,2,0))</f>
        <v/>
      </c>
      <c r="H33" s="82"/>
      <c r="I33" s="35"/>
      <c r="J33" s="29"/>
      <c r="K33" s="19"/>
      <c r="L33" s="20"/>
      <c r="M33" s="37" t="str">
        <f>IF(I33=0,"",VLOOKUP(I33,Municipalités!$A$2:$B$1290,2,TRUE))</f>
        <v/>
      </c>
    </row>
    <row r="34" spans="1:13" ht="30" customHeight="1" x14ac:dyDescent="0.25">
      <c r="A34" s="45"/>
      <c r="B34" s="45"/>
      <c r="C34" s="39"/>
      <c r="D34" s="46"/>
      <c r="E34" s="27"/>
      <c r="F34" s="31"/>
      <c r="G34" s="82" t="str">
        <f>IF(F34=0,"",VLOOKUP(F34,Employés!$A$2:$B$186,2,0))</f>
        <v/>
      </c>
      <c r="H34" s="82"/>
      <c r="I34" s="35"/>
      <c r="J34" s="29"/>
      <c r="K34" s="19"/>
      <c r="L34" s="20"/>
      <c r="M34" s="37" t="str">
        <f>IF(I34=0,"",VLOOKUP(I34,Municipalités!$A$2:$B$1290,2,TRUE))</f>
        <v/>
      </c>
    </row>
    <row r="35" spans="1:13" ht="30" customHeight="1" x14ac:dyDescent="0.25">
      <c r="A35" s="45"/>
      <c r="B35" s="45"/>
      <c r="C35" s="30"/>
      <c r="D35" s="46"/>
      <c r="E35" s="27"/>
      <c r="F35" s="31"/>
      <c r="G35" s="82" t="str">
        <f>IF(F35=0,"",VLOOKUP(F35,Employés!$A$2:$B$186,2,0))</f>
        <v/>
      </c>
      <c r="H35" s="82"/>
      <c r="I35" s="35"/>
      <c r="J35" s="29"/>
      <c r="K35" s="19"/>
      <c r="L35" s="20"/>
      <c r="M35" s="37" t="str">
        <f>IF(I35=0,"",VLOOKUP(I35,Municipalités!$A$2:$B$1290,2,TRUE))</f>
        <v/>
      </c>
    </row>
    <row r="36" spans="1:13" ht="30" customHeight="1" x14ac:dyDescent="0.25">
      <c r="A36" s="45"/>
      <c r="B36" s="45"/>
      <c r="C36" s="30"/>
      <c r="D36" s="46"/>
      <c r="E36" s="27"/>
      <c r="F36" s="31"/>
      <c r="G36" s="82" t="str">
        <f>IF(F36=0,"",VLOOKUP(F36,Employés!$A$2:$B$186,2,0))</f>
        <v/>
      </c>
      <c r="H36" s="82"/>
      <c r="I36" s="35"/>
      <c r="J36" s="29"/>
      <c r="K36" s="19"/>
      <c r="L36" s="20"/>
      <c r="M36" s="37" t="str">
        <f>IF(I36=0,"",VLOOKUP(I36,Municipalités!$A$2:$B$1290,2,TRUE))</f>
        <v/>
      </c>
    </row>
    <row r="37" spans="1:13" ht="30" customHeight="1" x14ac:dyDescent="0.25">
      <c r="A37" s="45"/>
      <c r="B37" s="45"/>
      <c r="C37" s="39"/>
      <c r="D37" s="46"/>
      <c r="E37" s="27"/>
      <c r="F37" s="31"/>
      <c r="G37" s="82" t="str">
        <f>IF(F37=0,"",VLOOKUP(F37,Employés!$A$2:$B$186,2,0))</f>
        <v/>
      </c>
      <c r="H37" s="82"/>
      <c r="I37" s="35"/>
      <c r="J37" s="29"/>
      <c r="K37" s="19"/>
      <c r="L37" s="20"/>
      <c r="M37" s="37" t="str">
        <f>IF(I37=0,"",VLOOKUP(I37,Municipalités!$A$2:$B$1290,2,TRUE))</f>
        <v/>
      </c>
    </row>
    <row r="38" spans="1:13" ht="30" customHeight="1" x14ac:dyDescent="0.25">
      <c r="A38" s="45"/>
      <c r="B38" s="45"/>
      <c r="C38" s="39"/>
      <c r="D38" s="47"/>
      <c r="E38" s="27"/>
      <c r="F38" s="31"/>
      <c r="G38" s="82" t="str">
        <f>IF(F38=0,"",VLOOKUP(F38,Employés!$A$2:$B$186,2,0))</f>
        <v/>
      </c>
      <c r="H38" s="82"/>
      <c r="I38" s="35"/>
      <c r="J38" s="29"/>
      <c r="K38" s="19"/>
      <c r="L38" s="20"/>
      <c r="M38" s="37" t="str">
        <f>IF(I38=0,"",VLOOKUP(I38,Municipalités!$A$2:$B$1290,2,TRUE))</f>
        <v/>
      </c>
    </row>
    <row r="39" spans="1:13" ht="30" customHeight="1" x14ac:dyDescent="0.25">
      <c r="A39" s="45"/>
      <c r="B39" s="45"/>
      <c r="C39" s="39"/>
      <c r="D39" s="45"/>
      <c r="E39" s="27"/>
      <c r="F39" s="31"/>
      <c r="G39" s="82" t="str">
        <f>IF(F39=0,"",VLOOKUP(F39,Employés!$A$2:$B$186,2,0))</f>
        <v/>
      </c>
      <c r="H39" s="82"/>
      <c r="I39" s="35"/>
      <c r="J39" s="29"/>
      <c r="K39" s="26"/>
      <c r="L39" s="25"/>
      <c r="M39" s="37" t="str">
        <f>IF(I39=0,"",VLOOKUP(I39,Municipalités!$A$2:$B$1290,2,TRUE))</f>
        <v/>
      </c>
    </row>
    <row r="40" spans="1:13" ht="30" customHeight="1" x14ac:dyDescent="0.25">
      <c r="A40" s="8"/>
      <c r="B40" s="8"/>
      <c r="C40" s="30"/>
      <c r="D40" s="8"/>
      <c r="E40" s="27"/>
      <c r="F40" s="31"/>
      <c r="G40" s="82" t="str">
        <f>IF(F40=0,"",VLOOKUP(F40,Employés!$A$2:$B$186,2,0))</f>
        <v/>
      </c>
      <c r="H40" s="82"/>
      <c r="I40" s="35"/>
      <c r="J40" s="29"/>
      <c r="K40" s="26"/>
      <c r="L40" s="25"/>
      <c r="M40" s="37" t="str">
        <f>IF(I40=0,"",VLOOKUP(I40,Municipalités!$A$2:$B$1290,2,TRUE))</f>
        <v/>
      </c>
    </row>
    <row r="41" spans="1:13" ht="30" customHeight="1" x14ac:dyDescent="0.25">
      <c r="A41" s="8"/>
      <c r="B41" s="8"/>
      <c r="C41" s="30"/>
      <c r="D41" s="8"/>
      <c r="E41" s="27"/>
      <c r="F41" s="31"/>
      <c r="G41" s="82" t="str">
        <f>IF(F41=0,"",VLOOKUP(F41,Employés!$A$2:$B$186,2,0))</f>
        <v/>
      </c>
      <c r="H41" s="82"/>
      <c r="I41" s="35"/>
      <c r="J41" s="29"/>
      <c r="K41" s="26"/>
      <c r="L41" s="25"/>
      <c r="M41" s="37" t="str">
        <f>IF(I41=0,"",VLOOKUP(I41,Municipalités!$A$2:$B$1290,2,TRUE))</f>
        <v/>
      </c>
    </row>
    <row r="42" spans="1:13" ht="30" customHeight="1" x14ac:dyDescent="0.25">
      <c r="A42" s="8"/>
      <c r="B42" s="8"/>
      <c r="C42" s="30"/>
      <c r="D42" s="8"/>
      <c r="E42" s="27"/>
      <c r="F42" s="31"/>
      <c r="G42" s="82" t="str">
        <f>IF(F42=0,"",VLOOKUP(F42,Employés!$A$2:$B$186,2,0))</f>
        <v/>
      </c>
      <c r="H42" s="82"/>
      <c r="I42" s="35"/>
      <c r="J42" s="29"/>
      <c r="K42" s="26"/>
      <c r="L42" s="25"/>
      <c r="M42" s="37" t="str">
        <f>IF(I42=0,"",VLOOKUP(I42,Municipalités!$A$2:$B$1290,2,TRUE))</f>
        <v/>
      </c>
    </row>
    <row r="43" spans="1:13" ht="30" customHeight="1" x14ac:dyDescent="0.25">
      <c r="A43" s="8"/>
      <c r="B43" s="8"/>
      <c r="C43" s="30"/>
      <c r="D43" s="8"/>
      <c r="E43" s="27" t="s">
        <v>1420</v>
      </c>
      <c r="F43" s="31"/>
      <c r="G43" s="82" t="str">
        <f>IF(F43=0,"",VLOOKUP(F43,Employés!$A$2:$B$186,2,0))</f>
        <v/>
      </c>
      <c r="H43" s="82"/>
      <c r="I43" s="35"/>
      <c r="J43" s="29"/>
      <c r="K43" s="26"/>
      <c r="L43" s="25" t="s">
        <v>1420</v>
      </c>
      <c r="M43" s="37" t="str">
        <f>IF(I43=0,"",VLOOKUP(I43,Municipalités!$A$2:$B$1290,2,TRUE))</f>
        <v/>
      </c>
    </row>
    <row r="44" spans="1:13" ht="30" customHeight="1" x14ac:dyDescent="0.25">
      <c r="A44" s="8"/>
      <c r="B44" s="8"/>
      <c r="C44" s="30"/>
      <c r="D44" s="8"/>
      <c r="E44" s="27"/>
      <c r="F44" s="31"/>
      <c r="G44" s="82" t="str">
        <f>IF(F44=0,"",VLOOKUP(F44,Employés!$A$2:$B$186,2,0))</f>
        <v/>
      </c>
      <c r="H44" s="82"/>
      <c r="I44" s="35"/>
      <c r="J44" s="29"/>
      <c r="K44" s="26"/>
      <c r="L44" s="25"/>
      <c r="M44" s="37" t="str">
        <f>IF(I44=0,"",VLOOKUP(I44,Municipalités!$A$2:$B$1290,2,TRUE))</f>
        <v/>
      </c>
    </row>
    <row r="45" spans="1:13" ht="30" customHeight="1" x14ac:dyDescent="0.25">
      <c r="A45" s="8"/>
      <c r="B45" s="8"/>
      <c r="C45" s="30"/>
      <c r="D45" s="8"/>
      <c r="E45" s="27"/>
      <c r="F45" s="31"/>
      <c r="G45" s="82" t="str">
        <f>IF(F45=0,"",VLOOKUP(F45,Employés!$A$2:$B$186,2,0))</f>
        <v/>
      </c>
      <c r="H45" s="82"/>
      <c r="I45" s="35"/>
      <c r="J45" s="29"/>
      <c r="K45" s="26"/>
      <c r="L45" s="25"/>
      <c r="M45" s="37" t="str">
        <f>IF(I45=0,"",VLOOKUP(I45,Municipalités!$A$2:$B$1290,2,TRUE))</f>
        <v/>
      </c>
    </row>
    <row r="46" spans="1:13" ht="30" customHeight="1" x14ac:dyDescent="0.25">
      <c r="A46" s="8"/>
      <c r="B46" s="8"/>
      <c r="C46" s="30"/>
      <c r="D46" s="8"/>
      <c r="E46" s="27"/>
      <c r="F46" s="31"/>
      <c r="G46" s="82" t="str">
        <f>IF(F46=0,"",VLOOKUP(F46,Employés!$A$2:$B$186,2,0))</f>
        <v/>
      </c>
      <c r="H46" s="82"/>
      <c r="I46" s="35"/>
      <c r="J46" s="29"/>
      <c r="K46" s="26"/>
      <c r="L46" s="25"/>
      <c r="M46" s="37" t="str">
        <f>IF(I46=0,"",VLOOKUP(I46,Municipalités!$A$2:$B$1290,2,TRUE))</f>
        <v/>
      </c>
    </row>
    <row r="47" spans="1:13" ht="30" customHeight="1" x14ac:dyDescent="0.25">
      <c r="A47" s="8"/>
      <c r="B47" s="8"/>
      <c r="C47" s="30"/>
      <c r="D47" s="8"/>
      <c r="E47" s="27"/>
      <c r="F47" s="31"/>
      <c r="G47" s="82" t="str">
        <f>IF(F47=0,"",VLOOKUP(F47,Employés!$A$2:$B$186,2,0))</f>
        <v/>
      </c>
      <c r="H47" s="82"/>
      <c r="I47" s="35"/>
      <c r="J47" s="29"/>
      <c r="K47" s="26"/>
      <c r="L47" s="25"/>
      <c r="M47" s="37" t="str">
        <f>IF(I47=0,"",VLOOKUP(I47,Municipalités!$A$2:$B$1290,2,TRUE))</f>
        <v/>
      </c>
    </row>
    <row r="48" spans="1:13" ht="30" customHeight="1" x14ac:dyDescent="0.25">
      <c r="A48" s="8"/>
      <c r="B48" s="8"/>
      <c r="C48" s="30"/>
      <c r="D48" s="8"/>
      <c r="E48" s="27"/>
      <c r="F48" s="31"/>
      <c r="G48" s="82" t="str">
        <f>IF(F48=0,"",VLOOKUP(F48,Employés!$A$2:$B$186,2,0))</f>
        <v/>
      </c>
      <c r="H48" s="82"/>
      <c r="I48" s="35"/>
      <c r="J48" s="29"/>
      <c r="K48" s="26"/>
      <c r="L48" s="25"/>
      <c r="M48" s="37" t="str">
        <f>IF(I48=0,"",VLOOKUP(I48,Municipalités!$A$2:$B$1290,2,TRUE))</f>
        <v/>
      </c>
    </row>
    <row r="49" spans="1:13" ht="30" customHeight="1" x14ac:dyDescent="0.25">
      <c r="A49" s="8"/>
      <c r="B49" s="8"/>
      <c r="C49" s="30"/>
      <c r="D49" s="8"/>
      <c r="E49" s="27"/>
      <c r="F49" s="31"/>
      <c r="G49" s="82" t="str">
        <f>IF(F49=0,"",VLOOKUP(F49,Employés!$A$2:$B$186,2,0))</f>
        <v/>
      </c>
      <c r="H49" s="82"/>
      <c r="I49" s="35"/>
      <c r="J49" s="29"/>
      <c r="K49" s="26"/>
      <c r="L49" s="25"/>
      <c r="M49" s="37" t="str">
        <f>IF(I49=0,"",VLOOKUP(I49,Municipalités!$A$2:$B$1290,2,TRUE))</f>
        <v/>
      </c>
    </row>
    <row r="50" spans="1:13" ht="30" customHeight="1" x14ac:dyDescent="0.25">
      <c r="A50" s="8"/>
      <c r="B50" s="8"/>
      <c r="C50" s="30"/>
      <c r="D50" s="8"/>
      <c r="E50" s="27"/>
      <c r="F50" s="31"/>
      <c r="G50" s="82" t="str">
        <f>IF(F50=0,"",VLOOKUP(F50,Employés!$A$2:$B$186,2,0))</f>
        <v/>
      </c>
      <c r="H50" s="82"/>
      <c r="I50" s="35"/>
      <c r="J50" s="29"/>
      <c r="K50" s="26"/>
      <c r="L50" s="25"/>
      <c r="M50" s="37" t="str">
        <f>IF(I50=0,"",VLOOKUP(I50,Municipalités!$A$2:$B$1290,2,TRUE))</f>
        <v/>
      </c>
    </row>
    <row r="51" spans="1:13" ht="30" customHeight="1" x14ac:dyDescent="0.25">
      <c r="A51" s="8"/>
      <c r="B51" s="8"/>
      <c r="C51" s="30"/>
      <c r="D51" s="8"/>
      <c r="E51" s="27"/>
      <c r="F51" s="31"/>
      <c r="G51" s="82" t="str">
        <f>IF(F51=0,"",VLOOKUP(F51,Employés!$A$2:$B$186,2,0))</f>
        <v/>
      </c>
      <c r="H51" s="82"/>
      <c r="I51" s="35"/>
      <c r="J51" s="29"/>
      <c r="K51" s="26"/>
      <c r="L51" s="25"/>
      <c r="M51" s="37" t="str">
        <f>IF(I51=0,"",VLOOKUP(I51,Municipalités!$A$2:$B$1290,2,TRUE))</f>
        <v/>
      </c>
    </row>
    <row r="52" spans="1:13" ht="30" customHeight="1" x14ac:dyDescent="0.25">
      <c r="A52" s="8"/>
      <c r="B52" s="8"/>
      <c r="C52" s="30"/>
      <c r="D52" s="8"/>
      <c r="E52" s="27"/>
      <c r="F52" s="31"/>
      <c r="G52" s="82" t="str">
        <f>IF(F52=0,"",VLOOKUP(F52,Employés!$A$2:$B$186,2,0))</f>
        <v/>
      </c>
      <c r="H52" s="82"/>
      <c r="I52" s="35"/>
      <c r="J52" s="29"/>
      <c r="K52" s="26"/>
      <c r="L52" s="25"/>
      <c r="M52" s="37" t="str">
        <f>IF(I52=0,"",VLOOKUP(I52,Municipalités!$A$2:$B$1290,2,TRUE))</f>
        <v/>
      </c>
    </row>
    <row r="53" spans="1:13" ht="30" customHeight="1" x14ac:dyDescent="0.25">
      <c r="A53" s="8"/>
      <c r="B53" s="8"/>
      <c r="C53" s="30"/>
      <c r="D53" s="8"/>
      <c r="E53" s="27"/>
      <c r="F53" s="31"/>
      <c r="G53" s="82" t="str">
        <f>IF(F53=0,"",VLOOKUP(F53,Employés!$A$2:$B$186,2,0))</f>
        <v/>
      </c>
      <c r="H53" s="82"/>
      <c r="I53" s="35"/>
      <c r="J53" s="29"/>
      <c r="K53" s="26"/>
      <c r="L53" s="25"/>
      <c r="M53" s="37" t="str">
        <f>IF(I53=0,"",VLOOKUP(I53,Municipalités!$A$2:$B$1290,2,TRUE))</f>
        <v/>
      </c>
    </row>
    <row r="54" spans="1:13" ht="30" customHeight="1" x14ac:dyDescent="0.25">
      <c r="A54" s="8"/>
      <c r="B54" s="8"/>
      <c r="C54" s="30"/>
      <c r="D54" s="8"/>
      <c r="E54" s="27"/>
      <c r="F54" s="31"/>
      <c r="G54" s="82" t="str">
        <f>IF(F54=0,"",VLOOKUP(F54,Employés!$A$2:$B$186,2,0))</f>
        <v/>
      </c>
      <c r="H54" s="82"/>
      <c r="I54" s="35"/>
      <c r="J54" s="29"/>
      <c r="K54" s="26"/>
      <c r="L54" s="25"/>
      <c r="M54" s="37" t="str">
        <f>IF(I54=0,"",VLOOKUP(I54,Municipalités!$A$2:$B$1290,2,TRUE))</f>
        <v/>
      </c>
    </row>
    <row r="55" spans="1:13" ht="30" customHeight="1" x14ac:dyDescent="0.25">
      <c r="A55" s="8"/>
      <c r="B55" s="8"/>
      <c r="C55" s="30"/>
      <c r="D55" s="8"/>
      <c r="E55" s="27"/>
      <c r="F55" s="31"/>
      <c r="G55" s="82" t="str">
        <f>IF(F55=0,"",VLOOKUP(F55,Employés!$A$2:$B$186,2,0))</f>
        <v/>
      </c>
      <c r="H55" s="82"/>
      <c r="I55" s="35"/>
      <c r="J55" s="29"/>
      <c r="K55" s="26"/>
      <c r="L55" s="25"/>
      <c r="M55" s="37" t="str">
        <f>IF(I55=0,"",VLOOKUP(I55,Municipalités!$A$2:$B$1290,2,TRUE))</f>
        <v/>
      </c>
    </row>
    <row r="56" spans="1:13" ht="30" customHeight="1" x14ac:dyDescent="0.25">
      <c r="A56" s="8"/>
      <c r="B56" s="8"/>
      <c r="C56" s="30"/>
      <c r="D56" s="8"/>
      <c r="E56" s="27"/>
      <c r="F56" s="31"/>
      <c r="G56" s="82" t="str">
        <f>IF(F56=0,"",VLOOKUP(F56,Employés!$A$2:$B$186,2,0))</f>
        <v/>
      </c>
      <c r="H56" s="82"/>
      <c r="I56" s="35"/>
      <c r="J56" s="29"/>
      <c r="K56" s="26"/>
      <c r="L56" s="25"/>
      <c r="M56" s="37" t="str">
        <f>IF(I56=0,"",VLOOKUP(I56,Municipalités!$A$2:$B$1290,2,TRUE))</f>
        <v/>
      </c>
    </row>
    <row r="57" spans="1:13" ht="30" customHeight="1" x14ac:dyDescent="0.25">
      <c r="A57" s="8"/>
      <c r="B57" s="8"/>
      <c r="C57" s="30"/>
      <c r="D57" s="8"/>
      <c r="E57" s="27"/>
      <c r="F57" s="31"/>
      <c r="G57" s="82" t="str">
        <f>IF(F57=0,"",VLOOKUP(F57,Employés!$A$2:$B$186,2,0))</f>
        <v/>
      </c>
      <c r="H57" s="82"/>
      <c r="I57" s="35"/>
      <c r="J57" s="29"/>
      <c r="K57" s="26"/>
      <c r="L57" s="25"/>
      <c r="M57" s="37" t="str">
        <f>IF(I57=0,"",VLOOKUP(I57,Municipalités!$A$2:$B$1290,2,TRUE))</f>
        <v/>
      </c>
    </row>
    <row r="58" spans="1:13" ht="30" customHeight="1" x14ac:dyDescent="0.25">
      <c r="A58" s="8"/>
      <c r="B58" s="8"/>
      <c r="C58" s="30"/>
      <c r="D58" s="8"/>
      <c r="E58" s="27"/>
      <c r="F58" s="31"/>
      <c r="G58" s="82" t="str">
        <f>IF(F58=0,"",VLOOKUP(F58,Employés!$A$2:$B$186,2,0))</f>
        <v/>
      </c>
      <c r="H58" s="82"/>
      <c r="I58" s="35"/>
      <c r="J58" s="29"/>
      <c r="K58" s="26"/>
      <c r="L58" s="25"/>
      <c r="M58" s="37" t="str">
        <f>IF(I58=0,"",VLOOKUP(I58,Municipalités!$A$2:$B$1290,2,TRUE))</f>
        <v/>
      </c>
    </row>
    <row r="59" spans="1:13" ht="30" customHeight="1" x14ac:dyDescent="0.25">
      <c r="A59" s="8"/>
      <c r="B59" s="8"/>
      <c r="C59" s="30"/>
      <c r="D59" s="8"/>
      <c r="E59" s="27"/>
      <c r="F59" s="31"/>
      <c r="G59" s="82" t="str">
        <f>IF(F59=0,"",VLOOKUP(F59,Employés!$A$2:$B$186,2,0))</f>
        <v/>
      </c>
      <c r="H59" s="82"/>
      <c r="I59" s="35"/>
      <c r="J59" s="29"/>
      <c r="K59" s="26"/>
      <c r="L59" s="25"/>
      <c r="M59" s="37" t="str">
        <f>IF(I59=0,"",VLOOKUP(I59,Municipalités!$A$2:$B$1290,2,TRUE))</f>
        <v/>
      </c>
    </row>
    <row r="60" spans="1:13" ht="30" customHeight="1" x14ac:dyDescent="0.25">
      <c r="A60" s="8"/>
      <c r="B60" s="8"/>
      <c r="C60" s="30"/>
      <c r="D60" s="8"/>
      <c r="E60" s="27"/>
      <c r="F60" s="31"/>
      <c r="G60" s="82" t="str">
        <f>IF(F60=0,"",VLOOKUP(F60,Employés!$A$2:$B$186,2,0))</f>
        <v/>
      </c>
      <c r="H60" s="82"/>
      <c r="I60" s="35"/>
      <c r="J60" s="29"/>
      <c r="K60" s="26"/>
      <c r="L60" s="25"/>
      <c r="M60" s="37" t="str">
        <f>IF(I60=0,"",VLOOKUP(I60,Municipalités!$A$2:$B$1290,2,TRUE))</f>
        <v/>
      </c>
    </row>
    <row r="61" spans="1:13" ht="30" customHeight="1" x14ac:dyDescent="0.25">
      <c r="A61" s="8"/>
      <c r="B61" s="8"/>
      <c r="C61" s="30"/>
      <c r="D61" s="8"/>
      <c r="E61" s="27"/>
      <c r="F61" s="31"/>
      <c r="G61" s="82" t="str">
        <f>IF(F61=0,"",VLOOKUP(F61,Employés!$A$2:$B$186,2,0))</f>
        <v/>
      </c>
      <c r="H61" s="82"/>
      <c r="I61" s="35"/>
      <c r="J61" s="29"/>
      <c r="K61" s="26"/>
      <c r="L61" s="25"/>
      <c r="M61" s="37" t="str">
        <f>IF(I61=0,"",VLOOKUP(I61,Municipalités!$A$2:$B$1290,2,TRUE))</f>
        <v/>
      </c>
    </row>
    <row r="62" spans="1:13" x14ac:dyDescent="0.25">
      <c r="C62" s="14"/>
    </row>
    <row r="63" spans="1:13" x14ac:dyDescent="0.25">
      <c r="C63" s="14"/>
    </row>
    <row r="64" spans="1:13" x14ac:dyDescent="0.25">
      <c r="C64" s="14"/>
    </row>
    <row r="65" spans="3:5" x14ac:dyDescent="0.25">
      <c r="C65" s="14"/>
    </row>
    <row r="66" spans="3:5" x14ac:dyDescent="0.25">
      <c r="C66" s="14"/>
    </row>
    <row r="67" spans="3:5" x14ac:dyDescent="0.25">
      <c r="C67" s="14"/>
    </row>
    <row r="68" spans="3:5" x14ac:dyDescent="0.25">
      <c r="C68" s="14"/>
    </row>
    <row r="69" spans="3:5" x14ac:dyDescent="0.25">
      <c r="C69" s="14"/>
    </row>
    <row r="70" spans="3:5" x14ac:dyDescent="0.25">
      <c r="C70" s="14"/>
    </row>
    <row r="71" spans="3:5" x14ac:dyDescent="0.25">
      <c r="C71" s="14"/>
    </row>
    <row r="72" spans="3:5" x14ac:dyDescent="0.25">
      <c r="C72" s="14"/>
    </row>
    <row r="73" spans="3:5" x14ac:dyDescent="0.25">
      <c r="C73" s="14"/>
    </row>
    <row r="74" spans="3:5" x14ac:dyDescent="0.25">
      <c r="C74" s="14"/>
    </row>
    <row r="75" spans="3:5" x14ac:dyDescent="0.25">
      <c r="C75" s="14"/>
    </row>
    <row r="76" spans="3:5" x14ac:dyDescent="0.25">
      <c r="C76" s="14"/>
    </row>
    <row r="77" spans="3:5" x14ac:dyDescent="0.25">
      <c r="C77" s="14"/>
    </row>
    <row r="78" spans="3:5" x14ac:dyDescent="0.25">
      <c r="C78" s="14"/>
      <c r="E78" s="21" t="s">
        <v>1420</v>
      </c>
    </row>
    <row r="79" spans="3:5" x14ac:dyDescent="0.25">
      <c r="C79" s="14"/>
    </row>
    <row r="80" spans="3:5" x14ac:dyDescent="0.25">
      <c r="C80" s="14"/>
    </row>
    <row r="81" spans="3:3" x14ac:dyDescent="0.25">
      <c r="C81" s="14"/>
    </row>
    <row r="82" spans="3:3" x14ac:dyDescent="0.25">
      <c r="C82" s="14"/>
    </row>
    <row r="83" spans="3:3" x14ac:dyDescent="0.25">
      <c r="C83" s="14"/>
    </row>
    <row r="84" spans="3:3" x14ac:dyDescent="0.25">
      <c r="C84" s="14"/>
    </row>
    <row r="85" spans="3:3" x14ac:dyDescent="0.25">
      <c r="C85" s="14"/>
    </row>
    <row r="86" spans="3:3" x14ac:dyDescent="0.25">
      <c r="C86" s="14"/>
    </row>
    <row r="87" spans="3:3" x14ac:dyDescent="0.25">
      <c r="C87" s="14"/>
    </row>
    <row r="88" spans="3:3" x14ac:dyDescent="0.25">
      <c r="C88" s="14"/>
    </row>
    <row r="89" spans="3:3" x14ac:dyDescent="0.25">
      <c r="C89" s="14"/>
    </row>
    <row r="90" spans="3:3" x14ac:dyDescent="0.25">
      <c r="C90" s="14"/>
    </row>
    <row r="91" spans="3:3" x14ac:dyDescent="0.25">
      <c r="C91" s="14"/>
    </row>
    <row r="92" spans="3:3" x14ac:dyDescent="0.25">
      <c r="C92" s="14"/>
    </row>
    <row r="93" spans="3:3" x14ac:dyDescent="0.25">
      <c r="C93" s="14"/>
    </row>
    <row r="94" spans="3:3" x14ac:dyDescent="0.25">
      <c r="C94" s="14"/>
    </row>
    <row r="95" spans="3:3" x14ac:dyDescent="0.25">
      <c r="C95" s="14"/>
    </row>
    <row r="96" spans="3:3" x14ac:dyDescent="0.25">
      <c r="C96" s="14"/>
    </row>
    <row r="97" spans="3:3" x14ac:dyDescent="0.25">
      <c r="C97" s="14"/>
    </row>
    <row r="98" spans="3:3" x14ac:dyDescent="0.25">
      <c r="C98" s="14"/>
    </row>
  </sheetData>
  <mergeCells count="67">
    <mergeCell ref="G59:H59"/>
    <mergeCell ref="G60:H60"/>
    <mergeCell ref="G61:H61"/>
    <mergeCell ref="G53:H53"/>
    <mergeCell ref="G54:H54"/>
    <mergeCell ref="G55:H55"/>
    <mergeCell ref="G56:H56"/>
    <mergeCell ref="G57:H57"/>
    <mergeCell ref="G58:H58"/>
    <mergeCell ref="G52:H52"/>
    <mergeCell ref="G41:H41"/>
    <mergeCell ref="G42:H42"/>
    <mergeCell ref="G43:H43"/>
    <mergeCell ref="G44:H44"/>
    <mergeCell ref="G45:H45"/>
    <mergeCell ref="G46:H46"/>
    <mergeCell ref="G47:H47"/>
    <mergeCell ref="G48:H48"/>
    <mergeCell ref="G49:H49"/>
    <mergeCell ref="G50:H50"/>
    <mergeCell ref="G51:H51"/>
    <mergeCell ref="G40:H40"/>
    <mergeCell ref="G29:H29"/>
    <mergeCell ref="G30:H30"/>
    <mergeCell ref="G31:H31"/>
    <mergeCell ref="G32:H32"/>
    <mergeCell ref="G33:H33"/>
    <mergeCell ref="G34:H34"/>
    <mergeCell ref="G35:H35"/>
    <mergeCell ref="G36:H36"/>
    <mergeCell ref="G37:H37"/>
    <mergeCell ref="G38:H38"/>
    <mergeCell ref="G39:H39"/>
    <mergeCell ref="G28:H28"/>
    <mergeCell ref="G17:H17"/>
    <mergeCell ref="G18:H18"/>
    <mergeCell ref="G19:H19"/>
    <mergeCell ref="G20:H20"/>
    <mergeCell ref="G21:H21"/>
    <mergeCell ref="G22:H22"/>
    <mergeCell ref="G23:H23"/>
    <mergeCell ref="G24:H24"/>
    <mergeCell ref="G25:H25"/>
    <mergeCell ref="G26:H26"/>
    <mergeCell ref="G27:H27"/>
    <mergeCell ref="M2:M4"/>
    <mergeCell ref="G16:H16"/>
    <mergeCell ref="I6:I7"/>
    <mergeCell ref="J6:J7"/>
    <mergeCell ref="K6:M6"/>
    <mergeCell ref="G8:H8"/>
    <mergeCell ref="G9:H9"/>
    <mergeCell ref="G10:H10"/>
    <mergeCell ref="G11:H11"/>
    <mergeCell ref="G12:H12"/>
    <mergeCell ref="G13:H13"/>
    <mergeCell ref="G14:H14"/>
    <mergeCell ref="G15:H15"/>
    <mergeCell ref="E1:F4"/>
    <mergeCell ref="L1:L2"/>
    <mergeCell ref="A6:A7"/>
    <mergeCell ref="B6:B7"/>
    <mergeCell ref="C6:C7"/>
    <mergeCell ref="D6:D7"/>
    <mergeCell ref="E6:E7"/>
    <mergeCell ref="F6:F7"/>
    <mergeCell ref="G6:H7"/>
  </mergeCells>
  <conditionalFormatting sqref="C16:C21 C23:C45">
    <cfRule type="expression" dxfId="173" priority="7" stopIfTrue="1">
      <formula>#REF!=1</formula>
    </cfRule>
    <cfRule type="expression" priority="8" stopIfTrue="1">
      <formula>#REF!=2</formula>
    </cfRule>
    <cfRule type="expression" dxfId="172" priority="9" stopIfTrue="1">
      <formula>#REF!=3</formula>
    </cfRule>
  </conditionalFormatting>
  <conditionalFormatting sqref="C22">
    <cfRule type="expression" dxfId="171" priority="4" stopIfTrue="1">
      <formula>#REF!=1</formula>
    </cfRule>
    <cfRule type="expression" priority="5" stopIfTrue="1">
      <formula>#REF!=2</formula>
    </cfRule>
    <cfRule type="expression" dxfId="170" priority="6" stopIfTrue="1">
      <formula>#REF!=3</formula>
    </cfRule>
  </conditionalFormatting>
  <conditionalFormatting sqref="C46:C61">
    <cfRule type="expression" dxfId="169" priority="1" stopIfTrue="1">
      <formula>#REF!=1</formula>
    </cfRule>
    <cfRule type="expression" priority="2" stopIfTrue="1">
      <formula>#REF!=2</formula>
    </cfRule>
    <cfRule type="expression" dxfId="168" priority="3" stopIfTrue="1">
      <formula>#REF!=3</formula>
    </cfRule>
  </conditionalFormatting>
  <dataValidations count="2">
    <dataValidation operator="greaterThan" allowBlank="1" showDropDown="1" showInputMessage="1" showErrorMessage="1" errorTitle="Saisie incorrecte" error="Re-Saisir le numéro de dossier sous le format_x000a_000-000000-000" promptTitle="Saisie du numéro d'événement" prompt="000-000000-000_x000a_Ex. : 071-030901-001" sqref="J8:J39" xr:uid="{00000000-0002-0000-0200-000000000000}"/>
    <dataValidation type="textLength" operator="greaterThanOrEqual" allowBlank="1" showInputMessage="1" showErrorMessage="1" errorTitle="Saisie incorrecte" error="Re-saisir le numéro d'entrée en utilisant 3 chiffres_x000a_Ex.: 001" promptTitle="Saisie du numéro d'entrée" prompt="Minimum 3 chiffres_x000a_Ex.: 001" sqref="C8:C39" xr:uid="{00000000-0002-0000-0200-000001000000}">
      <formula1>3</formula1>
    </dataValidation>
  </dataValidations>
  <printOptions horizontalCentered="1" verticalCentered="1"/>
  <pageMargins left="0" right="0" top="0.31496062992125984" bottom="0.39370078740157483" header="0.15748031496062992" footer="0.19685039370078741"/>
  <pageSetup paperSize="5" scale="90" orientation="landscape" r:id="rId1"/>
  <headerFooter alignWithMargins="0">
    <oddFooter>&amp;R&amp;8Page &amp;P de &amp;N</oddFooter>
  </headerFooter>
  <drawing r:id="rId2"/>
  <legacyDrawing r:id="rId3"/>
  <controls>
    <mc:AlternateContent xmlns:mc="http://schemas.openxmlformats.org/markup-compatibility/2006">
      <mc:Choice Requires="x14">
        <control shapeId="144387" r:id="rId4" name="ComboBox2">
          <controlPr defaultSize="0" autoLine="0" r:id="rId5">
            <anchor moveWithCells="1">
              <from>
                <xdr:col>4</xdr:col>
                <xdr:colOff>0</xdr:colOff>
                <xdr:row>10</xdr:row>
                <xdr:rowOff>0</xdr:rowOff>
              </from>
              <to>
                <xdr:col>4</xdr:col>
                <xdr:colOff>2965450</xdr:colOff>
                <xdr:row>11</xdr:row>
                <xdr:rowOff>38100</xdr:rowOff>
              </to>
            </anchor>
          </controlPr>
        </control>
      </mc:Choice>
      <mc:Fallback>
        <control shapeId="144387" r:id="rId4" name="ComboBox2"/>
      </mc:Fallback>
    </mc:AlternateContent>
    <mc:AlternateContent xmlns:mc="http://schemas.openxmlformats.org/markup-compatibility/2006">
      <mc:Choice Requires="x14">
        <control shapeId="144386" r:id="rId6" name="ComboBox1">
          <controlPr defaultSize="0" autoLine="0" r:id="rId7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11</xdr:col>
                <xdr:colOff>1803400</xdr:colOff>
                <xdr:row>9</xdr:row>
                <xdr:rowOff>38100</xdr:rowOff>
              </to>
            </anchor>
          </controlPr>
        </control>
      </mc:Choice>
      <mc:Fallback>
        <control shapeId="144386" r:id="rId6" name="ComboBox1"/>
      </mc:Fallback>
    </mc:AlternateContent>
    <mc:AlternateContent xmlns:mc="http://schemas.openxmlformats.org/markup-compatibility/2006">
      <mc:Choice Requires="x14">
        <control shapeId="144385" r:id="rId8" name="Button 1">
          <controlPr defaultSize="0" print="0" autoFill="0" autoPict="0" macro="[0]!test2">
            <anchor moveWithCells="1">
              <from>
                <xdr:col>5</xdr:col>
                <xdr:colOff>222250</xdr:colOff>
                <xdr:row>1</xdr:row>
                <xdr:rowOff>139700</xdr:rowOff>
              </from>
              <to>
                <xdr:col>9</xdr:col>
                <xdr:colOff>1143000</xdr:colOff>
                <xdr:row>4</xdr:row>
                <xdr:rowOff>107950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61"/>
  <dimension ref="A1:M98"/>
  <sheetViews>
    <sheetView showGridLines="0" zoomScaleNormal="100" workbookViewId="0">
      <pane xSplit="3" ySplit="7" topLeftCell="F8" activePane="bottomRight" state="frozen"/>
      <selection activeCell="C8" sqref="C8"/>
      <selection pane="topRight" activeCell="C8" sqref="C8"/>
      <selection pane="bottomLeft" activeCell="C8" sqref="C8"/>
      <selection pane="bottomRight" activeCell="M2" sqref="M2:M5"/>
    </sheetView>
  </sheetViews>
  <sheetFormatPr baseColWidth="10" defaultColWidth="11.453125" defaultRowHeight="13" x14ac:dyDescent="0.25"/>
  <cols>
    <col min="1" max="2" width="5.6328125" style="1" customWidth="1"/>
    <col min="3" max="3" width="6.6328125" style="1" customWidth="1"/>
    <col min="4" max="4" width="7.54296875" style="1" customWidth="1"/>
    <col min="5" max="5" width="44.453125" style="21" customWidth="1"/>
    <col min="6" max="6" width="10.54296875" style="1" customWidth="1"/>
    <col min="7" max="7" width="13.90625" style="1" customWidth="1"/>
    <col min="8" max="8" width="4.6328125" style="1" hidden="1" customWidth="1"/>
    <col min="9" max="9" width="6.08984375" style="1" customWidth="1"/>
    <col min="10" max="10" width="26.54296875" style="1" customWidth="1"/>
    <col min="11" max="11" width="7.36328125" style="1" customWidth="1"/>
    <col min="12" max="12" width="27" style="24" customWidth="1"/>
    <col min="13" max="13" width="26" style="1" customWidth="1"/>
    <col min="14" max="16384" width="11.453125" style="1"/>
  </cols>
  <sheetData>
    <row r="1" spans="1:13" ht="12.75" customHeight="1" x14ac:dyDescent="0.25">
      <c r="E1" s="71" t="s">
        <v>1023</v>
      </c>
      <c r="F1" s="72"/>
      <c r="L1" s="73" t="s">
        <v>1021</v>
      </c>
      <c r="M1" s="51" t="s">
        <v>1022</v>
      </c>
    </row>
    <row r="2" spans="1:13" ht="12.75" customHeight="1" x14ac:dyDescent="0.25">
      <c r="E2" s="72"/>
      <c r="F2" s="72"/>
      <c r="L2" s="74"/>
      <c r="M2" s="70">
        <f>'03'!M2:M5+1</f>
        <v>42708</v>
      </c>
    </row>
    <row r="3" spans="1:13" ht="12.75" customHeight="1" x14ac:dyDescent="0.25">
      <c r="E3" s="72"/>
      <c r="F3" s="72"/>
      <c r="L3" s="52"/>
      <c r="M3" s="70"/>
    </row>
    <row r="4" spans="1:13" ht="15.75" customHeight="1" x14ac:dyDescent="0.25">
      <c r="E4" s="72"/>
      <c r="F4" s="72"/>
      <c r="L4" s="49" t="s">
        <v>140</v>
      </c>
      <c r="M4" s="70"/>
    </row>
    <row r="5" spans="1:13" ht="21.9" customHeight="1" thickBot="1" x14ac:dyDescent="0.3">
      <c r="L5" s="36"/>
      <c r="M5" s="69">
        <f>M2</f>
        <v>42708</v>
      </c>
    </row>
    <row r="6" spans="1:13" ht="24.9" customHeight="1" x14ac:dyDescent="0.25">
      <c r="A6" s="75" t="s">
        <v>2351</v>
      </c>
      <c r="B6" s="75" t="s">
        <v>2350</v>
      </c>
      <c r="C6" s="76" t="s">
        <v>1362</v>
      </c>
      <c r="D6" s="75" t="s">
        <v>1153</v>
      </c>
      <c r="E6" s="75" t="s">
        <v>1016</v>
      </c>
      <c r="F6" s="76" t="s">
        <v>2352</v>
      </c>
      <c r="G6" s="76" t="s">
        <v>1017</v>
      </c>
      <c r="H6" s="79"/>
      <c r="I6" s="76" t="s">
        <v>1364</v>
      </c>
      <c r="J6" s="76" t="s">
        <v>1363</v>
      </c>
      <c r="K6" s="83" t="s">
        <v>1018</v>
      </c>
      <c r="L6" s="84"/>
      <c r="M6" s="84"/>
    </row>
    <row r="7" spans="1:13" ht="12.5" x14ac:dyDescent="0.25">
      <c r="A7" s="75"/>
      <c r="B7" s="75"/>
      <c r="C7" s="77"/>
      <c r="D7" s="75"/>
      <c r="E7" s="75"/>
      <c r="F7" s="78"/>
      <c r="G7" s="80"/>
      <c r="H7" s="81"/>
      <c r="I7" s="77"/>
      <c r="J7" s="77"/>
      <c r="K7" s="50" t="s">
        <v>1015</v>
      </c>
      <c r="L7" s="50" t="s">
        <v>1019</v>
      </c>
      <c r="M7" s="32" t="s">
        <v>1020</v>
      </c>
    </row>
    <row r="8" spans="1:13" ht="30" customHeight="1" x14ac:dyDescent="0.25">
      <c r="A8" s="45"/>
      <c r="B8" s="45"/>
      <c r="C8" s="30"/>
      <c r="D8" s="46"/>
      <c r="E8" s="27"/>
      <c r="F8" s="31"/>
      <c r="G8" s="82" t="str">
        <f>IF(F8=0,"",VLOOKUP(F8,Employés!$A$2:$B$186,2,0))</f>
        <v/>
      </c>
      <c r="H8" s="82"/>
      <c r="I8" s="34"/>
      <c r="J8" s="33"/>
      <c r="K8" s="19"/>
      <c r="L8" s="20" t="s">
        <v>1420</v>
      </c>
      <c r="M8" s="37" t="str">
        <f>IF(I8=0,"",VLOOKUP(I8,Municipalités!$A$2:$B$1290,2,TRUE))</f>
        <v/>
      </c>
    </row>
    <row r="9" spans="1:13" ht="30" customHeight="1" x14ac:dyDescent="0.25">
      <c r="A9" s="45"/>
      <c r="B9" s="45"/>
      <c r="C9" s="39"/>
      <c r="D9" s="47"/>
      <c r="E9" s="27"/>
      <c r="F9" s="31"/>
      <c r="G9" s="82" t="str">
        <f>IF(F9=0,"",VLOOKUP(F9,Employés!$A$2:$B$186,2,0))</f>
        <v/>
      </c>
      <c r="H9" s="82"/>
      <c r="I9" s="35"/>
      <c r="J9" s="33"/>
      <c r="K9" s="19"/>
      <c r="L9" s="20"/>
      <c r="M9" s="37" t="str">
        <f>IF(I9=0,"",VLOOKUP(I9,Municipalités!$A$2:$B$1290,2,TRUE))</f>
        <v/>
      </c>
    </row>
    <row r="10" spans="1:13" ht="30" customHeight="1" x14ac:dyDescent="0.25">
      <c r="A10" s="45"/>
      <c r="B10" s="45"/>
      <c r="C10" s="39"/>
      <c r="D10" s="48"/>
      <c r="E10" s="28"/>
      <c r="F10" s="31"/>
      <c r="G10" s="82" t="str">
        <f>IF(F10=0,"",VLOOKUP(F10,Employés!$A$2:$B$186,2,0))</f>
        <v/>
      </c>
      <c r="H10" s="82"/>
      <c r="I10" s="35"/>
      <c r="J10" s="29"/>
      <c r="K10" s="19"/>
      <c r="L10" s="20"/>
      <c r="M10" s="37" t="str">
        <f>IF(I10=0,"",VLOOKUP(I10,Municipalités!$A$2:$B$1290,2,TRUE))</f>
        <v/>
      </c>
    </row>
    <row r="11" spans="1:13" ht="30" customHeight="1" x14ac:dyDescent="0.25">
      <c r="A11" s="45"/>
      <c r="B11" s="45"/>
      <c r="C11" s="39"/>
      <c r="D11" s="47"/>
      <c r="E11" s="28" t="s">
        <v>1420</v>
      </c>
      <c r="F11" s="31"/>
      <c r="G11" s="82" t="str">
        <f>IF(F11=0,"",VLOOKUP(F11,Employés!$A$2:$B$186,2,0))</f>
        <v/>
      </c>
      <c r="H11" s="82"/>
      <c r="I11" s="35"/>
      <c r="J11" s="29"/>
      <c r="K11" s="19"/>
      <c r="L11" s="20"/>
      <c r="M11" s="37" t="str">
        <f>IF(I11=0,"",VLOOKUP(I11,Municipalités!$A$2:$B$1290,2,TRUE))</f>
        <v/>
      </c>
    </row>
    <row r="12" spans="1:13" ht="30" customHeight="1" x14ac:dyDescent="0.25">
      <c r="A12" s="45"/>
      <c r="B12" s="45"/>
      <c r="C12" s="39"/>
      <c r="D12" s="46"/>
      <c r="E12" s="27"/>
      <c r="F12" s="31"/>
      <c r="G12" s="82" t="str">
        <f>IF(F12=0,"",VLOOKUP(F12,Employés!$A$2:$B$186,2,0))</f>
        <v/>
      </c>
      <c r="H12" s="82"/>
      <c r="I12" s="35"/>
      <c r="J12" s="29"/>
      <c r="K12" s="19"/>
      <c r="L12" s="20"/>
      <c r="M12" s="37" t="str">
        <f>IF(I12=0,"",VLOOKUP(I12,Municipalités!$A$2:$B$1290,2,TRUE))</f>
        <v/>
      </c>
    </row>
    <row r="13" spans="1:13" ht="30" customHeight="1" x14ac:dyDescent="0.25">
      <c r="A13" s="45"/>
      <c r="B13" s="45"/>
      <c r="C13" s="39"/>
      <c r="D13" s="46"/>
      <c r="E13" s="27"/>
      <c r="F13" s="31"/>
      <c r="G13" s="82" t="str">
        <f>IF(F13=0,"",VLOOKUP(F13,Employés!$A$2:$B$186,2,0))</f>
        <v/>
      </c>
      <c r="H13" s="82"/>
      <c r="I13" s="35"/>
      <c r="J13" s="29"/>
      <c r="K13" s="19"/>
      <c r="L13" s="20"/>
      <c r="M13" s="37" t="str">
        <f>IF(I13=0,"",VLOOKUP(I13,Municipalités!$A$2:$B$1290,2,TRUE))</f>
        <v/>
      </c>
    </row>
    <row r="14" spans="1:13" ht="30" customHeight="1" x14ac:dyDescent="0.25">
      <c r="A14" s="45"/>
      <c r="B14" s="45"/>
      <c r="C14" s="39"/>
      <c r="D14" s="47"/>
      <c r="E14" s="27"/>
      <c r="F14" s="31"/>
      <c r="G14" s="82" t="str">
        <f>IF(F14=0,"",VLOOKUP(F14,Employés!$A$2:$B$186,2,0))</f>
        <v/>
      </c>
      <c r="H14" s="82"/>
      <c r="I14" s="35"/>
      <c r="J14" s="29"/>
      <c r="K14" s="19"/>
      <c r="L14" s="20"/>
      <c r="M14" s="37" t="str">
        <f>IF(I14=0,"",VLOOKUP(I14,Municipalités!$A$2:$B$1290,2,TRUE))</f>
        <v/>
      </c>
    </row>
    <row r="15" spans="1:13" ht="30" customHeight="1" x14ac:dyDescent="0.25">
      <c r="A15" s="45"/>
      <c r="B15" s="45"/>
      <c r="C15" s="39"/>
      <c r="D15" s="47"/>
      <c r="E15" s="27"/>
      <c r="F15" s="31"/>
      <c r="G15" s="82" t="str">
        <f>IF(F15=0,"",VLOOKUP(F15,Employés!$A$2:$B$186,2,0))</f>
        <v/>
      </c>
      <c r="H15" s="82"/>
      <c r="I15" s="35"/>
      <c r="J15" s="29"/>
      <c r="K15" s="19"/>
      <c r="L15" s="20"/>
      <c r="M15" s="37" t="str">
        <f>IF(I15=0,"",VLOOKUP(I15,Municipalités!$A$2:$B$1290,2,TRUE))</f>
        <v/>
      </c>
    </row>
    <row r="16" spans="1:13" ht="30" customHeight="1" x14ac:dyDescent="0.25">
      <c r="A16" s="45"/>
      <c r="B16" s="45"/>
      <c r="C16" s="39"/>
      <c r="D16" s="46"/>
      <c r="E16" s="27"/>
      <c r="F16" s="31"/>
      <c r="G16" s="82" t="str">
        <f>IF(F16=0,"",VLOOKUP(F16,Employés!$A$2:$B$186,2,0))</f>
        <v/>
      </c>
      <c r="H16" s="82"/>
      <c r="I16" s="35"/>
      <c r="J16" s="29"/>
      <c r="K16" s="19"/>
      <c r="L16" s="20"/>
      <c r="M16" s="37" t="str">
        <f>IF(I16=0,"",VLOOKUP(I16,Municipalités!$A$2:$B$1290,2,TRUE))</f>
        <v/>
      </c>
    </row>
    <row r="17" spans="1:13" ht="30" customHeight="1" x14ac:dyDescent="0.25">
      <c r="A17" s="45"/>
      <c r="B17" s="45"/>
      <c r="C17" s="39"/>
      <c r="D17" s="46"/>
      <c r="E17" s="27"/>
      <c r="F17" s="31"/>
      <c r="G17" s="82" t="str">
        <f>IF(F17=0,"",VLOOKUP(F17,Employés!$A$2:$B$186,2,0))</f>
        <v/>
      </c>
      <c r="H17" s="82"/>
      <c r="I17" s="35"/>
      <c r="J17" s="29"/>
      <c r="K17" s="19"/>
      <c r="L17" s="20"/>
      <c r="M17" s="37" t="str">
        <f>IF(I17=0,"",VLOOKUP(I17,Municipalités!$A$2:$B$1290,2,TRUE))</f>
        <v/>
      </c>
    </row>
    <row r="18" spans="1:13" ht="30" customHeight="1" x14ac:dyDescent="0.25">
      <c r="A18" s="45"/>
      <c r="B18" s="45"/>
      <c r="C18" s="39"/>
      <c r="D18" s="46"/>
      <c r="E18" s="27"/>
      <c r="F18" s="31"/>
      <c r="G18" s="82" t="str">
        <f>IF(F18=0,"",VLOOKUP(F18,Employés!$A$2:$B$186,2,0))</f>
        <v/>
      </c>
      <c r="H18" s="82"/>
      <c r="I18" s="35"/>
      <c r="J18" s="29"/>
      <c r="K18" s="19"/>
      <c r="L18" s="20"/>
      <c r="M18" s="37" t="str">
        <f>IF(I18=0,"",VLOOKUP(I18,Municipalités!$A$2:$B$1290,2,TRUE))</f>
        <v/>
      </c>
    </row>
    <row r="19" spans="1:13" ht="30" customHeight="1" x14ac:dyDescent="0.25">
      <c r="A19" s="45"/>
      <c r="B19" s="45"/>
      <c r="C19" s="39"/>
      <c r="D19" s="46"/>
      <c r="E19" s="27"/>
      <c r="F19" s="31"/>
      <c r="G19" s="82" t="str">
        <f>IF(F19=0,"",VLOOKUP(F19,Employés!$A$2:$B$186,2,0))</f>
        <v/>
      </c>
      <c r="H19" s="82"/>
      <c r="I19" s="35"/>
      <c r="J19" s="29"/>
      <c r="K19" s="19"/>
      <c r="L19" s="20"/>
      <c r="M19" s="37" t="str">
        <f>IF(I19=0,"",VLOOKUP(I19,Municipalités!$A$2:$B$1290,2,TRUE))</f>
        <v/>
      </c>
    </row>
    <row r="20" spans="1:13" ht="30" customHeight="1" x14ac:dyDescent="0.25">
      <c r="A20" s="45"/>
      <c r="B20" s="45"/>
      <c r="C20" s="39"/>
      <c r="D20" s="47"/>
      <c r="E20" s="27"/>
      <c r="F20" s="31"/>
      <c r="G20" s="82" t="str">
        <f>IF(F20=0,"",VLOOKUP(F20,Employés!$A$2:$B$186,2,0))</f>
        <v/>
      </c>
      <c r="H20" s="82"/>
      <c r="I20" s="35"/>
      <c r="J20" s="29"/>
      <c r="K20" s="19"/>
      <c r="L20" s="20"/>
      <c r="M20" s="37" t="str">
        <f>IF(I20=0,"",VLOOKUP(I20,Municipalités!$A$2:$B$1290,2,TRUE))</f>
        <v/>
      </c>
    </row>
    <row r="21" spans="1:13" ht="30" customHeight="1" x14ac:dyDescent="0.25">
      <c r="A21" s="45"/>
      <c r="B21" s="45"/>
      <c r="C21" s="39"/>
      <c r="D21" s="47"/>
      <c r="E21" s="27"/>
      <c r="F21" s="31"/>
      <c r="G21" s="82" t="str">
        <f>IF(F21=0,"",VLOOKUP(F21,Employés!$A$2:$B$186,2,0))</f>
        <v/>
      </c>
      <c r="H21" s="82"/>
      <c r="I21" s="35"/>
      <c r="J21" s="29"/>
      <c r="K21" s="19"/>
      <c r="L21" s="20"/>
      <c r="M21" s="37" t="str">
        <f>IF(I21=0,"",VLOOKUP(I21,Municipalités!$A$2:$B$1290,2,TRUE))</f>
        <v/>
      </c>
    </row>
    <row r="22" spans="1:13" ht="30" customHeight="1" x14ac:dyDescent="0.25">
      <c r="A22" s="45"/>
      <c r="B22" s="45"/>
      <c r="C22" s="39"/>
      <c r="D22" s="46"/>
      <c r="E22" s="27"/>
      <c r="F22" s="31"/>
      <c r="G22" s="82" t="str">
        <f>IF(F22=0,"",VLOOKUP(F22,Employés!$A$2:$B$186,2,0))</f>
        <v/>
      </c>
      <c r="H22" s="82"/>
      <c r="I22" s="35"/>
      <c r="J22" s="29"/>
      <c r="K22" s="19"/>
      <c r="L22" s="20"/>
      <c r="M22" s="37" t="str">
        <f>IF(I22=0,"",VLOOKUP(I22,Municipalités!$A$2:$B$1290,2,TRUE))</f>
        <v/>
      </c>
    </row>
    <row r="23" spans="1:13" ht="30" customHeight="1" x14ac:dyDescent="0.25">
      <c r="A23" s="45"/>
      <c r="B23" s="45"/>
      <c r="C23" s="39"/>
      <c r="D23" s="46"/>
      <c r="E23" s="27"/>
      <c r="F23" s="31"/>
      <c r="G23" s="82" t="str">
        <f>IF(F23=0,"",VLOOKUP(F23,Employés!$A$2:$B$186,2,0))</f>
        <v/>
      </c>
      <c r="H23" s="82"/>
      <c r="I23" s="35"/>
      <c r="J23" s="29"/>
      <c r="K23" s="19"/>
      <c r="L23" s="20"/>
      <c r="M23" s="37" t="str">
        <f>IF(I23=0,"",VLOOKUP(I23,Municipalités!$A$2:$B$1290,2,TRUE))</f>
        <v/>
      </c>
    </row>
    <row r="24" spans="1:13" ht="30" customHeight="1" x14ac:dyDescent="0.25">
      <c r="A24" s="45"/>
      <c r="B24" s="45"/>
      <c r="C24" s="39"/>
      <c r="D24" s="46"/>
      <c r="E24" s="27"/>
      <c r="F24" s="31"/>
      <c r="G24" s="82" t="str">
        <f>IF(F24=0,"",VLOOKUP(F24,Employés!$A$2:$B$186,2,0))</f>
        <v/>
      </c>
      <c r="H24" s="82"/>
      <c r="I24" s="35"/>
      <c r="J24" s="29"/>
      <c r="K24" s="19"/>
      <c r="L24" s="20"/>
      <c r="M24" s="37" t="str">
        <f>IF(I24=0,"",VLOOKUP(I24,Municipalités!$A$2:$B$1290,2,TRUE))</f>
        <v/>
      </c>
    </row>
    <row r="25" spans="1:13" ht="30" customHeight="1" x14ac:dyDescent="0.25">
      <c r="A25" s="45"/>
      <c r="B25" s="45"/>
      <c r="C25" s="39"/>
      <c r="D25" s="46"/>
      <c r="E25" s="27"/>
      <c r="F25" s="31"/>
      <c r="G25" s="82" t="str">
        <f>IF(F25=0,"",VLOOKUP(F25,Employés!$A$2:$B$186,2,0))</f>
        <v/>
      </c>
      <c r="H25" s="82"/>
      <c r="I25" s="35"/>
      <c r="J25" s="29"/>
      <c r="K25" s="19"/>
      <c r="L25" s="20"/>
      <c r="M25" s="37" t="str">
        <f>IF(I25=0,"",VLOOKUP(I25,Municipalités!$A$2:$B$1290,2,TRUE))</f>
        <v/>
      </c>
    </row>
    <row r="26" spans="1:13" ht="30" customHeight="1" x14ac:dyDescent="0.25">
      <c r="A26" s="45"/>
      <c r="B26" s="45"/>
      <c r="C26" s="39"/>
      <c r="D26" s="46"/>
      <c r="E26" s="27"/>
      <c r="F26" s="31"/>
      <c r="G26" s="82" t="str">
        <f>IF(F26=0,"",VLOOKUP(F26,Employés!$A$2:$B$186,2,0))</f>
        <v/>
      </c>
      <c r="H26" s="82"/>
      <c r="I26" s="35"/>
      <c r="J26" s="29"/>
      <c r="K26" s="19"/>
      <c r="L26" s="20"/>
      <c r="M26" s="37" t="str">
        <f>IF(I26=0,"",VLOOKUP(I26,Municipalités!$A$2:$B$1290,2,TRUE))</f>
        <v/>
      </c>
    </row>
    <row r="27" spans="1:13" ht="30" customHeight="1" x14ac:dyDescent="0.25">
      <c r="A27" s="45"/>
      <c r="B27" s="45"/>
      <c r="C27" s="39"/>
      <c r="D27" s="46"/>
      <c r="E27" s="27"/>
      <c r="F27" s="31"/>
      <c r="G27" s="82" t="str">
        <f>IF(F27=0,"",VLOOKUP(F27,Employés!$A$2:$B$186,2,0))</f>
        <v/>
      </c>
      <c r="H27" s="82"/>
      <c r="I27" s="35"/>
      <c r="J27" s="29"/>
      <c r="K27" s="19"/>
      <c r="L27" s="20"/>
      <c r="M27" s="37" t="str">
        <f>IF(I27=0,"",VLOOKUP(I27,Municipalités!$A$2:$B$1290,2,TRUE))</f>
        <v/>
      </c>
    </row>
    <row r="28" spans="1:13" ht="30" customHeight="1" x14ac:dyDescent="0.25">
      <c r="A28" s="45"/>
      <c r="B28" s="45"/>
      <c r="C28" s="39"/>
      <c r="D28" s="46"/>
      <c r="E28" s="27"/>
      <c r="F28" s="31"/>
      <c r="G28" s="82" t="str">
        <f>IF(F28=0,"",VLOOKUP(F28,Employés!$A$2:$B$186,2,0))</f>
        <v/>
      </c>
      <c r="H28" s="82"/>
      <c r="I28" s="35"/>
      <c r="J28" s="29"/>
      <c r="K28" s="19"/>
      <c r="L28" s="20"/>
      <c r="M28" s="37" t="str">
        <f>IF(I28=0,"",VLOOKUP(I28,Municipalités!$A$2:$B$1290,2,TRUE))</f>
        <v/>
      </c>
    </row>
    <row r="29" spans="1:13" ht="30" customHeight="1" x14ac:dyDescent="0.25">
      <c r="A29" s="45"/>
      <c r="B29" s="45"/>
      <c r="C29" s="39"/>
      <c r="D29" s="46"/>
      <c r="E29" s="27"/>
      <c r="F29" s="31"/>
      <c r="G29" s="82" t="str">
        <f>IF(F29=0,"",VLOOKUP(F29,Employés!$A$2:$B$186,2,0))</f>
        <v/>
      </c>
      <c r="H29" s="82"/>
      <c r="I29" s="35"/>
      <c r="J29" s="29"/>
      <c r="K29" s="19"/>
      <c r="L29" s="20"/>
      <c r="M29" s="37" t="str">
        <f>IF(I29=0,"",VLOOKUP(I29,Municipalités!$A$2:$B$1290,2,TRUE))</f>
        <v/>
      </c>
    </row>
    <row r="30" spans="1:13" ht="30" customHeight="1" x14ac:dyDescent="0.25">
      <c r="A30" s="45"/>
      <c r="B30" s="45"/>
      <c r="C30" s="39"/>
      <c r="D30" s="46"/>
      <c r="E30" s="27"/>
      <c r="F30" s="31"/>
      <c r="G30" s="82" t="str">
        <f>IF(F30=0,"",VLOOKUP(F30,Employés!$A$2:$B$186,2,0))</f>
        <v/>
      </c>
      <c r="H30" s="82"/>
      <c r="I30" s="35"/>
      <c r="J30" s="29"/>
      <c r="K30" s="19"/>
      <c r="L30" s="20"/>
      <c r="M30" s="37" t="str">
        <f>IF(I30=0,"",VLOOKUP(I30,Municipalités!$A$2:$B$1290,2,TRUE))</f>
        <v/>
      </c>
    </row>
    <row r="31" spans="1:13" ht="30" customHeight="1" x14ac:dyDescent="0.25">
      <c r="A31" s="45"/>
      <c r="B31" s="45"/>
      <c r="C31" s="39"/>
      <c r="D31" s="47"/>
      <c r="E31" s="27"/>
      <c r="F31" s="31"/>
      <c r="G31" s="82" t="str">
        <f>IF(F31=0,"",VLOOKUP(F31,Employés!$A$2:$B$186,2,0))</f>
        <v/>
      </c>
      <c r="H31" s="82"/>
      <c r="I31" s="35"/>
      <c r="J31" s="29"/>
      <c r="K31" s="19"/>
      <c r="L31" s="20"/>
      <c r="M31" s="37" t="str">
        <f>IF(I31=0,"",VLOOKUP(I31,Municipalités!$A$2:$B$1290,2,TRUE))</f>
        <v/>
      </c>
    </row>
    <row r="32" spans="1:13" ht="30" customHeight="1" x14ac:dyDescent="0.25">
      <c r="A32" s="45"/>
      <c r="B32" s="45"/>
      <c r="C32" s="39"/>
      <c r="D32" s="46"/>
      <c r="E32" s="27"/>
      <c r="F32" s="31"/>
      <c r="G32" s="82" t="str">
        <f>IF(F32=0,"",VLOOKUP(F32,Employés!$A$2:$B$186,2,0))</f>
        <v/>
      </c>
      <c r="H32" s="82"/>
      <c r="I32" s="35"/>
      <c r="J32" s="29"/>
      <c r="K32" s="19"/>
      <c r="L32" s="20"/>
      <c r="M32" s="37" t="str">
        <f>IF(I32=0,"",VLOOKUP(I32,Municipalités!$A$2:$B$1290,2,TRUE))</f>
        <v/>
      </c>
    </row>
    <row r="33" spans="1:13" ht="30" customHeight="1" x14ac:dyDescent="0.25">
      <c r="A33" s="45"/>
      <c r="B33" s="45"/>
      <c r="C33" s="39"/>
      <c r="D33" s="46"/>
      <c r="E33" s="27"/>
      <c r="F33" s="31"/>
      <c r="G33" s="82" t="str">
        <f>IF(F33=0,"",VLOOKUP(F33,Employés!$A$2:$B$186,2,0))</f>
        <v/>
      </c>
      <c r="H33" s="82"/>
      <c r="I33" s="35"/>
      <c r="J33" s="29"/>
      <c r="K33" s="19"/>
      <c r="L33" s="20"/>
      <c r="M33" s="37" t="str">
        <f>IF(I33=0,"",VLOOKUP(I33,Municipalités!$A$2:$B$1290,2,TRUE))</f>
        <v/>
      </c>
    </row>
    <row r="34" spans="1:13" ht="30" customHeight="1" x14ac:dyDescent="0.25">
      <c r="A34" s="45"/>
      <c r="B34" s="45"/>
      <c r="C34" s="39"/>
      <c r="D34" s="46"/>
      <c r="E34" s="27"/>
      <c r="F34" s="31"/>
      <c r="G34" s="82" t="str">
        <f>IF(F34=0,"",VLOOKUP(F34,Employés!$A$2:$B$186,2,0))</f>
        <v/>
      </c>
      <c r="H34" s="82"/>
      <c r="I34" s="35"/>
      <c r="J34" s="29"/>
      <c r="K34" s="19"/>
      <c r="L34" s="20"/>
      <c r="M34" s="37" t="str">
        <f>IF(I34=0,"",VLOOKUP(I34,Municipalités!$A$2:$B$1290,2,TRUE))</f>
        <v/>
      </c>
    </row>
    <row r="35" spans="1:13" ht="30" customHeight="1" x14ac:dyDescent="0.25">
      <c r="A35" s="45"/>
      <c r="B35" s="45"/>
      <c r="C35" s="30"/>
      <c r="D35" s="46"/>
      <c r="E35" s="27"/>
      <c r="F35" s="31"/>
      <c r="G35" s="82" t="str">
        <f>IF(F35=0,"",VLOOKUP(F35,Employés!$A$2:$B$186,2,0))</f>
        <v/>
      </c>
      <c r="H35" s="82"/>
      <c r="I35" s="35"/>
      <c r="J35" s="29"/>
      <c r="K35" s="19"/>
      <c r="L35" s="20"/>
      <c r="M35" s="37" t="str">
        <f>IF(I35=0,"",VLOOKUP(I35,Municipalités!$A$2:$B$1290,2,TRUE))</f>
        <v/>
      </c>
    </row>
    <row r="36" spans="1:13" ht="30" customHeight="1" x14ac:dyDescent="0.25">
      <c r="A36" s="45"/>
      <c r="B36" s="45"/>
      <c r="C36" s="30"/>
      <c r="D36" s="46"/>
      <c r="E36" s="27"/>
      <c r="F36" s="31"/>
      <c r="G36" s="82" t="str">
        <f>IF(F36=0,"",VLOOKUP(F36,Employés!$A$2:$B$186,2,0))</f>
        <v/>
      </c>
      <c r="H36" s="82"/>
      <c r="I36" s="35"/>
      <c r="J36" s="29"/>
      <c r="K36" s="19"/>
      <c r="L36" s="20"/>
      <c r="M36" s="37" t="str">
        <f>IF(I36=0,"",VLOOKUP(I36,Municipalités!$A$2:$B$1290,2,TRUE))</f>
        <v/>
      </c>
    </row>
    <row r="37" spans="1:13" ht="30" customHeight="1" x14ac:dyDescent="0.25">
      <c r="A37" s="45"/>
      <c r="B37" s="45"/>
      <c r="C37" s="39"/>
      <c r="D37" s="46"/>
      <c r="E37" s="27"/>
      <c r="F37" s="31"/>
      <c r="G37" s="82" t="str">
        <f>IF(F37=0,"",VLOOKUP(F37,Employés!$A$2:$B$186,2,0))</f>
        <v/>
      </c>
      <c r="H37" s="82"/>
      <c r="I37" s="35"/>
      <c r="J37" s="29"/>
      <c r="K37" s="19"/>
      <c r="L37" s="20"/>
      <c r="M37" s="37" t="str">
        <f>IF(I37=0,"",VLOOKUP(I37,Municipalités!$A$2:$B$1290,2,TRUE))</f>
        <v/>
      </c>
    </row>
    <row r="38" spans="1:13" ht="30" customHeight="1" x14ac:dyDescent="0.25">
      <c r="A38" s="45"/>
      <c r="B38" s="45"/>
      <c r="C38" s="39"/>
      <c r="D38" s="47"/>
      <c r="E38" s="27"/>
      <c r="F38" s="31"/>
      <c r="G38" s="82" t="str">
        <f>IF(F38=0,"",VLOOKUP(F38,Employés!$A$2:$B$186,2,0))</f>
        <v/>
      </c>
      <c r="H38" s="82"/>
      <c r="I38" s="35"/>
      <c r="J38" s="29"/>
      <c r="K38" s="19"/>
      <c r="L38" s="20"/>
      <c r="M38" s="37" t="str">
        <f>IF(I38=0,"",VLOOKUP(I38,Municipalités!$A$2:$B$1290,2,TRUE))</f>
        <v/>
      </c>
    </row>
    <row r="39" spans="1:13" ht="30" customHeight="1" x14ac:dyDescent="0.25">
      <c r="A39" s="45"/>
      <c r="B39" s="45"/>
      <c r="C39" s="39"/>
      <c r="D39" s="45"/>
      <c r="E39" s="27"/>
      <c r="F39" s="31"/>
      <c r="G39" s="82" t="str">
        <f>IF(F39=0,"",VLOOKUP(F39,Employés!$A$2:$B$186,2,0))</f>
        <v/>
      </c>
      <c r="H39" s="82"/>
      <c r="I39" s="35"/>
      <c r="J39" s="29"/>
      <c r="K39" s="26"/>
      <c r="L39" s="25"/>
      <c r="M39" s="37" t="str">
        <f>IF(I39=0,"",VLOOKUP(I39,Municipalités!$A$2:$B$1290,2,TRUE))</f>
        <v/>
      </c>
    </row>
    <row r="40" spans="1:13" ht="30" customHeight="1" x14ac:dyDescent="0.25">
      <c r="A40" s="8"/>
      <c r="B40" s="8"/>
      <c r="C40" s="30"/>
      <c r="D40" s="8"/>
      <c r="E40" s="27"/>
      <c r="F40" s="31"/>
      <c r="G40" s="82" t="str">
        <f>IF(F40=0,"",VLOOKUP(F40,Employés!$A$2:$B$186,2,0))</f>
        <v/>
      </c>
      <c r="H40" s="82"/>
      <c r="I40" s="35"/>
      <c r="J40" s="29"/>
      <c r="K40" s="26"/>
      <c r="L40" s="25"/>
      <c r="M40" s="37" t="str">
        <f>IF(I40=0,"",VLOOKUP(I40,Municipalités!$A$2:$B$1290,2,TRUE))</f>
        <v/>
      </c>
    </row>
    <row r="41" spans="1:13" ht="30" customHeight="1" x14ac:dyDescent="0.25">
      <c r="A41" s="8"/>
      <c r="B41" s="8"/>
      <c r="C41" s="30"/>
      <c r="D41" s="8"/>
      <c r="E41" s="27"/>
      <c r="F41" s="31"/>
      <c r="G41" s="82" t="str">
        <f>IF(F41=0,"",VLOOKUP(F41,Employés!$A$2:$B$186,2,0))</f>
        <v/>
      </c>
      <c r="H41" s="82"/>
      <c r="I41" s="35"/>
      <c r="J41" s="29"/>
      <c r="K41" s="26"/>
      <c r="L41" s="25"/>
      <c r="M41" s="37" t="str">
        <f>IF(I41=0,"",VLOOKUP(I41,Municipalités!$A$2:$B$1290,2,TRUE))</f>
        <v/>
      </c>
    </row>
    <row r="42" spans="1:13" ht="30" customHeight="1" x14ac:dyDescent="0.25">
      <c r="A42" s="8"/>
      <c r="B42" s="8"/>
      <c r="C42" s="30"/>
      <c r="D42" s="8"/>
      <c r="E42" s="27"/>
      <c r="F42" s="31"/>
      <c r="G42" s="82" t="str">
        <f>IF(F42=0,"",VLOOKUP(F42,Employés!$A$2:$B$186,2,0))</f>
        <v/>
      </c>
      <c r="H42" s="82"/>
      <c r="I42" s="35"/>
      <c r="J42" s="29"/>
      <c r="K42" s="26"/>
      <c r="L42" s="25"/>
      <c r="M42" s="37" t="str">
        <f>IF(I42=0,"",VLOOKUP(I42,Municipalités!$A$2:$B$1290,2,TRUE))</f>
        <v/>
      </c>
    </row>
    <row r="43" spans="1:13" ht="30" customHeight="1" x14ac:dyDescent="0.25">
      <c r="A43" s="8"/>
      <c r="B43" s="8"/>
      <c r="C43" s="30"/>
      <c r="D43" s="8"/>
      <c r="E43" s="27" t="s">
        <v>1420</v>
      </c>
      <c r="F43" s="31"/>
      <c r="G43" s="82" t="str">
        <f>IF(F43=0,"",VLOOKUP(F43,Employés!$A$2:$B$186,2,0))</f>
        <v/>
      </c>
      <c r="H43" s="82"/>
      <c r="I43" s="35"/>
      <c r="J43" s="29"/>
      <c r="K43" s="26"/>
      <c r="L43" s="25" t="s">
        <v>1420</v>
      </c>
      <c r="M43" s="37" t="str">
        <f>IF(I43=0,"",VLOOKUP(I43,Municipalités!$A$2:$B$1290,2,TRUE))</f>
        <v/>
      </c>
    </row>
    <row r="44" spans="1:13" ht="30" customHeight="1" x14ac:dyDescent="0.25">
      <c r="A44" s="8"/>
      <c r="B44" s="8"/>
      <c r="C44" s="30"/>
      <c r="D44" s="8"/>
      <c r="E44" s="27"/>
      <c r="F44" s="31"/>
      <c r="G44" s="82" t="str">
        <f>IF(F44=0,"",VLOOKUP(F44,Employés!$A$2:$B$186,2,0))</f>
        <v/>
      </c>
      <c r="H44" s="82"/>
      <c r="I44" s="35"/>
      <c r="J44" s="29"/>
      <c r="K44" s="26"/>
      <c r="L44" s="25"/>
      <c r="M44" s="37" t="str">
        <f>IF(I44=0,"",VLOOKUP(I44,Municipalités!$A$2:$B$1290,2,TRUE))</f>
        <v/>
      </c>
    </row>
    <row r="45" spans="1:13" ht="30" customHeight="1" x14ac:dyDescent="0.25">
      <c r="A45" s="8"/>
      <c r="B45" s="8"/>
      <c r="C45" s="30"/>
      <c r="D45" s="8"/>
      <c r="E45" s="27"/>
      <c r="F45" s="31"/>
      <c r="G45" s="82" t="str">
        <f>IF(F45=0,"",VLOOKUP(F45,Employés!$A$2:$B$186,2,0))</f>
        <v/>
      </c>
      <c r="H45" s="82"/>
      <c r="I45" s="35"/>
      <c r="J45" s="29"/>
      <c r="K45" s="26"/>
      <c r="L45" s="25"/>
      <c r="M45" s="37" t="str">
        <f>IF(I45=0,"",VLOOKUP(I45,Municipalités!$A$2:$B$1290,2,TRUE))</f>
        <v/>
      </c>
    </row>
    <row r="46" spans="1:13" ht="30" customHeight="1" x14ac:dyDescent="0.25">
      <c r="A46" s="8"/>
      <c r="B46" s="8"/>
      <c r="C46" s="30"/>
      <c r="D46" s="8"/>
      <c r="E46" s="27"/>
      <c r="F46" s="31"/>
      <c r="G46" s="82" t="str">
        <f>IF(F46=0,"",VLOOKUP(F46,Employés!$A$2:$B$186,2,0))</f>
        <v/>
      </c>
      <c r="H46" s="82"/>
      <c r="I46" s="35"/>
      <c r="J46" s="29"/>
      <c r="K46" s="26"/>
      <c r="L46" s="25"/>
      <c r="M46" s="37" t="str">
        <f>IF(I46=0,"",VLOOKUP(I46,Municipalités!$A$2:$B$1290,2,TRUE))</f>
        <v/>
      </c>
    </row>
    <row r="47" spans="1:13" ht="30" customHeight="1" x14ac:dyDescent="0.25">
      <c r="A47" s="8"/>
      <c r="B47" s="8"/>
      <c r="C47" s="30"/>
      <c r="D47" s="8"/>
      <c r="E47" s="27"/>
      <c r="F47" s="31"/>
      <c r="G47" s="82" t="str">
        <f>IF(F47=0,"",VLOOKUP(F47,Employés!$A$2:$B$186,2,0))</f>
        <v/>
      </c>
      <c r="H47" s="82"/>
      <c r="I47" s="35"/>
      <c r="J47" s="29"/>
      <c r="K47" s="26"/>
      <c r="L47" s="25"/>
      <c r="M47" s="37" t="str">
        <f>IF(I47=0,"",VLOOKUP(I47,Municipalités!$A$2:$B$1290,2,TRUE))</f>
        <v/>
      </c>
    </row>
    <row r="48" spans="1:13" ht="30" customHeight="1" x14ac:dyDescent="0.25">
      <c r="A48" s="8"/>
      <c r="B48" s="8"/>
      <c r="C48" s="30"/>
      <c r="D48" s="8"/>
      <c r="E48" s="27"/>
      <c r="F48" s="31"/>
      <c r="G48" s="82" t="str">
        <f>IF(F48=0,"",VLOOKUP(F48,Employés!$A$2:$B$186,2,0))</f>
        <v/>
      </c>
      <c r="H48" s="82"/>
      <c r="I48" s="35"/>
      <c r="J48" s="29"/>
      <c r="K48" s="26"/>
      <c r="L48" s="25"/>
      <c r="M48" s="37" t="str">
        <f>IF(I48=0,"",VLOOKUP(I48,Municipalités!$A$2:$B$1290,2,TRUE))</f>
        <v/>
      </c>
    </row>
    <row r="49" spans="1:13" ht="30" customHeight="1" x14ac:dyDescent="0.25">
      <c r="A49" s="8"/>
      <c r="B49" s="8"/>
      <c r="C49" s="30"/>
      <c r="D49" s="8"/>
      <c r="E49" s="27"/>
      <c r="F49" s="31"/>
      <c r="G49" s="82" t="str">
        <f>IF(F49=0,"",VLOOKUP(F49,Employés!$A$2:$B$186,2,0))</f>
        <v/>
      </c>
      <c r="H49" s="82"/>
      <c r="I49" s="35"/>
      <c r="J49" s="29"/>
      <c r="K49" s="26"/>
      <c r="L49" s="25"/>
      <c r="M49" s="37" t="str">
        <f>IF(I49=0,"",VLOOKUP(I49,Municipalités!$A$2:$B$1290,2,TRUE))</f>
        <v/>
      </c>
    </row>
    <row r="50" spans="1:13" ht="30" customHeight="1" x14ac:dyDescent="0.25">
      <c r="A50" s="8"/>
      <c r="B50" s="8"/>
      <c r="C50" s="30"/>
      <c r="D50" s="8"/>
      <c r="E50" s="27"/>
      <c r="F50" s="31"/>
      <c r="G50" s="82" t="str">
        <f>IF(F50=0,"",VLOOKUP(F50,Employés!$A$2:$B$186,2,0))</f>
        <v/>
      </c>
      <c r="H50" s="82"/>
      <c r="I50" s="35"/>
      <c r="J50" s="29"/>
      <c r="K50" s="26"/>
      <c r="L50" s="25"/>
      <c r="M50" s="37" t="str">
        <f>IF(I50=0,"",VLOOKUP(I50,Municipalités!$A$2:$B$1290,2,TRUE))</f>
        <v/>
      </c>
    </row>
    <row r="51" spans="1:13" ht="30" customHeight="1" x14ac:dyDescent="0.25">
      <c r="A51" s="8"/>
      <c r="B51" s="8"/>
      <c r="C51" s="30"/>
      <c r="D51" s="8"/>
      <c r="E51" s="27"/>
      <c r="F51" s="31"/>
      <c r="G51" s="82" t="str">
        <f>IF(F51=0,"",VLOOKUP(F51,Employés!$A$2:$B$186,2,0))</f>
        <v/>
      </c>
      <c r="H51" s="82"/>
      <c r="I51" s="35"/>
      <c r="J51" s="29"/>
      <c r="K51" s="26"/>
      <c r="L51" s="25"/>
      <c r="M51" s="37" t="str">
        <f>IF(I51=0,"",VLOOKUP(I51,Municipalités!$A$2:$B$1290,2,TRUE))</f>
        <v/>
      </c>
    </row>
    <row r="52" spans="1:13" ht="30" customHeight="1" x14ac:dyDescent="0.25">
      <c r="A52" s="8"/>
      <c r="B52" s="8"/>
      <c r="C52" s="30"/>
      <c r="D52" s="8"/>
      <c r="E52" s="27"/>
      <c r="F52" s="31"/>
      <c r="G52" s="82" t="str">
        <f>IF(F52=0,"",VLOOKUP(F52,Employés!$A$2:$B$186,2,0))</f>
        <v/>
      </c>
      <c r="H52" s="82"/>
      <c r="I52" s="35"/>
      <c r="J52" s="29"/>
      <c r="K52" s="26"/>
      <c r="L52" s="25"/>
      <c r="M52" s="37" t="str">
        <f>IF(I52=0,"",VLOOKUP(I52,Municipalités!$A$2:$B$1290,2,TRUE))</f>
        <v/>
      </c>
    </row>
    <row r="53" spans="1:13" ht="30" customHeight="1" x14ac:dyDescent="0.25">
      <c r="A53" s="8"/>
      <c r="B53" s="8"/>
      <c r="C53" s="30"/>
      <c r="D53" s="8"/>
      <c r="E53" s="27"/>
      <c r="F53" s="31"/>
      <c r="G53" s="82" t="str">
        <f>IF(F53=0,"",VLOOKUP(F53,Employés!$A$2:$B$186,2,0))</f>
        <v/>
      </c>
      <c r="H53" s="82"/>
      <c r="I53" s="35"/>
      <c r="J53" s="29"/>
      <c r="K53" s="26"/>
      <c r="L53" s="25"/>
      <c r="M53" s="37" t="str">
        <f>IF(I53=0,"",VLOOKUP(I53,Municipalités!$A$2:$B$1290,2,TRUE))</f>
        <v/>
      </c>
    </row>
    <row r="54" spans="1:13" ht="30" customHeight="1" x14ac:dyDescent="0.25">
      <c r="A54" s="8"/>
      <c r="B54" s="8"/>
      <c r="C54" s="30"/>
      <c r="D54" s="8"/>
      <c r="E54" s="27"/>
      <c r="F54" s="31"/>
      <c r="G54" s="82" t="str">
        <f>IF(F54=0,"",VLOOKUP(F54,Employés!$A$2:$B$186,2,0))</f>
        <v/>
      </c>
      <c r="H54" s="82"/>
      <c r="I54" s="35"/>
      <c r="J54" s="29"/>
      <c r="K54" s="26"/>
      <c r="L54" s="25"/>
      <c r="M54" s="37" t="str">
        <f>IF(I54=0,"",VLOOKUP(I54,Municipalités!$A$2:$B$1290,2,TRUE))</f>
        <v/>
      </c>
    </row>
    <row r="55" spans="1:13" ht="30" customHeight="1" x14ac:dyDescent="0.25">
      <c r="A55" s="8"/>
      <c r="B55" s="8"/>
      <c r="C55" s="30"/>
      <c r="D55" s="8"/>
      <c r="E55" s="27"/>
      <c r="F55" s="31"/>
      <c r="G55" s="82" t="str">
        <f>IF(F55=0,"",VLOOKUP(F55,Employés!$A$2:$B$186,2,0))</f>
        <v/>
      </c>
      <c r="H55" s="82"/>
      <c r="I55" s="35"/>
      <c r="J55" s="29"/>
      <c r="K55" s="26"/>
      <c r="L55" s="25"/>
      <c r="M55" s="37" t="str">
        <f>IF(I55=0,"",VLOOKUP(I55,Municipalités!$A$2:$B$1290,2,TRUE))</f>
        <v/>
      </c>
    </row>
    <row r="56" spans="1:13" ht="30" customHeight="1" x14ac:dyDescent="0.25">
      <c r="A56" s="8"/>
      <c r="B56" s="8"/>
      <c r="C56" s="30"/>
      <c r="D56" s="8"/>
      <c r="E56" s="27"/>
      <c r="F56" s="31"/>
      <c r="G56" s="82" t="str">
        <f>IF(F56=0,"",VLOOKUP(F56,Employés!$A$2:$B$186,2,0))</f>
        <v/>
      </c>
      <c r="H56" s="82"/>
      <c r="I56" s="35"/>
      <c r="J56" s="29"/>
      <c r="K56" s="26"/>
      <c r="L56" s="25"/>
      <c r="M56" s="37" t="str">
        <f>IF(I56=0,"",VLOOKUP(I56,Municipalités!$A$2:$B$1290,2,TRUE))</f>
        <v/>
      </c>
    </row>
    <row r="57" spans="1:13" ht="30" customHeight="1" x14ac:dyDescent="0.25">
      <c r="A57" s="8"/>
      <c r="B57" s="8"/>
      <c r="C57" s="30"/>
      <c r="D57" s="8"/>
      <c r="E57" s="27"/>
      <c r="F57" s="31"/>
      <c r="G57" s="82" t="str">
        <f>IF(F57=0,"",VLOOKUP(F57,Employés!$A$2:$B$186,2,0))</f>
        <v/>
      </c>
      <c r="H57" s="82"/>
      <c r="I57" s="35"/>
      <c r="J57" s="29"/>
      <c r="K57" s="26"/>
      <c r="L57" s="25"/>
      <c r="M57" s="37" t="str">
        <f>IF(I57=0,"",VLOOKUP(I57,Municipalités!$A$2:$B$1290,2,TRUE))</f>
        <v/>
      </c>
    </row>
    <row r="58" spans="1:13" ht="30" customHeight="1" x14ac:dyDescent="0.25">
      <c r="A58" s="8"/>
      <c r="B58" s="8"/>
      <c r="C58" s="30"/>
      <c r="D58" s="8"/>
      <c r="E58" s="27"/>
      <c r="F58" s="31"/>
      <c r="G58" s="82" t="str">
        <f>IF(F58=0,"",VLOOKUP(F58,Employés!$A$2:$B$186,2,0))</f>
        <v/>
      </c>
      <c r="H58" s="82"/>
      <c r="I58" s="35"/>
      <c r="J58" s="29"/>
      <c r="K58" s="26"/>
      <c r="L58" s="25"/>
      <c r="M58" s="37" t="str">
        <f>IF(I58=0,"",VLOOKUP(I58,Municipalités!$A$2:$B$1290,2,TRUE))</f>
        <v/>
      </c>
    </row>
    <row r="59" spans="1:13" ht="30" customHeight="1" x14ac:dyDescent="0.25">
      <c r="A59" s="8"/>
      <c r="B59" s="8"/>
      <c r="C59" s="30"/>
      <c r="D59" s="8"/>
      <c r="E59" s="27"/>
      <c r="F59" s="31"/>
      <c r="G59" s="82" t="str">
        <f>IF(F59=0,"",VLOOKUP(F59,Employés!$A$2:$B$186,2,0))</f>
        <v/>
      </c>
      <c r="H59" s="82"/>
      <c r="I59" s="35"/>
      <c r="J59" s="29"/>
      <c r="K59" s="26"/>
      <c r="L59" s="25"/>
      <c r="M59" s="37" t="str">
        <f>IF(I59=0,"",VLOOKUP(I59,Municipalités!$A$2:$B$1290,2,TRUE))</f>
        <v/>
      </c>
    </row>
    <row r="60" spans="1:13" ht="30" customHeight="1" x14ac:dyDescent="0.25">
      <c r="A60" s="8"/>
      <c r="B60" s="8"/>
      <c r="C60" s="30"/>
      <c r="D60" s="8"/>
      <c r="E60" s="27"/>
      <c r="F60" s="31"/>
      <c r="G60" s="82" t="str">
        <f>IF(F60=0,"",VLOOKUP(F60,Employés!$A$2:$B$186,2,0))</f>
        <v/>
      </c>
      <c r="H60" s="82"/>
      <c r="I60" s="35"/>
      <c r="J60" s="29"/>
      <c r="K60" s="26"/>
      <c r="L60" s="25"/>
      <c r="M60" s="37" t="str">
        <f>IF(I60=0,"",VLOOKUP(I60,Municipalités!$A$2:$B$1290,2,TRUE))</f>
        <v/>
      </c>
    </row>
    <row r="61" spans="1:13" ht="30" customHeight="1" x14ac:dyDescent="0.25">
      <c r="A61" s="8"/>
      <c r="B61" s="8"/>
      <c r="C61" s="30"/>
      <c r="D61" s="8"/>
      <c r="E61" s="27"/>
      <c r="F61" s="31"/>
      <c r="G61" s="82" t="str">
        <f>IF(F61=0,"",VLOOKUP(F61,Employés!$A$2:$B$186,2,0))</f>
        <v/>
      </c>
      <c r="H61" s="82"/>
      <c r="I61" s="35"/>
      <c r="J61" s="29"/>
      <c r="K61" s="26"/>
      <c r="L61" s="25"/>
      <c r="M61" s="37" t="str">
        <f>IF(I61=0,"",VLOOKUP(I61,Municipalités!$A$2:$B$1290,2,TRUE))</f>
        <v/>
      </c>
    </row>
    <row r="62" spans="1:13" x14ac:dyDescent="0.25">
      <c r="C62" s="14"/>
    </row>
    <row r="63" spans="1:13" x14ac:dyDescent="0.25">
      <c r="C63" s="14"/>
    </row>
    <row r="64" spans="1:13" x14ac:dyDescent="0.25">
      <c r="C64" s="14"/>
    </row>
    <row r="65" spans="3:5" x14ac:dyDescent="0.25">
      <c r="C65" s="14"/>
    </row>
    <row r="66" spans="3:5" x14ac:dyDescent="0.25">
      <c r="C66" s="14"/>
    </row>
    <row r="67" spans="3:5" x14ac:dyDescent="0.25">
      <c r="C67" s="14"/>
    </row>
    <row r="68" spans="3:5" x14ac:dyDescent="0.25">
      <c r="C68" s="14"/>
    </row>
    <row r="69" spans="3:5" x14ac:dyDescent="0.25">
      <c r="C69" s="14"/>
    </row>
    <row r="70" spans="3:5" x14ac:dyDescent="0.25">
      <c r="C70" s="14"/>
    </row>
    <row r="71" spans="3:5" x14ac:dyDescent="0.25">
      <c r="C71" s="14"/>
    </row>
    <row r="72" spans="3:5" x14ac:dyDescent="0.25">
      <c r="C72" s="14"/>
    </row>
    <row r="73" spans="3:5" x14ac:dyDescent="0.25">
      <c r="C73" s="14"/>
    </row>
    <row r="74" spans="3:5" x14ac:dyDescent="0.25">
      <c r="C74" s="14"/>
    </row>
    <row r="75" spans="3:5" x14ac:dyDescent="0.25">
      <c r="C75" s="14"/>
    </row>
    <row r="76" spans="3:5" x14ac:dyDescent="0.25">
      <c r="C76" s="14"/>
    </row>
    <row r="77" spans="3:5" x14ac:dyDescent="0.25">
      <c r="C77" s="14"/>
    </row>
    <row r="78" spans="3:5" x14ac:dyDescent="0.25">
      <c r="C78" s="14"/>
      <c r="E78" s="21" t="s">
        <v>1420</v>
      </c>
    </row>
    <row r="79" spans="3:5" x14ac:dyDescent="0.25">
      <c r="C79" s="14"/>
    </row>
    <row r="80" spans="3:5" x14ac:dyDescent="0.25">
      <c r="C80" s="14"/>
    </row>
    <row r="81" spans="3:3" x14ac:dyDescent="0.25">
      <c r="C81" s="14"/>
    </row>
    <row r="82" spans="3:3" x14ac:dyDescent="0.25">
      <c r="C82" s="14"/>
    </row>
    <row r="83" spans="3:3" x14ac:dyDescent="0.25">
      <c r="C83" s="14"/>
    </row>
    <row r="84" spans="3:3" x14ac:dyDescent="0.25">
      <c r="C84" s="14"/>
    </row>
    <row r="85" spans="3:3" x14ac:dyDescent="0.25">
      <c r="C85" s="14"/>
    </row>
    <row r="86" spans="3:3" x14ac:dyDescent="0.25">
      <c r="C86" s="14"/>
    </row>
    <row r="87" spans="3:3" x14ac:dyDescent="0.25">
      <c r="C87" s="14"/>
    </row>
    <row r="88" spans="3:3" x14ac:dyDescent="0.25">
      <c r="C88" s="14"/>
    </row>
    <row r="89" spans="3:3" x14ac:dyDescent="0.25">
      <c r="C89" s="14"/>
    </row>
    <row r="90" spans="3:3" x14ac:dyDescent="0.25">
      <c r="C90" s="14"/>
    </row>
    <row r="91" spans="3:3" x14ac:dyDescent="0.25">
      <c r="C91" s="14"/>
    </row>
    <row r="92" spans="3:3" x14ac:dyDescent="0.25">
      <c r="C92" s="14"/>
    </row>
    <row r="93" spans="3:3" x14ac:dyDescent="0.25">
      <c r="C93" s="14"/>
    </row>
    <row r="94" spans="3:3" x14ac:dyDescent="0.25">
      <c r="C94" s="14"/>
    </row>
    <row r="95" spans="3:3" x14ac:dyDescent="0.25">
      <c r="C95" s="14"/>
    </row>
    <row r="96" spans="3:3" x14ac:dyDescent="0.25">
      <c r="C96" s="14"/>
    </row>
    <row r="97" spans="3:3" x14ac:dyDescent="0.25">
      <c r="C97" s="14"/>
    </row>
    <row r="98" spans="3:3" x14ac:dyDescent="0.25">
      <c r="C98" s="14"/>
    </row>
  </sheetData>
  <mergeCells count="67">
    <mergeCell ref="G59:H59"/>
    <mergeCell ref="G60:H60"/>
    <mergeCell ref="G61:H61"/>
    <mergeCell ref="G53:H53"/>
    <mergeCell ref="G54:H54"/>
    <mergeCell ref="G55:H55"/>
    <mergeCell ref="G56:H56"/>
    <mergeCell ref="G57:H57"/>
    <mergeCell ref="G58:H58"/>
    <mergeCell ref="G52:H52"/>
    <mergeCell ref="G41:H41"/>
    <mergeCell ref="G42:H42"/>
    <mergeCell ref="G43:H43"/>
    <mergeCell ref="G44:H44"/>
    <mergeCell ref="G45:H45"/>
    <mergeCell ref="G46:H46"/>
    <mergeCell ref="G47:H47"/>
    <mergeCell ref="G48:H48"/>
    <mergeCell ref="G49:H49"/>
    <mergeCell ref="G50:H50"/>
    <mergeCell ref="G51:H51"/>
    <mergeCell ref="G40:H40"/>
    <mergeCell ref="G29:H29"/>
    <mergeCell ref="G30:H30"/>
    <mergeCell ref="G31:H31"/>
    <mergeCell ref="G32:H32"/>
    <mergeCell ref="G33:H33"/>
    <mergeCell ref="G34:H34"/>
    <mergeCell ref="G35:H35"/>
    <mergeCell ref="G36:H36"/>
    <mergeCell ref="G37:H37"/>
    <mergeCell ref="G38:H38"/>
    <mergeCell ref="G39:H39"/>
    <mergeCell ref="G28:H28"/>
    <mergeCell ref="G17:H17"/>
    <mergeCell ref="G18:H18"/>
    <mergeCell ref="G19:H19"/>
    <mergeCell ref="G20:H20"/>
    <mergeCell ref="G21:H21"/>
    <mergeCell ref="G22:H22"/>
    <mergeCell ref="G23:H23"/>
    <mergeCell ref="G24:H24"/>
    <mergeCell ref="G25:H25"/>
    <mergeCell ref="G26:H26"/>
    <mergeCell ref="G27:H27"/>
    <mergeCell ref="M2:M4"/>
    <mergeCell ref="G16:H16"/>
    <mergeCell ref="I6:I7"/>
    <mergeCell ref="J6:J7"/>
    <mergeCell ref="K6:M6"/>
    <mergeCell ref="G8:H8"/>
    <mergeCell ref="G9:H9"/>
    <mergeCell ref="G10:H10"/>
    <mergeCell ref="G11:H11"/>
    <mergeCell ref="G12:H12"/>
    <mergeCell ref="G13:H13"/>
    <mergeCell ref="G14:H14"/>
    <mergeCell ref="G15:H15"/>
    <mergeCell ref="E1:F4"/>
    <mergeCell ref="L1:L2"/>
    <mergeCell ref="A6:A7"/>
    <mergeCell ref="B6:B7"/>
    <mergeCell ref="C6:C7"/>
    <mergeCell ref="D6:D7"/>
    <mergeCell ref="E6:E7"/>
    <mergeCell ref="F6:F7"/>
    <mergeCell ref="G6:H7"/>
  </mergeCells>
  <conditionalFormatting sqref="C16:C21 C23:C45">
    <cfRule type="expression" dxfId="167" priority="7" stopIfTrue="1">
      <formula>#REF!=1</formula>
    </cfRule>
    <cfRule type="expression" priority="8" stopIfTrue="1">
      <formula>#REF!=2</formula>
    </cfRule>
    <cfRule type="expression" dxfId="166" priority="9" stopIfTrue="1">
      <formula>#REF!=3</formula>
    </cfRule>
  </conditionalFormatting>
  <conditionalFormatting sqref="C22">
    <cfRule type="expression" dxfId="165" priority="4" stopIfTrue="1">
      <formula>#REF!=1</formula>
    </cfRule>
    <cfRule type="expression" priority="5" stopIfTrue="1">
      <formula>#REF!=2</formula>
    </cfRule>
    <cfRule type="expression" dxfId="164" priority="6" stopIfTrue="1">
      <formula>#REF!=3</formula>
    </cfRule>
  </conditionalFormatting>
  <conditionalFormatting sqref="C46:C61">
    <cfRule type="expression" dxfId="163" priority="1" stopIfTrue="1">
      <formula>#REF!=1</formula>
    </cfRule>
    <cfRule type="expression" priority="2" stopIfTrue="1">
      <formula>#REF!=2</formula>
    </cfRule>
    <cfRule type="expression" dxfId="162" priority="3" stopIfTrue="1">
      <formula>#REF!=3</formula>
    </cfRule>
  </conditionalFormatting>
  <dataValidations count="2">
    <dataValidation type="textLength" operator="greaterThanOrEqual" allowBlank="1" showInputMessage="1" showErrorMessage="1" errorTitle="Saisie incorrecte" error="Re-saisir le numéro d'entrée en utilisant 3 chiffres_x000a_Ex.: 001" promptTitle="Saisie du numéro d'entrée" prompt="Minimum 3 chiffres_x000a_Ex.: 001" sqref="C8:C39" xr:uid="{00000000-0002-0000-0300-000000000000}">
      <formula1>3</formula1>
    </dataValidation>
    <dataValidation operator="greaterThan" allowBlank="1" showDropDown="1" showInputMessage="1" showErrorMessage="1" errorTitle="Saisie incorrecte" error="Re-Saisir le numéro de dossier sous le format_x000a_000-000000-000" promptTitle="Saisie du numéro d'événement" prompt="000-000000-000_x000a_Ex. : 071-030901-001" sqref="J8:J39" xr:uid="{00000000-0002-0000-0300-000001000000}"/>
  </dataValidations>
  <printOptions horizontalCentered="1" verticalCentered="1"/>
  <pageMargins left="0" right="0" top="0.31496062992125984" bottom="0.39370078740157483" header="0.15748031496062992" footer="0.19685039370078741"/>
  <pageSetup paperSize="5" scale="90" orientation="landscape" r:id="rId1"/>
  <headerFooter alignWithMargins="0">
    <oddFooter>&amp;R&amp;8Page &amp;P de &amp;N</oddFooter>
  </headerFooter>
  <drawing r:id="rId2"/>
  <legacyDrawing r:id="rId3"/>
  <controls>
    <mc:AlternateContent xmlns:mc="http://schemas.openxmlformats.org/markup-compatibility/2006">
      <mc:Choice Requires="x14">
        <control shapeId="145411" r:id="rId4" name="ComboBox2">
          <controlPr defaultSize="0" autoLine="0" r:id="rId5">
            <anchor moveWithCells="1">
              <from>
                <xdr:col>4</xdr:col>
                <xdr:colOff>0</xdr:colOff>
                <xdr:row>10</xdr:row>
                <xdr:rowOff>0</xdr:rowOff>
              </from>
              <to>
                <xdr:col>4</xdr:col>
                <xdr:colOff>2965450</xdr:colOff>
                <xdr:row>11</xdr:row>
                <xdr:rowOff>38100</xdr:rowOff>
              </to>
            </anchor>
          </controlPr>
        </control>
      </mc:Choice>
      <mc:Fallback>
        <control shapeId="145411" r:id="rId4" name="ComboBox2"/>
      </mc:Fallback>
    </mc:AlternateContent>
    <mc:AlternateContent xmlns:mc="http://schemas.openxmlformats.org/markup-compatibility/2006">
      <mc:Choice Requires="x14">
        <control shapeId="145410" r:id="rId6" name="ComboBox1">
          <controlPr defaultSize="0" autoLine="0" r:id="rId7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11</xdr:col>
                <xdr:colOff>1803400</xdr:colOff>
                <xdr:row>9</xdr:row>
                <xdr:rowOff>38100</xdr:rowOff>
              </to>
            </anchor>
          </controlPr>
        </control>
      </mc:Choice>
      <mc:Fallback>
        <control shapeId="145410" r:id="rId6" name="ComboBox1"/>
      </mc:Fallback>
    </mc:AlternateContent>
    <mc:AlternateContent xmlns:mc="http://schemas.openxmlformats.org/markup-compatibility/2006">
      <mc:Choice Requires="x14">
        <control shapeId="145409" r:id="rId8" name="Button 1">
          <controlPr defaultSize="0" print="0" autoFill="0" autoPict="0" macro="[0]!test2">
            <anchor moveWithCells="1">
              <from>
                <xdr:col>5</xdr:col>
                <xdr:colOff>222250</xdr:colOff>
                <xdr:row>1</xdr:row>
                <xdr:rowOff>139700</xdr:rowOff>
              </from>
              <to>
                <xdr:col>9</xdr:col>
                <xdr:colOff>1143000</xdr:colOff>
                <xdr:row>4</xdr:row>
                <xdr:rowOff>107950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2"/>
  <dimension ref="A1:M98"/>
  <sheetViews>
    <sheetView showGridLines="0" zoomScaleNormal="100" workbookViewId="0">
      <pane xSplit="3" ySplit="7" topLeftCell="D8" activePane="bottomRight" state="frozen"/>
      <selection activeCell="C8" sqref="C8"/>
      <selection pane="topRight" activeCell="C8" sqref="C8"/>
      <selection pane="bottomLeft" activeCell="C8" sqref="C8"/>
      <selection pane="bottomRight" activeCell="M2" sqref="M2:M5"/>
    </sheetView>
  </sheetViews>
  <sheetFormatPr baseColWidth="10" defaultColWidth="11.453125" defaultRowHeight="13" x14ac:dyDescent="0.25"/>
  <cols>
    <col min="1" max="2" width="5.6328125" style="1" customWidth="1"/>
    <col min="3" max="3" width="6.6328125" style="1" customWidth="1"/>
    <col min="4" max="4" width="7.54296875" style="1" customWidth="1"/>
    <col min="5" max="5" width="44.453125" style="21" customWidth="1"/>
    <col min="6" max="6" width="10.54296875" style="1" customWidth="1"/>
    <col min="7" max="7" width="13.90625" style="1" customWidth="1"/>
    <col min="8" max="8" width="4.6328125" style="1" hidden="1" customWidth="1"/>
    <col min="9" max="9" width="6.08984375" style="1" customWidth="1"/>
    <col min="10" max="10" width="26.54296875" style="1" customWidth="1"/>
    <col min="11" max="11" width="7.36328125" style="1" customWidth="1"/>
    <col min="12" max="12" width="27" style="24" customWidth="1"/>
    <col min="13" max="13" width="26" style="1" customWidth="1"/>
    <col min="14" max="16384" width="11.453125" style="1"/>
  </cols>
  <sheetData>
    <row r="1" spans="1:13" ht="12.75" customHeight="1" x14ac:dyDescent="0.25">
      <c r="E1" s="71" t="s">
        <v>1023</v>
      </c>
      <c r="F1" s="72"/>
      <c r="L1" s="73" t="s">
        <v>1021</v>
      </c>
      <c r="M1" s="51" t="s">
        <v>1022</v>
      </c>
    </row>
    <row r="2" spans="1:13" ht="12.75" customHeight="1" x14ac:dyDescent="0.25">
      <c r="E2" s="72"/>
      <c r="F2" s="72"/>
      <c r="L2" s="74"/>
      <c r="M2" s="70">
        <f>'04'!M2:M5+1</f>
        <v>42709</v>
      </c>
    </row>
    <row r="3" spans="1:13" ht="12.75" customHeight="1" x14ac:dyDescent="0.25">
      <c r="E3" s="72"/>
      <c r="F3" s="72"/>
      <c r="L3" s="52"/>
      <c r="M3" s="70"/>
    </row>
    <row r="4" spans="1:13" ht="15.75" customHeight="1" x14ac:dyDescent="0.25">
      <c r="E4" s="72"/>
      <c r="F4" s="72"/>
      <c r="L4" s="49" t="s">
        <v>140</v>
      </c>
      <c r="M4" s="70"/>
    </row>
    <row r="5" spans="1:13" ht="21.9" customHeight="1" thickBot="1" x14ac:dyDescent="0.3">
      <c r="L5" s="36"/>
      <c r="M5" s="69">
        <f>M2</f>
        <v>42709</v>
      </c>
    </row>
    <row r="6" spans="1:13" ht="24.9" customHeight="1" x14ac:dyDescent="0.25">
      <c r="A6" s="75" t="s">
        <v>2351</v>
      </c>
      <c r="B6" s="75" t="s">
        <v>2350</v>
      </c>
      <c r="C6" s="76" t="s">
        <v>1362</v>
      </c>
      <c r="D6" s="75" t="s">
        <v>1153</v>
      </c>
      <c r="E6" s="75" t="s">
        <v>1016</v>
      </c>
      <c r="F6" s="76" t="s">
        <v>2352</v>
      </c>
      <c r="G6" s="76" t="s">
        <v>1017</v>
      </c>
      <c r="H6" s="79"/>
      <c r="I6" s="76" t="s">
        <v>1364</v>
      </c>
      <c r="J6" s="76" t="s">
        <v>1363</v>
      </c>
      <c r="K6" s="83" t="s">
        <v>1018</v>
      </c>
      <c r="L6" s="84"/>
      <c r="M6" s="84"/>
    </row>
    <row r="7" spans="1:13" ht="12.5" x14ac:dyDescent="0.25">
      <c r="A7" s="75"/>
      <c r="B7" s="75"/>
      <c r="C7" s="77"/>
      <c r="D7" s="75"/>
      <c r="E7" s="75"/>
      <c r="F7" s="78"/>
      <c r="G7" s="80"/>
      <c r="H7" s="81"/>
      <c r="I7" s="77"/>
      <c r="J7" s="77"/>
      <c r="K7" s="50" t="s">
        <v>1015</v>
      </c>
      <c r="L7" s="50" t="s">
        <v>1019</v>
      </c>
      <c r="M7" s="32" t="s">
        <v>1020</v>
      </c>
    </row>
    <row r="8" spans="1:13" ht="30" customHeight="1" x14ac:dyDescent="0.25">
      <c r="A8" s="45"/>
      <c r="B8" s="45"/>
      <c r="C8" s="30"/>
      <c r="D8" s="46"/>
      <c r="E8" s="27"/>
      <c r="F8" s="31"/>
      <c r="G8" s="82" t="str">
        <f>IF(F8=0,"",VLOOKUP(F8,Employés!$A$2:$B$186,2,0))</f>
        <v/>
      </c>
      <c r="H8" s="82"/>
      <c r="I8" s="34"/>
      <c r="J8" s="33"/>
      <c r="K8" s="19"/>
      <c r="L8" s="20" t="s">
        <v>1420</v>
      </c>
      <c r="M8" s="37" t="str">
        <f>IF(I8=0,"",VLOOKUP(I8,Municipalités!$A$2:$B$1290,2,TRUE))</f>
        <v/>
      </c>
    </row>
    <row r="9" spans="1:13" ht="30" customHeight="1" x14ac:dyDescent="0.25">
      <c r="A9" s="45"/>
      <c r="B9" s="45"/>
      <c r="C9" s="39"/>
      <c r="D9" s="47"/>
      <c r="E9" s="27"/>
      <c r="F9" s="31"/>
      <c r="G9" s="82" t="str">
        <f>IF(F9=0,"",VLOOKUP(F9,Employés!$A$2:$B$186,2,0))</f>
        <v/>
      </c>
      <c r="H9" s="82"/>
      <c r="I9" s="35"/>
      <c r="J9" s="33"/>
      <c r="K9" s="19"/>
      <c r="L9" s="20"/>
      <c r="M9" s="37" t="str">
        <f>IF(I9=0,"",VLOOKUP(I9,Municipalités!$A$2:$B$1290,2,TRUE))</f>
        <v/>
      </c>
    </row>
    <row r="10" spans="1:13" ht="30" customHeight="1" x14ac:dyDescent="0.25">
      <c r="A10" s="45"/>
      <c r="B10" s="45"/>
      <c r="C10" s="39"/>
      <c r="D10" s="48"/>
      <c r="E10" s="28"/>
      <c r="F10" s="31"/>
      <c r="G10" s="82" t="str">
        <f>IF(F10=0,"",VLOOKUP(F10,Employés!$A$2:$B$186,2,0))</f>
        <v/>
      </c>
      <c r="H10" s="82"/>
      <c r="I10" s="35"/>
      <c r="J10" s="29"/>
      <c r="K10" s="19"/>
      <c r="L10" s="20"/>
      <c r="M10" s="37" t="str">
        <f>IF(I10=0,"",VLOOKUP(I10,Municipalités!$A$2:$B$1290,2,TRUE))</f>
        <v/>
      </c>
    </row>
    <row r="11" spans="1:13" ht="30" customHeight="1" x14ac:dyDescent="0.25">
      <c r="A11" s="45"/>
      <c r="B11" s="45"/>
      <c r="C11" s="39"/>
      <c r="D11" s="47"/>
      <c r="E11" s="28" t="s">
        <v>1420</v>
      </c>
      <c r="F11" s="31"/>
      <c r="G11" s="82" t="str">
        <f>IF(F11=0,"",VLOOKUP(F11,Employés!$A$2:$B$186,2,0))</f>
        <v/>
      </c>
      <c r="H11" s="82"/>
      <c r="I11" s="35"/>
      <c r="J11" s="29"/>
      <c r="K11" s="19"/>
      <c r="L11" s="20"/>
      <c r="M11" s="37" t="str">
        <f>IF(I11=0,"",VLOOKUP(I11,Municipalités!$A$2:$B$1290,2,TRUE))</f>
        <v/>
      </c>
    </row>
    <row r="12" spans="1:13" ht="30" customHeight="1" x14ac:dyDescent="0.25">
      <c r="A12" s="45"/>
      <c r="B12" s="45"/>
      <c r="C12" s="39"/>
      <c r="D12" s="46"/>
      <c r="E12" s="27"/>
      <c r="F12" s="31"/>
      <c r="G12" s="82" t="str">
        <f>IF(F12=0,"",VLOOKUP(F12,Employés!$A$2:$B$186,2,0))</f>
        <v/>
      </c>
      <c r="H12" s="82"/>
      <c r="I12" s="35"/>
      <c r="J12" s="29"/>
      <c r="K12" s="19"/>
      <c r="L12" s="20"/>
      <c r="M12" s="37" t="str">
        <f>IF(I12=0,"",VLOOKUP(I12,Municipalités!$A$2:$B$1290,2,TRUE))</f>
        <v/>
      </c>
    </row>
    <row r="13" spans="1:13" ht="30" customHeight="1" x14ac:dyDescent="0.25">
      <c r="A13" s="45"/>
      <c r="B13" s="45"/>
      <c r="C13" s="39"/>
      <c r="D13" s="46"/>
      <c r="E13" s="27"/>
      <c r="F13" s="31"/>
      <c r="G13" s="82" t="str">
        <f>IF(F13=0,"",VLOOKUP(F13,Employés!$A$2:$B$186,2,0))</f>
        <v/>
      </c>
      <c r="H13" s="82"/>
      <c r="I13" s="35"/>
      <c r="J13" s="29"/>
      <c r="K13" s="19"/>
      <c r="L13" s="20"/>
      <c r="M13" s="37" t="str">
        <f>IF(I13=0,"",VLOOKUP(I13,Municipalités!$A$2:$B$1290,2,TRUE))</f>
        <v/>
      </c>
    </row>
    <row r="14" spans="1:13" ht="30" customHeight="1" x14ac:dyDescent="0.25">
      <c r="A14" s="45"/>
      <c r="B14" s="45"/>
      <c r="C14" s="39"/>
      <c r="D14" s="47"/>
      <c r="E14" s="27"/>
      <c r="F14" s="31"/>
      <c r="G14" s="82" t="str">
        <f>IF(F14=0,"",VLOOKUP(F14,Employés!$A$2:$B$186,2,0))</f>
        <v/>
      </c>
      <c r="H14" s="82"/>
      <c r="I14" s="35"/>
      <c r="J14" s="29"/>
      <c r="K14" s="19"/>
      <c r="L14" s="20"/>
      <c r="M14" s="37" t="str">
        <f>IF(I14=0,"",VLOOKUP(I14,Municipalités!$A$2:$B$1290,2,TRUE))</f>
        <v/>
      </c>
    </row>
    <row r="15" spans="1:13" ht="30" customHeight="1" x14ac:dyDescent="0.25">
      <c r="A15" s="45"/>
      <c r="B15" s="45"/>
      <c r="C15" s="39"/>
      <c r="D15" s="47"/>
      <c r="E15" s="27"/>
      <c r="F15" s="31"/>
      <c r="G15" s="82" t="str">
        <f>IF(F15=0,"",VLOOKUP(F15,Employés!$A$2:$B$186,2,0))</f>
        <v/>
      </c>
      <c r="H15" s="82"/>
      <c r="I15" s="35"/>
      <c r="J15" s="29"/>
      <c r="K15" s="19"/>
      <c r="L15" s="20"/>
      <c r="M15" s="37" t="str">
        <f>IF(I15=0,"",VLOOKUP(I15,Municipalités!$A$2:$B$1290,2,TRUE))</f>
        <v/>
      </c>
    </row>
    <row r="16" spans="1:13" ht="30" customHeight="1" x14ac:dyDescent="0.25">
      <c r="A16" s="45"/>
      <c r="B16" s="45"/>
      <c r="C16" s="39"/>
      <c r="D16" s="46"/>
      <c r="E16" s="27"/>
      <c r="F16" s="31"/>
      <c r="G16" s="82" t="str">
        <f>IF(F16=0,"",VLOOKUP(F16,Employés!$A$2:$B$186,2,0))</f>
        <v/>
      </c>
      <c r="H16" s="82"/>
      <c r="I16" s="35"/>
      <c r="J16" s="29"/>
      <c r="K16" s="19"/>
      <c r="L16" s="20"/>
      <c r="M16" s="37" t="str">
        <f>IF(I16=0,"",VLOOKUP(I16,Municipalités!$A$2:$B$1290,2,TRUE))</f>
        <v/>
      </c>
    </row>
    <row r="17" spans="1:13" ht="30" customHeight="1" x14ac:dyDescent="0.25">
      <c r="A17" s="45"/>
      <c r="B17" s="45"/>
      <c r="C17" s="39"/>
      <c r="D17" s="46"/>
      <c r="E17" s="27"/>
      <c r="F17" s="31"/>
      <c r="G17" s="82" t="str">
        <f>IF(F17=0,"",VLOOKUP(F17,Employés!$A$2:$B$186,2,0))</f>
        <v/>
      </c>
      <c r="H17" s="82"/>
      <c r="I17" s="35"/>
      <c r="J17" s="29"/>
      <c r="K17" s="19"/>
      <c r="L17" s="20"/>
      <c r="M17" s="37" t="str">
        <f>IF(I17=0,"",VLOOKUP(I17,Municipalités!$A$2:$B$1290,2,TRUE))</f>
        <v/>
      </c>
    </row>
    <row r="18" spans="1:13" ht="30" customHeight="1" x14ac:dyDescent="0.25">
      <c r="A18" s="45"/>
      <c r="B18" s="45"/>
      <c r="C18" s="39"/>
      <c r="D18" s="46"/>
      <c r="E18" s="27"/>
      <c r="F18" s="31"/>
      <c r="G18" s="82" t="str">
        <f>IF(F18=0,"",VLOOKUP(F18,Employés!$A$2:$B$186,2,0))</f>
        <v/>
      </c>
      <c r="H18" s="82"/>
      <c r="I18" s="35"/>
      <c r="J18" s="29"/>
      <c r="K18" s="19"/>
      <c r="L18" s="20"/>
      <c r="M18" s="37" t="str">
        <f>IF(I18=0,"",VLOOKUP(I18,Municipalités!$A$2:$B$1290,2,TRUE))</f>
        <v/>
      </c>
    </row>
    <row r="19" spans="1:13" ht="30" customHeight="1" x14ac:dyDescent="0.25">
      <c r="A19" s="45"/>
      <c r="B19" s="45"/>
      <c r="C19" s="39"/>
      <c r="D19" s="46"/>
      <c r="E19" s="27"/>
      <c r="F19" s="31"/>
      <c r="G19" s="82" t="str">
        <f>IF(F19=0,"",VLOOKUP(F19,Employés!$A$2:$B$186,2,0))</f>
        <v/>
      </c>
      <c r="H19" s="82"/>
      <c r="I19" s="35"/>
      <c r="J19" s="29"/>
      <c r="K19" s="19"/>
      <c r="L19" s="20"/>
      <c r="M19" s="37" t="str">
        <f>IF(I19=0,"",VLOOKUP(I19,Municipalités!$A$2:$B$1290,2,TRUE))</f>
        <v/>
      </c>
    </row>
    <row r="20" spans="1:13" ht="30" customHeight="1" x14ac:dyDescent="0.25">
      <c r="A20" s="45"/>
      <c r="B20" s="45"/>
      <c r="C20" s="39"/>
      <c r="D20" s="47"/>
      <c r="E20" s="27"/>
      <c r="F20" s="31"/>
      <c r="G20" s="82" t="str">
        <f>IF(F20=0,"",VLOOKUP(F20,Employés!$A$2:$B$186,2,0))</f>
        <v/>
      </c>
      <c r="H20" s="82"/>
      <c r="I20" s="35"/>
      <c r="J20" s="29"/>
      <c r="K20" s="19"/>
      <c r="L20" s="20"/>
      <c r="M20" s="37" t="str">
        <f>IF(I20=0,"",VLOOKUP(I20,Municipalités!$A$2:$B$1290,2,TRUE))</f>
        <v/>
      </c>
    </row>
    <row r="21" spans="1:13" ht="30" customHeight="1" x14ac:dyDescent="0.25">
      <c r="A21" s="45"/>
      <c r="B21" s="45"/>
      <c r="C21" s="39"/>
      <c r="D21" s="47"/>
      <c r="E21" s="27"/>
      <c r="F21" s="31"/>
      <c r="G21" s="82" t="str">
        <f>IF(F21=0,"",VLOOKUP(F21,Employés!$A$2:$B$186,2,0))</f>
        <v/>
      </c>
      <c r="H21" s="82"/>
      <c r="I21" s="35"/>
      <c r="J21" s="29"/>
      <c r="K21" s="19"/>
      <c r="L21" s="20"/>
      <c r="M21" s="37" t="str">
        <f>IF(I21=0,"",VLOOKUP(I21,Municipalités!$A$2:$B$1290,2,TRUE))</f>
        <v/>
      </c>
    </row>
    <row r="22" spans="1:13" ht="30" customHeight="1" x14ac:dyDescent="0.25">
      <c r="A22" s="45"/>
      <c r="B22" s="45"/>
      <c r="C22" s="39"/>
      <c r="D22" s="46"/>
      <c r="E22" s="27"/>
      <c r="F22" s="31"/>
      <c r="G22" s="82" t="str">
        <f>IF(F22=0,"",VLOOKUP(F22,Employés!$A$2:$B$186,2,0))</f>
        <v/>
      </c>
      <c r="H22" s="82"/>
      <c r="I22" s="35"/>
      <c r="J22" s="29"/>
      <c r="K22" s="19"/>
      <c r="L22" s="20"/>
      <c r="M22" s="37" t="str">
        <f>IF(I22=0,"",VLOOKUP(I22,Municipalités!$A$2:$B$1290,2,TRUE))</f>
        <v/>
      </c>
    </row>
    <row r="23" spans="1:13" ht="30" customHeight="1" x14ac:dyDescent="0.25">
      <c r="A23" s="45"/>
      <c r="B23" s="45"/>
      <c r="C23" s="39"/>
      <c r="D23" s="46"/>
      <c r="E23" s="27"/>
      <c r="F23" s="31"/>
      <c r="G23" s="82" t="str">
        <f>IF(F23=0,"",VLOOKUP(F23,Employés!$A$2:$B$186,2,0))</f>
        <v/>
      </c>
      <c r="H23" s="82"/>
      <c r="I23" s="35"/>
      <c r="J23" s="29"/>
      <c r="K23" s="19"/>
      <c r="L23" s="20"/>
      <c r="M23" s="37" t="str">
        <f>IF(I23=0,"",VLOOKUP(I23,Municipalités!$A$2:$B$1290,2,TRUE))</f>
        <v/>
      </c>
    </row>
    <row r="24" spans="1:13" ht="30" customHeight="1" x14ac:dyDescent="0.25">
      <c r="A24" s="45"/>
      <c r="B24" s="45"/>
      <c r="C24" s="39"/>
      <c r="D24" s="46"/>
      <c r="E24" s="27"/>
      <c r="F24" s="31"/>
      <c r="G24" s="82" t="str">
        <f>IF(F24=0,"",VLOOKUP(F24,Employés!$A$2:$B$186,2,0))</f>
        <v/>
      </c>
      <c r="H24" s="82"/>
      <c r="I24" s="35"/>
      <c r="J24" s="29"/>
      <c r="K24" s="19"/>
      <c r="L24" s="20"/>
      <c r="M24" s="37" t="str">
        <f>IF(I24=0,"",VLOOKUP(I24,Municipalités!$A$2:$B$1290,2,TRUE))</f>
        <v/>
      </c>
    </row>
    <row r="25" spans="1:13" ht="30" customHeight="1" x14ac:dyDescent="0.25">
      <c r="A25" s="45"/>
      <c r="B25" s="45"/>
      <c r="C25" s="39"/>
      <c r="D25" s="46"/>
      <c r="E25" s="27"/>
      <c r="F25" s="31"/>
      <c r="G25" s="82" t="str">
        <f>IF(F25=0,"",VLOOKUP(F25,Employés!$A$2:$B$186,2,0))</f>
        <v/>
      </c>
      <c r="H25" s="82"/>
      <c r="I25" s="35"/>
      <c r="J25" s="29"/>
      <c r="K25" s="19"/>
      <c r="L25" s="20"/>
      <c r="M25" s="37" t="str">
        <f>IF(I25=0,"",VLOOKUP(I25,Municipalités!$A$2:$B$1290,2,TRUE))</f>
        <v/>
      </c>
    </row>
    <row r="26" spans="1:13" ht="30" customHeight="1" x14ac:dyDescent="0.25">
      <c r="A26" s="45"/>
      <c r="B26" s="45"/>
      <c r="C26" s="39"/>
      <c r="D26" s="46"/>
      <c r="E26" s="27"/>
      <c r="F26" s="31"/>
      <c r="G26" s="82" t="str">
        <f>IF(F26=0,"",VLOOKUP(F26,Employés!$A$2:$B$186,2,0))</f>
        <v/>
      </c>
      <c r="H26" s="82"/>
      <c r="I26" s="35"/>
      <c r="J26" s="29"/>
      <c r="K26" s="19"/>
      <c r="L26" s="20"/>
      <c r="M26" s="37" t="str">
        <f>IF(I26=0,"",VLOOKUP(I26,Municipalités!$A$2:$B$1290,2,TRUE))</f>
        <v/>
      </c>
    </row>
    <row r="27" spans="1:13" ht="30" customHeight="1" x14ac:dyDescent="0.25">
      <c r="A27" s="45"/>
      <c r="B27" s="45"/>
      <c r="C27" s="39"/>
      <c r="D27" s="46"/>
      <c r="E27" s="27"/>
      <c r="F27" s="31"/>
      <c r="G27" s="82" t="str">
        <f>IF(F27=0,"",VLOOKUP(F27,Employés!$A$2:$B$186,2,0))</f>
        <v/>
      </c>
      <c r="H27" s="82"/>
      <c r="I27" s="35"/>
      <c r="J27" s="29"/>
      <c r="K27" s="19"/>
      <c r="L27" s="20"/>
      <c r="M27" s="37" t="str">
        <f>IF(I27=0,"",VLOOKUP(I27,Municipalités!$A$2:$B$1290,2,TRUE))</f>
        <v/>
      </c>
    </row>
    <row r="28" spans="1:13" ht="30" customHeight="1" x14ac:dyDescent="0.25">
      <c r="A28" s="45"/>
      <c r="B28" s="45"/>
      <c r="C28" s="39"/>
      <c r="D28" s="46"/>
      <c r="E28" s="27"/>
      <c r="F28" s="31"/>
      <c r="G28" s="82" t="str">
        <f>IF(F28=0,"",VLOOKUP(F28,Employés!$A$2:$B$186,2,0))</f>
        <v/>
      </c>
      <c r="H28" s="82"/>
      <c r="I28" s="35"/>
      <c r="J28" s="29"/>
      <c r="K28" s="19"/>
      <c r="L28" s="20"/>
      <c r="M28" s="37" t="str">
        <f>IF(I28=0,"",VLOOKUP(I28,Municipalités!$A$2:$B$1290,2,TRUE))</f>
        <v/>
      </c>
    </row>
    <row r="29" spans="1:13" ht="30" customHeight="1" x14ac:dyDescent="0.25">
      <c r="A29" s="45"/>
      <c r="B29" s="45"/>
      <c r="C29" s="39"/>
      <c r="D29" s="46"/>
      <c r="E29" s="27"/>
      <c r="F29" s="31"/>
      <c r="G29" s="82" t="str">
        <f>IF(F29=0,"",VLOOKUP(F29,Employés!$A$2:$B$186,2,0))</f>
        <v/>
      </c>
      <c r="H29" s="82"/>
      <c r="I29" s="35"/>
      <c r="J29" s="29"/>
      <c r="K29" s="19"/>
      <c r="L29" s="20"/>
      <c r="M29" s="37" t="str">
        <f>IF(I29=0,"",VLOOKUP(I29,Municipalités!$A$2:$B$1290,2,TRUE))</f>
        <v/>
      </c>
    </row>
    <row r="30" spans="1:13" ht="30" customHeight="1" x14ac:dyDescent="0.25">
      <c r="A30" s="45"/>
      <c r="B30" s="45"/>
      <c r="C30" s="39"/>
      <c r="D30" s="46"/>
      <c r="E30" s="27"/>
      <c r="F30" s="31"/>
      <c r="G30" s="82" t="str">
        <f>IF(F30=0,"",VLOOKUP(F30,Employés!$A$2:$B$186,2,0))</f>
        <v/>
      </c>
      <c r="H30" s="82"/>
      <c r="I30" s="35"/>
      <c r="J30" s="29"/>
      <c r="K30" s="19"/>
      <c r="L30" s="20"/>
      <c r="M30" s="37" t="str">
        <f>IF(I30=0,"",VLOOKUP(I30,Municipalités!$A$2:$B$1290,2,TRUE))</f>
        <v/>
      </c>
    </row>
    <row r="31" spans="1:13" ht="30" customHeight="1" x14ac:dyDescent="0.25">
      <c r="A31" s="45"/>
      <c r="B31" s="45"/>
      <c r="C31" s="39"/>
      <c r="D31" s="47"/>
      <c r="E31" s="27"/>
      <c r="F31" s="31"/>
      <c r="G31" s="82" t="str">
        <f>IF(F31=0,"",VLOOKUP(F31,Employés!$A$2:$B$186,2,0))</f>
        <v/>
      </c>
      <c r="H31" s="82"/>
      <c r="I31" s="35"/>
      <c r="J31" s="29"/>
      <c r="K31" s="19"/>
      <c r="L31" s="20"/>
      <c r="M31" s="37" t="str">
        <f>IF(I31=0,"",VLOOKUP(I31,Municipalités!$A$2:$B$1290,2,TRUE))</f>
        <v/>
      </c>
    </row>
    <row r="32" spans="1:13" ht="30" customHeight="1" x14ac:dyDescent="0.25">
      <c r="A32" s="45"/>
      <c r="B32" s="45"/>
      <c r="C32" s="39"/>
      <c r="D32" s="46"/>
      <c r="E32" s="27"/>
      <c r="F32" s="31"/>
      <c r="G32" s="82" t="str">
        <f>IF(F32=0,"",VLOOKUP(F32,Employés!$A$2:$B$186,2,0))</f>
        <v/>
      </c>
      <c r="H32" s="82"/>
      <c r="I32" s="35"/>
      <c r="J32" s="29"/>
      <c r="K32" s="19"/>
      <c r="L32" s="20"/>
      <c r="M32" s="37" t="str">
        <f>IF(I32=0,"",VLOOKUP(I32,Municipalités!$A$2:$B$1290,2,TRUE))</f>
        <v/>
      </c>
    </row>
    <row r="33" spans="1:13" ht="30" customHeight="1" x14ac:dyDescent="0.25">
      <c r="A33" s="45"/>
      <c r="B33" s="45"/>
      <c r="C33" s="39"/>
      <c r="D33" s="46"/>
      <c r="E33" s="27"/>
      <c r="F33" s="31"/>
      <c r="G33" s="82" t="str">
        <f>IF(F33=0,"",VLOOKUP(F33,Employés!$A$2:$B$186,2,0))</f>
        <v/>
      </c>
      <c r="H33" s="82"/>
      <c r="I33" s="35"/>
      <c r="J33" s="29"/>
      <c r="K33" s="19"/>
      <c r="L33" s="20"/>
      <c r="M33" s="37" t="str">
        <f>IF(I33=0,"",VLOOKUP(I33,Municipalités!$A$2:$B$1290,2,TRUE))</f>
        <v/>
      </c>
    </row>
    <row r="34" spans="1:13" ht="30" customHeight="1" x14ac:dyDescent="0.25">
      <c r="A34" s="45"/>
      <c r="B34" s="45"/>
      <c r="C34" s="39"/>
      <c r="D34" s="46"/>
      <c r="E34" s="27"/>
      <c r="F34" s="31"/>
      <c r="G34" s="82" t="str">
        <f>IF(F34=0,"",VLOOKUP(F34,Employés!$A$2:$B$186,2,0))</f>
        <v/>
      </c>
      <c r="H34" s="82"/>
      <c r="I34" s="35"/>
      <c r="J34" s="29"/>
      <c r="K34" s="19"/>
      <c r="L34" s="20"/>
      <c r="M34" s="37" t="str">
        <f>IF(I34=0,"",VLOOKUP(I34,Municipalités!$A$2:$B$1290,2,TRUE))</f>
        <v/>
      </c>
    </row>
    <row r="35" spans="1:13" ht="30" customHeight="1" x14ac:dyDescent="0.25">
      <c r="A35" s="45"/>
      <c r="B35" s="45"/>
      <c r="C35" s="30"/>
      <c r="D35" s="46"/>
      <c r="E35" s="27"/>
      <c r="F35" s="31"/>
      <c r="G35" s="82" t="str">
        <f>IF(F35=0,"",VLOOKUP(F35,Employés!$A$2:$B$186,2,0))</f>
        <v/>
      </c>
      <c r="H35" s="82"/>
      <c r="I35" s="35"/>
      <c r="J35" s="29"/>
      <c r="K35" s="19"/>
      <c r="L35" s="20"/>
      <c r="M35" s="37" t="str">
        <f>IF(I35=0,"",VLOOKUP(I35,Municipalités!$A$2:$B$1290,2,TRUE))</f>
        <v/>
      </c>
    </row>
    <row r="36" spans="1:13" ht="30" customHeight="1" x14ac:dyDescent="0.25">
      <c r="A36" s="45"/>
      <c r="B36" s="45"/>
      <c r="C36" s="30"/>
      <c r="D36" s="46"/>
      <c r="E36" s="27"/>
      <c r="F36" s="31"/>
      <c r="G36" s="82" t="str">
        <f>IF(F36=0,"",VLOOKUP(F36,Employés!$A$2:$B$186,2,0))</f>
        <v/>
      </c>
      <c r="H36" s="82"/>
      <c r="I36" s="35"/>
      <c r="J36" s="29"/>
      <c r="K36" s="19"/>
      <c r="L36" s="20"/>
      <c r="M36" s="37" t="str">
        <f>IF(I36=0,"",VLOOKUP(I36,Municipalités!$A$2:$B$1290,2,TRUE))</f>
        <v/>
      </c>
    </row>
    <row r="37" spans="1:13" ht="30" customHeight="1" x14ac:dyDescent="0.25">
      <c r="A37" s="45"/>
      <c r="B37" s="45"/>
      <c r="C37" s="39"/>
      <c r="D37" s="46"/>
      <c r="E37" s="27"/>
      <c r="F37" s="31"/>
      <c r="G37" s="82" t="str">
        <f>IF(F37=0,"",VLOOKUP(F37,Employés!$A$2:$B$186,2,0))</f>
        <v/>
      </c>
      <c r="H37" s="82"/>
      <c r="I37" s="35"/>
      <c r="J37" s="29"/>
      <c r="K37" s="19"/>
      <c r="L37" s="20"/>
      <c r="M37" s="37" t="str">
        <f>IF(I37=0,"",VLOOKUP(I37,Municipalités!$A$2:$B$1290,2,TRUE))</f>
        <v/>
      </c>
    </row>
    <row r="38" spans="1:13" ht="30" customHeight="1" x14ac:dyDescent="0.25">
      <c r="A38" s="45"/>
      <c r="B38" s="45"/>
      <c r="C38" s="39"/>
      <c r="D38" s="47"/>
      <c r="E38" s="27"/>
      <c r="F38" s="31"/>
      <c r="G38" s="82" t="str">
        <f>IF(F38=0,"",VLOOKUP(F38,Employés!$A$2:$B$186,2,0))</f>
        <v/>
      </c>
      <c r="H38" s="82"/>
      <c r="I38" s="35"/>
      <c r="J38" s="29"/>
      <c r="K38" s="19"/>
      <c r="L38" s="20"/>
      <c r="M38" s="37" t="str">
        <f>IF(I38=0,"",VLOOKUP(I38,Municipalités!$A$2:$B$1290,2,TRUE))</f>
        <v/>
      </c>
    </row>
    <row r="39" spans="1:13" ht="30" customHeight="1" x14ac:dyDescent="0.25">
      <c r="A39" s="45"/>
      <c r="B39" s="45"/>
      <c r="C39" s="39"/>
      <c r="D39" s="45"/>
      <c r="E39" s="27"/>
      <c r="F39" s="31"/>
      <c r="G39" s="82" t="str">
        <f>IF(F39=0,"",VLOOKUP(F39,Employés!$A$2:$B$186,2,0))</f>
        <v/>
      </c>
      <c r="H39" s="82"/>
      <c r="I39" s="35"/>
      <c r="J39" s="29"/>
      <c r="K39" s="26"/>
      <c r="L39" s="25"/>
      <c r="M39" s="37" t="str">
        <f>IF(I39=0,"",VLOOKUP(I39,Municipalités!$A$2:$B$1290,2,TRUE))</f>
        <v/>
      </c>
    </row>
    <row r="40" spans="1:13" ht="30" customHeight="1" x14ac:dyDescent="0.25">
      <c r="A40" s="8"/>
      <c r="B40" s="8"/>
      <c r="C40" s="30"/>
      <c r="D40" s="8"/>
      <c r="E40" s="27"/>
      <c r="F40" s="31"/>
      <c r="G40" s="82" t="str">
        <f>IF(F40=0,"",VLOOKUP(F40,Employés!$A$2:$B$186,2,0))</f>
        <v/>
      </c>
      <c r="H40" s="82"/>
      <c r="I40" s="35"/>
      <c r="J40" s="29"/>
      <c r="K40" s="26"/>
      <c r="L40" s="25"/>
      <c r="M40" s="37" t="str">
        <f>IF(I40=0,"",VLOOKUP(I40,Municipalités!$A$2:$B$1290,2,TRUE))</f>
        <v/>
      </c>
    </row>
    <row r="41" spans="1:13" ht="30" customHeight="1" x14ac:dyDescent="0.25">
      <c r="A41" s="8"/>
      <c r="B41" s="8"/>
      <c r="C41" s="30"/>
      <c r="D41" s="8"/>
      <c r="E41" s="27"/>
      <c r="F41" s="31"/>
      <c r="G41" s="82" t="str">
        <f>IF(F41=0,"",VLOOKUP(F41,Employés!$A$2:$B$186,2,0))</f>
        <v/>
      </c>
      <c r="H41" s="82"/>
      <c r="I41" s="35"/>
      <c r="J41" s="29"/>
      <c r="K41" s="26"/>
      <c r="L41" s="25"/>
      <c r="M41" s="37" t="str">
        <f>IF(I41=0,"",VLOOKUP(I41,Municipalités!$A$2:$B$1290,2,TRUE))</f>
        <v/>
      </c>
    </row>
    <row r="42" spans="1:13" ht="30" customHeight="1" x14ac:dyDescent="0.25">
      <c r="A42" s="8"/>
      <c r="B42" s="8"/>
      <c r="C42" s="30"/>
      <c r="D42" s="8"/>
      <c r="E42" s="27"/>
      <c r="F42" s="31"/>
      <c r="G42" s="82" t="str">
        <f>IF(F42=0,"",VLOOKUP(F42,Employés!$A$2:$B$186,2,0))</f>
        <v/>
      </c>
      <c r="H42" s="82"/>
      <c r="I42" s="35"/>
      <c r="J42" s="29"/>
      <c r="K42" s="26"/>
      <c r="L42" s="25"/>
      <c r="M42" s="37" t="str">
        <f>IF(I42=0,"",VLOOKUP(I42,Municipalités!$A$2:$B$1290,2,TRUE))</f>
        <v/>
      </c>
    </row>
    <row r="43" spans="1:13" ht="30" customHeight="1" x14ac:dyDescent="0.25">
      <c r="A43" s="8"/>
      <c r="B43" s="8"/>
      <c r="C43" s="30"/>
      <c r="D43" s="8"/>
      <c r="E43" s="27" t="s">
        <v>1420</v>
      </c>
      <c r="F43" s="31"/>
      <c r="G43" s="82" t="str">
        <f>IF(F43=0,"",VLOOKUP(F43,Employés!$A$2:$B$186,2,0))</f>
        <v/>
      </c>
      <c r="H43" s="82"/>
      <c r="I43" s="35"/>
      <c r="J43" s="29"/>
      <c r="K43" s="26"/>
      <c r="L43" s="25" t="s">
        <v>1420</v>
      </c>
      <c r="M43" s="37" t="str">
        <f>IF(I43=0,"",VLOOKUP(I43,Municipalités!$A$2:$B$1290,2,TRUE))</f>
        <v/>
      </c>
    </row>
    <row r="44" spans="1:13" ht="30" customHeight="1" x14ac:dyDescent="0.25">
      <c r="A44" s="8"/>
      <c r="B44" s="8"/>
      <c r="C44" s="30"/>
      <c r="D44" s="8"/>
      <c r="E44" s="27"/>
      <c r="F44" s="31"/>
      <c r="G44" s="82" t="str">
        <f>IF(F44=0,"",VLOOKUP(F44,Employés!$A$2:$B$186,2,0))</f>
        <v/>
      </c>
      <c r="H44" s="82"/>
      <c r="I44" s="35"/>
      <c r="J44" s="29"/>
      <c r="K44" s="26"/>
      <c r="L44" s="25"/>
      <c r="M44" s="37" t="str">
        <f>IF(I44=0,"",VLOOKUP(I44,Municipalités!$A$2:$B$1290,2,TRUE))</f>
        <v/>
      </c>
    </row>
    <row r="45" spans="1:13" ht="30" customHeight="1" x14ac:dyDescent="0.25">
      <c r="A45" s="8"/>
      <c r="B45" s="8"/>
      <c r="C45" s="30"/>
      <c r="D45" s="8"/>
      <c r="E45" s="27"/>
      <c r="F45" s="31"/>
      <c r="G45" s="82" t="str">
        <f>IF(F45=0,"",VLOOKUP(F45,Employés!$A$2:$B$186,2,0))</f>
        <v/>
      </c>
      <c r="H45" s="82"/>
      <c r="I45" s="35"/>
      <c r="J45" s="29"/>
      <c r="K45" s="26"/>
      <c r="L45" s="25"/>
      <c r="M45" s="37" t="str">
        <f>IF(I45=0,"",VLOOKUP(I45,Municipalités!$A$2:$B$1290,2,TRUE))</f>
        <v/>
      </c>
    </row>
    <row r="46" spans="1:13" ht="30" customHeight="1" x14ac:dyDescent="0.25">
      <c r="A46" s="8"/>
      <c r="B46" s="8"/>
      <c r="C46" s="30"/>
      <c r="D46" s="8"/>
      <c r="E46" s="27"/>
      <c r="F46" s="31"/>
      <c r="G46" s="82" t="str">
        <f>IF(F46=0,"",VLOOKUP(F46,Employés!$A$2:$B$186,2,0))</f>
        <v/>
      </c>
      <c r="H46" s="82"/>
      <c r="I46" s="35"/>
      <c r="J46" s="29"/>
      <c r="K46" s="26"/>
      <c r="L46" s="25"/>
      <c r="M46" s="37" t="str">
        <f>IF(I46=0,"",VLOOKUP(I46,Municipalités!$A$2:$B$1290,2,TRUE))</f>
        <v/>
      </c>
    </row>
    <row r="47" spans="1:13" ht="30" customHeight="1" x14ac:dyDescent="0.25">
      <c r="A47" s="8"/>
      <c r="B47" s="8"/>
      <c r="C47" s="30"/>
      <c r="D47" s="8"/>
      <c r="E47" s="27"/>
      <c r="F47" s="31"/>
      <c r="G47" s="82" t="str">
        <f>IF(F47=0,"",VLOOKUP(F47,Employés!$A$2:$B$186,2,0))</f>
        <v/>
      </c>
      <c r="H47" s="82"/>
      <c r="I47" s="35"/>
      <c r="J47" s="29"/>
      <c r="K47" s="26"/>
      <c r="L47" s="25"/>
      <c r="M47" s="37" t="str">
        <f>IF(I47=0,"",VLOOKUP(I47,Municipalités!$A$2:$B$1290,2,TRUE))</f>
        <v/>
      </c>
    </row>
    <row r="48" spans="1:13" ht="30" customHeight="1" x14ac:dyDescent="0.25">
      <c r="A48" s="8"/>
      <c r="B48" s="8"/>
      <c r="C48" s="30"/>
      <c r="D48" s="8"/>
      <c r="E48" s="27"/>
      <c r="F48" s="31"/>
      <c r="G48" s="82" t="str">
        <f>IF(F48=0,"",VLOOKUP(F48,Employés!$A$2:$B$186,2,0))</f>
        <v/>
      </c>
      <c r="H48" s="82"/>
      <c r="I48" s="35"/>
      <c r="J48" s="29"/>
      <c r="K48" s="26"/>
      <c r="L48" s="25"/>
      <c r="M48" s="37" t="str">
        <f>IF(I48=0,"",VLOOKUP(I48,Municipalités!$A$2:$B$1290,2,TRUE))</f>
        <v/>
      </c>
    </row>
    <row r="49" spans="1:13" ht="30" customHeight="1" x14ac:dyDescent="0.25">
      <c r="A49" s="8"/>
      <c r="B49" s="8"/>
      <c r="C49" s="30"/>
      <c r="D49" s="8"/>
      <c r="E49" s="27"/>
      <c r="F49" s="31"/>
      <c r="G49" s="82" t="str">
        <f>IF(F49=0,"",VLOOKUP(F49,Employés!$A$2:$B$186,2,0))</f>
        <v/>
      </c>
      <c r="H49" s="82"/>
      <c r="I49" s="35"/>
      <c r="J49" s="29"/>
      <c r="K49" s="26"/>
      <c r="L49" s="25"/>
      <c r="M49" s="37" t="str">
        <f>IF(I49=0,"",VLOOKUP(I49,Municipalités!$A$2:$B$1290,2,TRUE))</f>
        <v/>
      </c>
    </row>
    <row r="50" spans="1:13" ht="30" customHeight="1" x14ac:dyDescent="0.25">
      <c r="A50" s="8"/>
      <c r="B50" s="8"/>
      <c r="C50" s="30"/>
      <c r="D50" s="8"/>
      <c r="E50" s="27"/>
      <c r="F50" s="31"/>
      <c r="G50" s="82" t="str">
        <f>IF(F50=0,"",VLOOKUP(F50,Employés!$A$2:$B$186,2,0))</f>
        <v/>
      </c>
      <c r="H50" s="82"/>
      <c r="I50" s="35"/>
      <c r="J50" s="29"/>
      <c r="K50" s="26"/>
      <c r="L50" s="25"/>
      <c r="M50" s="37" t="str">
        <f>IF(I50=0,"",VLOOKUP(I50,Municipalités!$A$2:$B$1290,2,TRUE))</f>
        <v/>
      </c>
    </row>
    <row r="51" spans="1:13" ht="30" customHeight="1" x14ac:dyDescent="0.25">
      <c r="A51" s="8"/>
      <c r="B51" s="8"/>
      <c r="C51" s="30"/>
      <c r="D51" s="8"/>
      <c r="E51" s="27"/>
      <c r="F51" s="31"/>
      <c r="G51" s="82" t="str">
        <f>IF(F51=0,"",VLOOKUP(F51,Employés!$A$2:$B$186,2,0))</f>
        <v/>
      </c>
      <c r="H51" s="82"/>
      <c r="I51" s="35"/>
      <c r="J51" s="29"/>
      <c r="K51" s="26"/>
      <c r="L51" s="25"/>
      <c r="M51" s="37" t="str">
        <f>IF(I51=0,"",VLOOKUP(I51,Municipalités!$A$2:$B$1290,2,TRUE))</f>
        <v/>
      </c>
    </row>
    <row r="52" spans="1:13" ht="30" customHeight="1" x14ac:dyDescent="0.25">
      <c r="A52" s="8"/>
      <c r="B52" s="8"/>
      <c r="C52" s="30"/>
      <c r="D52" s="8"/>
      <c r="E52" s="27"/>
      <c r="F52" s="31"/>
      <c r="G52" s="82" t="str">
        <f>IF(F52=0,"",VLOOKUP(F52,Employés!$A$2:$B$186,2,0))</f>
        <v/>
      </c>
      <c r="H52" s="82"/>
      <c r="I52" s="35"/>
      <c r="J52" s="29"/>
      <c r="K52" s="26"/>
      <c r="L52" s="25"/>
      <c r="M52" s="37" t="str">
        <f>IF(I52=0,"",VLOOKUP(I52,Municipalités!$A$2:$B$1290,2,TRUE))</f>
        <v/>
      </c>
    </row>
    <row r="53" spans="1:13" ht="30" customHeight="1" x14ac:dyDescent="0.25">
      <c r="A53" s="8"/>
      <c r="B53" s="8"/>
      <c r="C53" s="30"/>
      <c r="D53" s="8"/>
      <c r="E53" s="27"/>
      <c r="F53" s="31"/>
      <c r="G53" s="82" t="str">
        <f>IF(F53=0,"",VLOOKUP(F53,Employés!$A$2:$B$186,2,0))</f>
        <v/>
      </c>
      <c r="H53" s="82"/>
      <c r="I53" s="35"/>
      <c r="J53" s="29"/>
      <c r="K53" s="26"/>
      <c r="L53" s="25"/>
      <c r="M53" s="37" t="str">
        <f>IF(I53=0,"",VLOOKUP(I53,Municipalités!$A$2:$B$1290,2,TRUE))</f>
        <v/>
      </c>
    </row>
    <row r="54" spans="1:13" ht="30" customHeight="1" x14ac:dyDescent="0.25">
      <c r="A54" s="8"/>
      <c r="B54" s="8"/>
      <c r="C54" s="30"/>
      <c r="D54" s="8"/>
      <c r="E54" s="27"/>
      <c r="F54" s="31"/>
      <c r="G54" s="82" t="str">
        <f>IF(F54=0,"",VLOOKUP(F54,Employés!$A$2:$B$186,2,0))</f>
        <v/>
      </c>
      <c r="H54" s="82"/>
      <c r="I54" s="35"/>
      <c r="J54" s="29"/>
      <c r="K54" s="26"/>
      <c r="L54" s="25"/>
      <c r="M54" s="37" t="str">
        <f>IF(I54=0,"",VLOOKUP(I54,Municipalités!$A$2:$B$1290,2,TRUE))</f>
        <v/>
      </c>
    </row>
    <row r="55" spans="1:13" ht="30" customHeight="1" x14ac:dyDescent="0.25">
      <c r="A55" s="8"/>
      <c r="B55" s="8"/>
      <c r="C55" s="30"/>
      <c r="D55" s="8"/>
      <c r="E55" s="27"/>
      <c r="F55" s="31"/>
      <c r="G55" s="82" t="str">
        <f>IF(F55=0,"",VLOOKUP(F55,Employés!$A$2:$B$186,2,0))</f>
        <v/>
      </c>
      <c r="H55" s="82"/>
      <c r="I55" s="35"/>
      <c r="J55" s="29"/>
      <c r="K55" s="26"/>
      <c r="L55" s="25"/>
      <c r="M55" s="37" t="str">
        <f>IF(I55=0,"",VLOOKUP(I55,Municipalités!$A$2:$B$1290,2,TRUE))</f>
        <v/>
      </c>
    </row>
    <row r="56" spans="1:13" ht="30" customHeight="1" x14ac:dyDescent="0.25">
      <c r="A56" s="8"/>
      <c r="B56" s="8"/>
      <c r="C56" s="30"/>
      <c r="D56" s="8"/>
      <c r="E56" s="27"/>
      <c r="F56" s="31"/>
      <c r="G56" s="82" t="str">
        <f>IF(F56=0,"",VLOOKUP(F56,Employés!$A$2:$B$186,2,0))</f>
        <v/>
      </c>
      <c r="H56" s="82"/>
      <c r="I56" s="35"/>
      <c r="J56" s="29"/>
      <c r="K56" s="26"/>
      <c r="L56" s="25"/>
      <c r="M56" s="37" t="str">
        <f>IF(I56=0,"",VLOOKUP(I56,Municipalités!$A$2:$B$1290,2,TRUE))</f>
        <v/>
      </c>
    </row>
    <row r="57" spans="1:13" ht="30" customHeight="1" x14ac:dyDescent="0.25">
      <c r="A57" s="8"/>
      <c r="B57" s="8"/>
      <c r="C57" s="30"/>
      <c r="D57" s="8"/>
      <c r="E57" s="27"/>
      <c r="F57" s="31"/>
      <c r="G57" s="82" t="str">
        <f>IF(F57=0,"",VLOOKUP(F57,Employés!$A$2:$B$186,2,0))</f>
        <v/>
      </c>
      <c r="H57" s="82"/>
      <c r="I57" s="35"/>
      <c r="J57" s="29"/>
      <c r="K57" s="26"/>
      <c r="L57" s="25"/>
      <c r="M57" s="37" t="str">
        <f>IF(I57=0,"",VLOOKUP(I57,Municipalités!$A$2:$B$1290,2,TRUE))</f>
        <v/>
      </c>
    </row>
    <row r="58" spans="1:13" ht="30" customHeight="1" x14ac:dyDescent="0.25">
      <c r="A58" s="8"/>
      <c r="B58" s="8"/>
      <c r="C58" s="30"/>
      <c r="D58" s="8"/>
      <c r="E58" s="27"/>
      <c r="F58" s="31"/>
      <c r="G58" s="82" t="str">
        <f>IF(F58=0,"",VLOOKUP(F58,Employés!$A$2:$B$186,2,0))</f>
        <v/>
      </c>
      <c r="H58" s="82"/>
      <c r="I58" s="35"/>
      <c r="J58" s="29"/>
      <c r="K58" s="26"/>
      <c r="L58" s="25"/>
      <c r="M58" s="37" t="str">
        <f>IF(I58=0,"",VLOOKUP(I58,Municipalités!$A$2:$B$1290,2,TRUE))</f>
        <v/>
      </c>
    </row>
    <row r="59" spans="1:13" ht="30" customHeight="1" x14ac:dyDescent="0.25">
      <c r="A59" s="8"/>
      <c r="B59" s="8"/>
      <c r="C59" s="30"/>
      <c r="D59" s="8"/>
      <c r="E59" s="27"/>
      <c r="F59" s="31"/>
      <c r="G59" s="82" t="str">
        <f>IF(F59=0,"",VLOOKUP(F59,Employés!$A$2:$B$186,2,0))</f>
        <v/>
      </c>
      <c r="H59" s="82"/>
      <c r="I59" s="35"/>
      <c r="J59" s="29"/>
      <c r="K59" s="26"/>
      <c r="L59" s="25"/>
      <c r="M59" s="37" t="str">
        <f>IF(I59=0,"",VLOOKUP(I59,Municipalités!$A$2:$B$1290,2,TRUE))</f>
        <v/>
      </c>
    </row>
    <row r="60" spans="1:13" ht="30" customHeight="1" x14ac:dyDescent="0.25">
      <c r="A60" s="8"/>
      <c r="B60" s="8"/>
      <c r="C60" s="30"/>
      <c r="D60" s="8"/>
      <c r="E60" s="27"/>
      <c r="F60" s="31"/>
      <c r="G60" s="82" t="str">
        <f>IF(F60=0,"",VLOOKUP(F60,Employés!$A$2:$B$186,2,0))</f>
        <v/>
      </c>
      <c r="H60" s="82"/>
      <c r="I60" s="35"/>
      <c r="J60" s="29"/>
      <c r="K60" s="26"/>
      <c r="L60" s="25"/>
      <c r="M60" s="37" t="str">
        <f>IF(I60=0,"",VLOOKUP(I60,Municipalités!$A$2:$B$1290,2,TRUE))</f>
        <v/>
      </c>
    </row>
    <row r="61" spans="1:13" ht="30" customHeight="1" x14ac:dyDescent="0.25">
      <c r="A61" s="8"/>
      <c r="B61" s="8"/>
      <c r="C61" s="30"/>
      <c r="D61" s="8"/>
      <c r="E61" s="27"/>
      <c r="F61" s="31"/>
      <c r="G61" s="82" t="str">
        <f>IF(F61=0,"",VLOOKUP(F61,Employés!$A$2:$B$186,2,0))</f>
        <v/>
      </c>
      <c r="H61" s="82"/>
      <c r="I61" s="35"/>
      <c r="J61" s="29"/>
      <c r="K61" s="26"/>
      <c r="L61" s="25"/>
      <c r="M61" s="37" t="str">
        <f>IF(I61=0,"",VLOOKUP(I61,Municipalités!$A$2:$B$1290,2,TRUE))</f>
        <v/>
      </c>
    </row>
    <row r="62" spans="1:13" x14ac:dyDescent="0.25">
      <c r="C62" s="14"/>
    </row>
    <row r="63" spans="1:13" x14ac:dyDescent="0.25">
      <c r="C63" s="14"/>
    </row>
    <row r="64" spans="1:13" x14ac:dyDescent="0.25">
      <c r="C64" s="14"/>
    </row>
    <row r="65" spans="3:5" x14ac:dyDescent="0.25">
      <c r="C65" s="14"/>
    </row>
    <row r="66" spans="3:5" x14ac:dyDescent="0.25">
      <c r="C66" s="14"/>
    </row>
    <row r="67" spans="3:5" x14ac:dyDescent="0.25">
      <c r="C67" s="14"/>
    </row>
    <row r="68" spans="3:5" x14ac:dyDescent="0.25">
      <c r="C68" s="14"/>
    </row>
    <row r="69" spans="3:5" x14ac:dyDescent="0.25">
      <c r="C69" s="14"/>
    </row>
    <row r="70" spans="3:5" x14ac:dyDescent="0.25">
      <c r="C70" s="14"/>
    </row>
    <row r="71" spans="3:5" x14ac:dyDescent="0.25">
      <c r="C71" s="14"/>
    </row>
    <row r="72" spans="3:5" x14ac:dyDescent="0.25">
      <c r="C72" s="14"/>
    </row>
    <row r="73" spans="3:5" x14ac:dyDescent="0.25">
      <c r="C73" s="14"/>
    </row>
    <row r="74" spans="3:5" x14ac:dyDescent="0.25">
      <c r="C74" s="14"/>
    </row>
    <row r="75" spans="3:5" x14ac:dyDescent="0.25">
      <c r="C75" s="14"/>
    </row>
    <row r="76" spans="3:5" x14ac:dyDescent="0.25">
      <c r="C76" s="14"/>
    </row>
    <row r="77" spans="3:5" x14ac:dyDescent="0.25">
      <c r="C77" s="14"/>
    </row>
    <row r="78" spans="3:5" x14ac:dyDescent="0.25">
      <c r="C78" s="14"/>
      <c r="E78" s="21" t="s">
        <v>1420</v>
      </c>
    </row>
    <row r="79" spans="3:5" x14ac:dyDescent="0.25">
      <c r="C79" s="14"/>
    </row>
    <row r="80" spans="3:5" x14ac:dyDescent="0.25">
      <c r="C80" s="14"/>
    </row>
    <row r="81" spans="3:3" x14ac:dyDescent="0.25">
      <c r="C81" s="14"/>
    </row>
    <row r="82" spans="3:3" x14ac:dyDescent="0.25">
      <c r="C82" s="14"/>
    </row>
    <row r="83" spans="3:3" x14ac:dyDescent="0.25">
      <c r="C83" s="14"/>
    </row>
    <row r="84" spans="3:3" x14ac:dyDescent="0.25">
      <c r="C84" s="14"/>
    </row>
    <row r="85" spans="3:3" x14ac:dyDescent="0.25">
      <c r="C85" s="14"/>
    </row>
    <row r="86" spans="3:3" x14ac:dyDescent="0.25">
      <c r="C86" s="14"/>
    </row>
    <row r="87" spans="3:3" x14ac:dyDescent="0.25">
      <c r="C87" s="14"/>
    </row>
    <row r="88" spans="3:3" x14ac:dyDescent="0.25">
      <c r="C88" s="14"/>
    </row>
    <row r="89" spans="3:3" x14ac:dyDescent="0.25">
      <c r="C89" s="14"/>
    </row>
    <row r="90" spans="3:3" x14ac:dyDescent="0.25">
      <c r="C90" s="14"/>
    </row>
    <row r="91" spans="3:3" x14ac:dyDescent="0.25">
      <c r="C91" s="14"/>
    </row>
    <row r="92" spans="3:3" x14ac:dyDescent="0.25">
      <c r="C92" s="14"/>
    </row>
    <row r="93" spans="3:3" x14ac:dyDescent="0.25">
      <c r="C93" s="14"/>
    </row>
    <row r="94" spans="3:3" x14ac:dyDescent="0.25">
      <c r="C94" s="14"/>
    </row>
    <row r="95" spans="3:3" x14ac:dyDescent="0.25">
      <c r="C95" s="14"/>
    </row>
    <row r="96" spans="3:3" x14ac:dyDescent="0.25">
      <c r="C96" s="14"/>
    </row>
    <row r="97" spans="3:3" x14ac:dyDescent="0.25">
      <c r="C97" s="14"/>
    </row>
    <row r="98" spans="3:3" x14ac:dyDescent="0.25">
      <c r="C98" s="14"/>
    </row>
  </sheetData>
  <mergeCells count="67">
    <mergeCell ref="G59:H59"/>
    <mergeCell ref="G60:H60"/>
    <mergeCell ref="G61:H61"/>
    <mergeCell ref="G53:H53"/>
    <mergeCell ref="G54:H54"/>
    <mergeCell ref="G55:H55"/>
    <mergeCell ref="G56:H56"/>
    <mergeCell ref="G57:H57"/>
    <mergeCell ref="G58:H58"/>
    <mergeCell ref="G52:H52"/>
    <mergeCell ref="G41:H41"/>
    <mergeCell ref="G42:H42"/>
    <mergeCell ref="G43:H43"/>
    <mergeCell ref="G44:H44"/>
    <mergeCell ref="G45:H45"/>
    <mergeCell ref="G46:H46"/>
    <mergeCell ref="G47:H47"/>
    <mergeCell ref="G48:H48"/>
    <mergeCell ref="G49:H49"/>
    <mergeCell ref="G50:H50"/>
    <mergeCell ref="G51:H51"/>
    <mergeCell ref="G40:H40"/>
    <mergeCell ref="G29:H29"/>
    <mergeCell ref="G30:H30"/>
    <mergeCell ref="G31:H31"/>
    <mergeCell ref="G32:H32"/>
    <mergeCell ref="G33:H33"/>
    <mergeCell ref="G34:H34"/>
    <mergeCell ref="G35:H35"/>
    <mergeCell ref="G36:H36"/>
    <mergeCell ref="G37:H37"/>
    <mergeCell ref="G38:H38"/>
    <mergeCell ref="G39:H39"/>
    <mergeCell ref="G28:H28"/>
    <mergeCell ref="G17:H17"/>
    <mergeCell ref="G18:H18"/>
    <mergeCell ref="G19:H19"/>
    <mergeCell ref="G20:H20"/>
    <mergeCell ref="G21:H21"/>
    <mergeCell ref="G22:H22"/>
    <mergeCell ref="G23:H23"/>
    <mergeCell ref="G24:H24"/>
    <mergeCell ref="G25:H25"/>
    <mergeCell ref="G26:H26"/>
    <mergeCell ref="G27:H27"/>
    <mergeCell ref="M2:M4"/>
    <mergeCell ref="G16:H16"/>
    <mergeCell ref="I6:I7"/>
    <mergeCell ref="J6:J7"/>
    <mergeCell ref="K6:M6"/>
    <mergeCell ref="G8:H8"/>
    <mergeCell ref="G9:H9"/>
    <mergeCell ref="G10:H10"/>
    <mergeCell ref="G11:H11"/>
    <mergeCell ref="G12:H12"/>
    <mergeCell ref="G13:H13"/>
    <mergeCell ref="G14:H14"/>
    <mergeCell ref="G15:H15"/>
    <mergeCell ref="E1:F4"/>
    <mergeCell ref="L1:L2"/>
    <mergeCell ref="A6:A7"/>
    <mergeCell ref="B6:B7"/>
    <mergeCell ref="C6:C7"/>
    <mergeCell ref="D6:D7"/>
    <mergeCell ref="E6:E7"/>
    <mergeCell ref="F6:F7"/>
    <mergeCell ref="G6:H7"/>
  </mergeCells>
  <conditionalFormatting sqref="C16:C21 C23:C45">
    <cfRule type="expression" dxfId="161" priority="7" stopIfTrue="1">
      <formula>#REF!=1</formula>
    </cfRule>
    <cfRule type="expression" priority="8" stopIfTrue="1">
      <formula>#REF!=2</formula>
    </cfRule>
    <cfRule type="expression" dxfId="160" priority="9" stopIfTrue="1">
      <formula>#REF!=3</formula>
    </cfRule>
  </conditionalFormatting>
  <conditionalFormatting sqref="C22">
    <cfRule type="expression" dxfId="159" priority="4" stopIfTrue="1">
      <formula>#REF!=1</formula>
    </cfRule>
    <cfRule type="expression" priority="5" stopIfTrue="1">
      <formula>#REF!=2</formula>
    </cfRule>
    <cfRule type="expression" dxfId="158" priority="6" stopIfTrue="1">
      <formula>#REF!=3</formula>
    </cfRule>
  </conditionalFormatting>
  <conditionalFormatting sqref="C46:C61">
    <cfRule type="expression" dxfId="157" priority="1" stopIfTrue="1">
      <formula>#REF!=1</formula>
    </cfRule>
    <cfRule type="expression" priority="2" stopIfTrue="1">
      <formula>#REF!=2</formula>
    </cfRule>
    <cfRule type="expression" dxfId="156" priority="3" stopIfTrue="1">
      <formula>#REF!=3</formula>
    </cfRule>
  </conditionalFormatting>
  <dataValidations count="2">
    <dataValidation operator="greaterThan" allowBlank="1" showDropDown="1" showInputMessage="1" showErrorMessage="1" errorTitle="Saisie incorrecte" error="Re-Saisir le numéro de dossier sous le format_x000a_000-000000-000" promptTitle="Saisie du numéro d'événement" prompt="000-000000-000_x000a_Ex. : 071-030901-001" sqref="J8:J39" xr:uid="{00000000-0002-0000-0400-000000000000}"/>
    <dataValidation type="textLength" operator="greaterThanOrEqual" allowBlank="1" showInputMessage="1" showErrorMessage="1" errorTitle="Saisie incorrecte" error="Re-saisir le numéro d'entrée en utilisant 3 chiffres_x000a_Ex.: 001" promptTitle="Saisie du numéro d'entrée" prompt="Minimum 3 chiffres_x000a_Ex.: 001" sqref="C8:C39" xr:uid="{00000000-0002-0000-0400-000001000000}">
      <formula1>3</formula1>
    </dataValidation>
  </dataValidations>
  <printOptions horizontalCentered="1" verticalCentered="1"/>
  <pageMargins left="0" right="0" top="0.31496062992125984" bottom="0.39370078740157483" header="0.15748031496062992" footer="0.19685039370078741"/>
  <pageSetup paperSize="5" scale="90" orientation="landscape" r:id="rId1"/>
  <headerFooter alignWithMargins="0">
    <oddFooter>&amp;R&amp;8Page &amp;P de &amp;N</oddFooter>
  </headerFooter>
  <drawing r:id="rId2"/>
  <legacyDrawing r:id="rId3"/>
  <controls>
    <mc:AlternateContent xmlns:mc="http://schemas.openxmlformats.org/markup-compatibility/2006">
      <mc:Choice Requires="x14">
        <control shapeId="146435" r:id="rId4" name="ComboBox2">
          <controlPr defaultSize="0" autoLine="0" r:id="rId5">
            <anchor moveWithCells="1">
              <from>
                <xdr:col>4</xdr:col>
                <xdr:colOff>0</xdr:colOff>
                <xdr:row>10</xdr:row>
                <xdr:rowOff>0</xdr:rowOff>
              </from>
              <to>
                <xdr:col>4</xdr:col>
                <xdr:colOff>2965450</xdr:colOff>
                <xdr:row>11</xdr:row>
                <xdr:rowOff>38100</xdr:rowOff>
              </to>
            </anchor>
          </controlPr>
        </control>
      </mc:Choice>
      <mc:Fallback>
        <control shapeId="146435" r:id="rId4" name="ComboBox2"/>
      </mc:Fallback>
    </mc:AlternateContent>
    <mc:AlternateContent xmlns:mc="http://schemas.openxmlformats.org/markup-compatibility/2006">
      <mc:Choice Requires="x14">
        <control shapeId="146434" r:id="rId6" name="ComboBox1">
          <controlPr defaultSize="0" autoLine="0" r:id="rId7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11</xdr:col>
                <xdr:colOff>1803400</xdr:colOff>
                <xdr:row>9</xdr:row>
                <xdr:rowOff>38100</xdr:rowOff>
              </to>
            </anchor>
          </controlPr>
        </control>
      </mc:Choice>
      <mc:Fallback>
        <control shapeId="146434" r:id="rId6" name="ComboBox1"/>
      </mc:Fallback>
    </mc:AlternateContent>
    <mc:AlternateContent xmlns:mc="http://schemas.openxmlformats.org/markup-compatibility/2006">
      <mc:Choice Requires="x14">
        <control shapeId="146433" r:id="rId8" name="Button 1">
          <controlPr defaultSize="0" print="0" autoFill="0" autoPict="0" macro="[0]!test2">
            <anchor moveWithCells="1">
              <from>
                <xdr:col>5</xdr:col>
                <xdr:colOff>222250</xdr:colOff>
                <xdr:row>1</xdr:row>
                <xdr:rowOff>139700</xdr:rowOff>
              </from>
              <to>
                <xdr:col>9</xdr:col>
                <xdr:colOff>1143000</xdr:colOff>
                <xdr:row>4</xdr:row>
                <xdr:rowOff>107950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3"/>
  <dimension ref="A1:M98"/>
  <sheetViews>
    <sheetView showGridLines="0" zoomScaleNormal="100" workbookViewId="0">
      <pane xSplit="3" ySplit="7" topLeftCell="D8" activePane="bottomRight" state="frozen"/>
      <selection activeCell="C8" sqref="C8"/>
      <selection pane="topRight" activeCell="C8" sqref="C8"/>
      <selection pane="bottomLeft" activeCell="C8" sqref="C8"/>
      <selection pane="bottomRight" activeCell="D8" sqref="D8"/>
    </sheetView>
  </sheetViews>
  <sheetFormatPr baseColWidth="10" defaultColWidth="11.453125" defaultRowHeight="13" x14ac:dyDescent="0.25"/>
  <cols>
    <col min="1" max="2" width="5.6328125" style="1" customWidth="1"/>
    <col min="3" max="3" width="6.6328125" style="1" customWidth="1"/>
    <col min="4" max="4" width="7.54296875" style="1" customWidth="1"/>
    <col min="5" max="5" width="44.453125" style="21" customWidth="1"/>
    <col min="6" max="6" width="10.54296875" style="1" customWidth="1"/>
    <col min="7" max="7" width="13.90625" style="1" customWidth="1"/>
    <col min="8" max="8" width="4.6328125" style="1" hidden="1" customWidth="1"/>
    <col min="9" max="9" width="6.08984375" style="1" customWidth="1"/>
    <col min="10" max="10" width="26.54296875" style="1" customWidth="1"/>
    <col min="11" max="11" width="7.36328125" style="1" customWidth="1"/>
    <col min="12" max="12" width="27" style="24" customWidth="1"/>
    <col min="13" max="13" width="26" style="1" customWidth="1"/>
    <col min="14" max="16384" width="11.453125" style="1"/>
  </cols>
  <sheetData>
    <row r="1" spans="1:13" ht="12.75" customHeight="1" x14ac:dyDescent="0.25">
      <c r="E1" s="71" t="s">
        <v>1023</v>
      </c>
      <c r="F1" s="72"/>
      <c r="L1" s="73" t="s">
        <v>1021</v>
      </c>
      <c r="M1" s="51" t="s">
        <v>1022</v>
      </c>
    </row>
    <row r="2" spans="1:13" ht="12.75" customHeight="1" x14ac:dyDescent="0.25">
      <c r="E2" s="72"/>
      <c r="F2" s="72"/>
      <c r="L2" s="74"/>
      <c r="M2" s="70">
        <f>'05'!M2:M5+1</f>
        <v>42710</v>
      </c>
    </row>
    <row r="3" spans="1:13" ht="12.75" customHeight="1" x14ac:dyDescent="0.25">
      <c r="E3" s="72"/>
      <c r="F3" s="72"/>
      <c r="L3" s="52"/>
      <c r="M3" s="70"/>
    </row>
    <row r="4" spans="1:13" ht="15.75" customHeight="1" x14ac:dyDescent="0.25">
      <c r="E4" s="72"/>
      <c r="F4" s="72"/>
      <c r="L4" s="49" t="s">
        <v>140</v>
      </c>
      <c r="M4" s="70"/>
    </row>
    <row r="5" spans="1:13" ht="21.9" customHeight="1" thickBot="1" x14ac:dyDescent="0.3">
      <c r="L5" s="36"/>
      <c r="M5" s="69">
        <f>M2</f>
        <v>42710</v>
      </c>
    </row>
    <row r="6" spans="1:13" ht="24.9" customHeight="1" x14ac:dyDescent="0.25">
      <c r="A6" s="75" t="s">
        <v>2351</v>
      </c>
      <c r="B6" s="75" t="s">
        <v>2350</v>
      </c>
      <c r="C6" s="76" t="s">
        <v>1362</v>
      </c>
      <c r="D6" s="75" t="s">
        <v>1153</v>
      </c>
      <c r="E6" s="75" t="s">
        <v>1016</v>
      </c>
      <c r="F6" s="76" t="s">
        <v>2352</v>
      </c>
      <c r="G6" s="76" t="s">
        <v>1017</v>
      </c>
      <c r="H6" s="79"/>
      <c r="I6" s="76" t="s">
        <v>1364</v>
      </c>
      <c r="J6" s="76" t="s">
        <v>1363</v>
      </c>
      <c r="K6" s="83" t="s">
        <v>1018</v>
      </c>
      <c r="L6" s="84"/>
      <c r="M6" s="84"/>
    </row>
    <row r="7" spans="1:13" ht="12.5" x14ac:dyDescent="0.25">
      <c r="A7" s="75"/>
      <c r="B7" s="75"/>
      <c r="C7" s="77"/>
      <c r="D7" s="75"/>
      <c r="E7" s="75"/>
      <c r="F7" s="78"/>
      <c r="G7" s="80"/>
      <c r="H7" s="81"/>
      <c r="I7" s="77"/>
      <c r="J7" s="77"/>
      <c r="K7" s="50" t="s">
        <v>1015</v>
      </c>
      <c r="L7" s="50" t="s">
        <v>1019</v>
      </c>
      <c r="M7" s="32" t="s">
        <v>1020</v>
      </c>
    </row>
    <row r="8" spans="1:13" ht="30" customHeight="1" x14ac:dyDescent="0.25">
      <c r="A8" s="45"/>
      <c r="B8" s="45"/>
      <c r="C8" s="30"/>
      <c r="D8" s="46"/>
      <c r="E8" s="27"/>
      <c r="F8" s="31"/>
      <c r="G8" s="82" t="str">
        <f>IF(F8=0,"",VLOOKUP(F8,Employés!$A$2:$B$186,2,0))</f>
        <v/>
      </c>
      <c r="H8" s="82"/>
      <c r="I8" s="34"/>
      <c r="J8" s="33"/>
      <c r="K8" s="19"/>
      <c r="L8" s="20" t="s">
        <v>1420</v>
      </c>
      <c r="M8" s="37" t="str">
        <f>IF(I8=0,"",VLOOKUP(I8,Municipalités!$A$2:$B$1290,2,TRUE))</f>
        <v/>
      </c>
    </row>
    <row r="9" spans="1:13" ht="30" customHeight="1" x14ac:dyDescent="0.25">
      <c r="A9" s="45"/>
      <c r="B9" s="45"/>
      <c r="C9" s="39"/>
      <c r="D9" s="47"/>
      <c r="E9" s="27"/>
      <c r="F9" s="31"/>
      <c r="G9" s="82" t="str">
        <f>IF(F9=0,"",VLOOKUP(F9,Employés!$A$2:$B$186,2,0))</f>
        <v/>
      </c>
      <c r="H9" s="82"/>
      <c r="I9" s="35"/>
      <c r="J9" s="33"/>
      <c r="K9" s="19"/>
      <c r="L9" s="20"/>
      <c r="M9" s="37" t="str">
        <f>IF(I9=0,"",VLOOKUP(I9,Municipalités!$A$2:$B$1290,2,TRUE))</f>
        <v/>
      </c>
    </row>
    <row r="10" spans="1:13" ht="30" customHeight="1" x14ac:dyDescent="0.25">
      <c r="A10" s="45"/>
      <c r="B10" s="45"/>
      <c r="C10" s="39"/>
      <c r="D10" s="48"/>
      <c r="E10" s="28"/>
      <c r="F10" s="31"/>
      <c r="G10" s="82" t="str">
        <f>IF(F10=0,"",VLOOKUP(F10,Employés!$A$2:$B$186,2,0))</f>
        <v/>
      </c>
      <c r="H10" s="82"/>
      <c r="I10" s="35"/>
      <c r="J10" s="29"/>
      <c r="K10" s="19"/>
      <c r="L10" s="20"/>
      <c r="M10" s="37" t="str">
        <f>IF(I10=0,"",VLOOKUP(I10,Municipalités!$A$2:$B$1290,2,TRUE))</f>
        <v/>
      </c>
    </row>
    <row r="11" spans="1:13" ht="30" customHeight="1" x14ac:dyDescent="0.25">
      <c r="A11" s="45"/>
      <c r="B11" s="45"/>
      <c r="C11" s="39"/>
      <c r="D11" s="47"/>
      <c r="E11" s="28" t="s">
        <v>1420</v>
      </c>
      <c r="F11" s="31"/>
      <c r="G11" s="82" t="str">
        <f>IF(F11=0,"",VLOOKUP(F11,Employés!$A$2:$B$186,2,0))</f>
        <v/>
      </c>
      <c r="H11" s="82"/>
      <c r="I11" s="35"/>
      <c r="J11" s="29"/>
      <c r="K11" s="19"/>
      <c r="L11" s="20"/>
      <c r="M11" s="37" t="str">
        <f>IF(I11=0,"",VLOOKUP(I11,Municipalités!$A$2:$B$1290,2,TRUE))</f>
        <v/>
      </c>
    </row>
    <row r="12" spans="1:13" ht="30" customHeight="1" x14ac:dyDescent="0.25">
      <c r="A12" s="45"/>
      <c r="B12" s="45"/>
      <c r="C12" s="39"/>
      <c r="D12" s="46"/>
      <c r="E12" s="27"/>
      <c r="F12" s="31"/>
      <c r="G12" s="82" t="str">
        <f>IF(F12=0,"",VLOOKUP(F12,Employés!$A$2:$B$186,2,0))</f>
        <v/>
      </c>
      <c r="H12" s="82"/>
      <c r="I12" s="35"/>
      <c r="J12" s="29"/>
      <c r="K12" s="19"/>
      <c r="L12" s="20"/>
      <c r="M12" s="37" t="str">
        <f>IF(I12=0,"",VLOOKUP(I12,Municipalités!$A$2:$B$1290,2,TRUE))</f>
        <v/>
      </c>
    </row>
    <row r="13" spans="1:13" ht="30" customHeight="1" x14ac:dyDescent="0.25">
      <c r="A13" s="45"/>
      <c r="B13" s="45"/>
      <c r="C13" s="39"/>
      <c r="D13" s="46"/>
      <c r="E13" s="27"/>
      <c r="F13" s="31"/>
      <c r="G13" s="82" t="str">
        <f>IF(F13=0,"",VLOOKUP(F13,Employés!$A$2:$B$186,2,0))</f>
        <v/>
      </c>
      <c r="H13" s="82"/>
      <c r="I13" s="35"/>
      <c r="J13" s="29"/>
      <c r="K13" s="19"/>
      <c r="L13" s="20"/>
      <c r="M13" s="37" t="str">
        <f>IF(I13=0,"",VLOOKUP(I13,Municipalités!$A$2:$B$1290,2,TRUE))</f>
        <v/>
      </c>
    </row>
    <row r="14" spans="1:13" ht="30" customHeight="1" x14ac:dyDescent="0.25">
      <c r="A14" s="45"/>
      <c r="B14" s="45"/>
      <c r="C14" s="39"/>
      <c r="D14" s="47"/>
      <c r="E14" s="27"/>
      <c r="F14" s="31"/>
      <c r="G14" s="82" t="str">
        <f>IF(F14=0,"",VLOOKUP(F14,Employés!$A$2:$B$186,2,0))</f>
        <v/>
      </c>
      <c r="H14" s="82"/>
      <c r="I14" s="35"/>
      <c r="J14" s="29"/>
      <c r="K14" s="19"/>
      <c r="L14" s="20"/>
      <c r="M14" s="37" t="str">
        <f>IF(I14=0,"",VLOOKUP(I14,Municipalités!$A$2:$B$1290,2,TRUE))</f>
        <v/>
      </c>
    </row>
    <row r="15" spans="1:13" ht="30" customHeight="1" x14ac:dyDescent="0.25">
      <c r="A15" s="45"/>
      <c r="B15" s="45"/>
      <c r="C15" s="39"/>
      <c r="D15" s="47"/>
      <c r="E15" s="27"/>
      <c r="F15" s="31"/>
      <c r="G15" s="82" t="str">
        <f>IF(F15=0,"",VLOOKUP(F15,Employés!$A$2:$B$186,2,0))</f>
        <v/>
      </c>
      <c r="H15" s="82"/>
      <c r="I15" s="35"/>
      <c r="J15" s="29"/>
      <c r="K15" s="19"/>
      <c r="L15" s="20"/>
      <c r="M15" s="37" t="str">
        <f>IF(I15=0,"",VLOOKUP(I15,Municipalités!$A$2:$B$1290,2,TRUE))</f>
        <v/>
      </c>
    </row>
    <row r="16" spans="1:13" ht="30" customHeight="1" x14ac:dyDescent="0.25">
      <c r="A16" s="45"/>
      <c r="B16" s="45"/>
      <c r="C16" s="39"/>
      <c r="D16" s="46"/>
      <c r="E16" s="27"/>
      <c r="F16" s="31"/>
      <c r="G16" s="82" t="str">
        <f>IF(F16=0,"",VLOOKUP(F16,Employés!$A$2:$B$186,2,0))</f>
        <v/>
      </c>
      <c r="H16" s="82"/>
      <c r="I16" s="35"/>
      <c r="J16" s="29"/>
      <c r="K16" s="19"/>
      <c r="L16" s="20"/>
      <c r="M16" s="37" t="str">
        <f>IF(I16=0,"",VLOOKUP(I16,Municipalités!$A$2:$B$1290,2,TRUE))</f>
        <v/>
      </c>
    </row>
    <row r="17" spans="1:13" ht="30" customHeight="1" x14ac:dyDescent="0.25">
      <c r="A17" s="45"/>
      <c r="B17" s="45"/>
      <c r="C17" s="39"/>
      <c r="D17" s="46"/>
      <c r="E17" s="27"/>
      <c r="F17" s="31"/>
      <c r="G17" s="82" t="str">
        <f>IF(F17=0,"",VLOOKUP(F17,Employés!$A$2:$B$186,2,0))</f>
        <v/>
      </c>
      <c r="H17" s="82"/>
      <c r="I17" s="35"/>
      <c r="J17" s="29"/>
      <c r="K17" s="19"/>
      <c r="L17" s="20"/>
      <c r="M17" s="37" t="str">
        <f>IF(I17=0,"",VLOOKUP(I17,Municipalités!$A$2:$B$1290,2,TRUE))</f>
        <v/>
      </c>
    </row>
    <row r="18" spans="1:13" ht="30" customHeight="1" x14ac:dyDescent="0.25">
      <c r="A18" s="45"/>
      <c r="B18" s="45"/>
      <c r="C18" s="39"/>
      <c r="D18" s="46"/>
      <c r="E18" s="27"/>
      <c r="F18" s="31"/>
      <c r="G18" s="82" t="str">
        <f>IF(F18=0,"",VLOOKUP(F18,Employés!$A$2:$B$186,2,0))</f>
        <v/>
      </c>
      <c r="H18" s="82"/>
      <c r="I18" s="35"/>
      <c r="J18" s="29"/>
      <c r="K18" s="19"/>
      <c r="L18" s="20"/>
      <c r="M18" s="37" t="str">
        <f>IF(I18=0,"",VLOOKUP(I18,Municipalités!$A$2:$B$1290,2,TRUE))</f>
        <v/>
      </c>
    </row>
    <row r="19" spans="1:13" ht="30" customHeight="1" x14ac:dyDescent="0.25">
      <c r="A19" s="45"/>
      <c r="B19" s="45"/>
      <c r="C19" s="39"/>
      <c r="D19" s="46"/>
      <c r="E19" s="27"/>
      <c r="F19" s="31"/>
      <c r="G19" s="82" t="str">
        <f>IF(F19=0,"",VLOOKUP(F19,Employés!$A$2:$B$186,2,0))</f>
        <v/>
      </c>
      <c r="H19" s="82"/>
      <c r="I19" s="35"/>
      <c r="J19" s="29"/>
      <c r="K19" s="19"/>
      <c r="L19" s="20"/>
      <c r="M19" s="37" t="str">
        <f>IF(I19=0,"",VLOOKUP(I19,Municipalités!$A$2:$B$1290,2,TRUE))</f>
        <v/>
      </c>
    </row>
    <row r="20" spans="1:13" ht="30" customHeight="1" x14ac:dyDescent="0.25">
      <c r="A20" s="45"/>
      <c r="B20" s="45"/>
      <c r="C20" s="39"/>
      <c r="D20" s="47"/>
      <c r="E20" s="27"/>
      <c r="F20" s="31"/>
      <c r="G20" s="82" t="str">
        <f>IF(F20=0,"",VLOOKUP(F20,Employés!$A$2:$B$186,2,0))</f>
        <v/>
      </c>
      <c r="H20" s="82"/>
      <c r="I20" s="35"/>
      <c r="J20" s="29"/>
      <c r="K20" s="19"/>
      <c r="L20" s="20"/>
      <c r="M20" s="37" t="str">
        <f>IF(I20=0,"",VLOOKUP(I20,Municipalités!$A$2:$B$1290,2,TRUE))</f>
        <v/>
      </c>
    </row>
    <row r="21" spans="1:13" ht="30" customHeight="1" x14ac:dyDescent="0.25">
      <c r="A21" s="45"/>
      <c r="B21" s="45"/>
      <c r="C21" s="39"/>
      <c r="D21" s="47"/>
      <c r="E21" s="27"/>
      <c r="F21" s="31"/>
      <c r="G21" s="82" t="str">
        <f>IF(F21=0,"",VLOOKUP(F21,Employés!$A$2:$B$186,2,0))</f>
        <v/>
      </c>
      <c r="H21" s="82"/>
      <c r="I21" s="35"/>
      <c r="J21" s="29"/>
      <c r="K21" s="19"/>
      <c r="L21" s="20"/>
      <c r="M21" s="37" t="str">
        <f>IF(I21=0,"",VLOOKUP(I21,Municipalités!$A$2:$B$1290,2,TRUE))</f>
        <v/>
      </c>
    </row>
    <row r="22" spans="1:13" ht="30" customHeight="1" x14ac:dyDescent="0.25">
      <c r="A22" s="45"/>
      <c r="B22" s="45"/>
      <c r="C22" s="39"/>
      <c r="D22" s="46"/>
      <c r="E22" s="27"/>
      <c r="F22" s="31"/>
      <c r="G22" s="82" t="str">
        <f>IF(F22=0,"",VLOOKUP(F22,Employés!$A$2:$B$186,2,0))</f>
        <v/>
      </c>
      <c r="H22" s="82"/>
      <c r="I22" s="35"/>
      <c r="J22" s="29"/>
      <c r="K22" s="19"/>
      <c r="L22" s="20"/>
      <c r="M22" s="37" t="str">
        <f>IF(I22=0,"",VLOOKUP(I22,Municipalités!$A$2:$B$1290,2,TRUE))</f>
        <v/>
      </c>
    </row>
    <row r="23" spans="1:13" ht="30" customHeight="1" x14ac:dyDescent="0.25">
      <c r="A23" s="45"/>
      <c r="B23" s="45"/>
      <c r="C23" s="39"/>
      <c r="D23" s="46"/>
      <c r="E23" s="27"/>
      <c r="F23" s="31"/>
      <c r="G23" s="82" t="str">
        <f>IF(F23=0,"",VLOOKUP(F23,Employés!$A$2:$B$186,2,0))</f>
        <v/>
      </c>
      <c r="H23" s="82"/>
      <c r="I23" s="35"/>
      <c r="J23" s="29"/>
      <c r="K23" s="19"/>
      <c r="L23" s="20"/>
      <c r="M23" s="37" t="str">
        <f>IF(I23=0,"",VLOOKUP(I23,Municipalités!$A$2:$B$1290,2,TRUE))</f>
        <v/>
      </c>
    </row>
    <row r="24" spans="1:13" ht="30" customHeight="1" x14ac:dyDescent="0.25">
      <c r="A24" s="45"/>
      <c r="B24" s="45"/>
      <c r="C24" s="39"/>
      <c r="D24" s="46"/>
      <c r="E24" s="27"/>
      <c r="F24" s="31"/>
      <c r="G24" s="82" t="str">
        <f>IF(F24=0,"",VLOOKUP(F24,Employés!$A$2:$B$186,2,0))</f>
        <v/>
      </c>
      <c r="H24" s="82"/>
      <c r="I24" s="35"/>
      <c r="J24" s="29"/>
      <c r="K24" s="19"/>
      <c r="L24" s="20"/>
      <c r="M24" s="37" t="str">
        <f>IF(I24=0,"",VLOOKUP(I24,Municipalités!$A$2:$B$1290,2,TRUE))</f>
        <v/>
      </c>
    </row>
    <row r="25" spans="1:13" ht="30" customHeight="1" x14ac:dyDescent="0.25">
      <c r="A25" s="45"/>
      <c r="B25" s="45"/>
      <c r="C25" s="39"/>
      <c r="D25" s="46"/>
      <c r="E25" s="27"/>
      <c r="F25" s="31"/>
      <c r="G25" s="82" t="str">
        <f>IF(F25=0,"",VLOOKUP(F25,Employés!$A$2:$B$186,2,0))</f>
        <v/>
      </c>
      <c r="H25" s="82"/>
      <c r="I25" s="35"/>
      <c r="J25" s="29"/>
      <c r="K25" s="19"/>
      <c r="L25" s="20"/>
      <c r="M25" s="37" t="str">
        <f>IF(I25=0,"",VLOOKUP(I25,Municipalités!$A$2:$B$1290,2,TRUE))</f>
        <v/>
      </c>
    </row>
    <row r="26" spans="1:13" ht="30" customHeight="1" x14ac:dyDescent="0.25">
      <c r="A26" s="45"/>
      <c r="B26" s="45"/>
      <c r="C26" s="39"/>
      <c r="D26" s="46"/>
      <c r="E26" s="27"/>
      <c r="F26" s="31"/>
      <c r="G26" s="82" t="str">
        <f>IF(F26=0,"",VLOOKUP(F26,Employés!$A$2:$B$186,2,0))</f>
        <v/>
      </c>
      <c r="H26" s="82"/>
      <c r="I26" s="35"/>
      <c r="J26" s="29"/>
      <c r="K26" s="19"/>
      <c r="L26" s="20"/>
      <c r="M26" s="37" t="str">
        <f>IF(I26=0,"",VLOOKUP(I26,Municipalités!$A$2:$B$1290,2,TRUE))</f>
        <v/>
      </c>
    </row>
    <row r="27" spans="1:13" ht="30" customHeight="1" x14ac:dyDescent="0.25">
      <c r="A27" s="45"/>
      <c r="B27" s="45"/>
      <c r="C27" s="39"/>
      <c r="D27" s="46"/>
      <c r="E27" s="27"/>
      <c r="F27" s="31"/>
      <c r="G27" s="82" t="str">
        <f>IF(F27=0,"",VLOOKUP(F27,Employés!$A$2:$B$186,2,0))</f>
        <v/>
      </c>
      <c r="H27" s="82"/>
      <c r="I27" s="35"/>
      <c r="J27" s="29"/>
      <c r="K27" s="19"/>
      <c r="L27" s="20"/>
      <c r="M27" s="37" t="str">
        <f>IF(I27=0,"",VLOOKUP(I27,Municipalités!$A$2:$B$1290,2,TRUE))</f>
        <v/>
      </c>
    </row>
    <row r="28" spans="1:13" ht="30" customHeight="1" x14ac:dyDescent="0.25">
      <c r="A28" s="45"/>
      <c r="B28" s="45"/>
      <c r="C28" s="39"/>
      <c r="D28" s="46"/>
      <c r="E28" s="27"/>
      <c r="F28" s="31"/>
      <c r="G28" s="82" t="str">
        <f>IF(F28=0,"",VLOOKUP(F28,Employés!$A$2:$B$186,2,0))</f>
        <v/>
      </c>
      <c r="H28" s="82"/>
      <c r="I28" s="35"/>
      <c r="J28" s="29"/>
      <c r="K28" s="19"/>
      <c r="L28" s="20"/>
      <c r="M28" s="37" t="str">
        <f>IF(I28=0,"",VLOOKUP(I28,Municipalités!$A$2:$B$1290,2,TRUE))</f>
        <v/>
      </c>
    </row>
    <row r="29" spans="1:13" ht="30" customHeight="1" x14ac:dyDescent="0.25">
      <c r="A29" s="45"/>
      <c r="B29" s="45"/>
      <c r="C29" s="39"/>
      <c r="D29" s="46"/>
      <c r="E29" s="27"/>
      <c r="F29" s="31"/>
      <c r="G29" s="82" t="str">
        <f>IF(F29=0,"",VLOOKUP(F29,Employés!$A$2:$B$186,2,0))</f>
        <v/>
      </c>
      <c r="H29" s="82"/>
      <c r="I29" s="35"/>
      <c r="J29" s="29"/>
      <c r="K29" s="19"/>
      <c r="L29" s="20"/>
      <c r="M29" s="37" t="str">
        <f>IF(I29=0,"",VLOOKUP(I29,Municipalités!$A$2:$B$1290,2,TRUE))</f>
        <v/>
      </c>
    </row>
    <row r="30" spans="1:13" ht="30" customHeight="1" x14ac:dyDescent="0.25">
      <c r="A30" s="45"/>
      <c r="B30" s="45"/>
      <c r="C30" s="39"/>
      <c r="D30" s="46"/>
      <c r="E30" s="27"/>
      <c r="F30" s="31"/>
      <c r="G30" s="82" t="str">
        <f>IF(F30=0,"",VLOOKUP(F30,Employés!$A$2:$B$186,2,0))</f>
        <v/>
      </c>
      <c r="H30" s="82"/>
      <c r="I30" s="35"/>
      <c r="J30" s="29"/>
      <c r="K30" s="19"/>
      <c r="L30" s="20"/>
      <c r="M30" s="37" t="str">
        <f>IF(I30=0,"",VLOOKUP(I30,Municipalités!$A$2:$B$1290,2,TRUE))</f>
        <v/>
      </c>
    </row>
    <row r="31" spans="1:13" ht="30" customHeight="1" x14ac:dyDescent="0.25">
      <c r="A31" s="45"/>
      <c r="B31" s="45"/>
      <c r="C31" s="39"/>
      <c r="D31" s="47"/>
      <c r="E31" s="27"/>
      <c r="F31" s="31"/>
      <c r="G31" s="82" t="str">
        <f>IF(F31=0,"",VLOOKUP(F31,Employés!$A$2:$B$186,2,0))</f>
        <v/>
      </c>
      <c r="H31" s="82"/>
      <c r="I31" s="35"/>
      <c r="J31" s="29"/>
      <c r="K31" s="19"/>
      <c r="L31" s="20"/>
      <c r="M31" s="37" t="str">
        <f>IF(I31=0,"",VLOOKUP(I31,Municipalités!$A$2:$B$1290,2,TRUE))</f>
        <v/>
      </c>
    </row>
    <row r="32" spans="1:13" ht="30" customHeight="1" x14ac:dyDescent="0.25">
      <c r="A32" s="45"/>
      <c r="B32" s="45"/>
      <c r="C32" s="39"/>
      <c r="D32" s="46"/>
      <c r="E32" s="27"/>
      <c r="F32" s="31"/>
      <c r="G32" s="82" t="str">
        <f>IF(F32=0,"",VLOOKUP(F32,Employés!$A$2:$B$186,2,0))</f>
        <v/>
      </c>
      <c r="H32" s="82"/>
      <c r="I32" s="35"/>
      <c r="J32" s="29"/>
      <c r="K32" s="19"/>
      <c r="L32" s="20"/>
      <c r="M32" s="37" t="str">
        <f>IF(I32=0,"",VLOOKUP(I32,Municipalités!$A$2:$B$1290,2,TRUE))</f>
        <v/>
      </c>
    </row>
    <row r="33" spans="1:13" ht="30" customHeight="1" x14ac:dyDescent="0.25">
      <c r="A33" s="45"/>
      <c r="B33" s="45"/>
      <c r="C33" s="39"/>
      <c r="D33" s="46"/>
      <c r="E33" s="27"/>
      <c r="F33" s="31"/>
      <c r="G33" s="82" t="str">
        <f>IF(F33=0,"",VLOOKUP(F33,Employés!$A$2:$B$186,2,0))</f>
        <v/>
      </c>
      <c r="H33" s="82"/>
      <c r="I33" s="35"/>
      <c r="J33" s="29"/>
      <c r="K33" s="19"/>
      <c r="L33" s="20"/>
      <c r="M33" s="37" t="str">
        <f>IF(I33=0,"",VLOOKUP(I33,Municipalités!$A$2:$B$1290,2,TRUE))</f>
        <v/>
      </c>
    </row>
    <row r="34" spans="1:13" ht="30" customHeight="1" x14ac:dyDescent="0.25">
      <c r="A34" s="45"/>
      <c r="B34" s="45"/>
      <c r="C34" s="39"/>
      <c r="D34" s="46"/>
      <c r="E34" s="27"/>
      <c r="F34" s="31"/>
      <c r="G34" s="82" t="str">
        <f>IF(F34=0,"",VLOOKUP(F34,Employés!$A$2:$B$186,2,0))</f>
        <v/>
      </c>
      <c r="H34" s="82"/>
      <c r="I34" s="35"/>
      <c r="J34" s="29"/>
      <c r="K34" s="19"/>
      <c r="L34" s="20"/>
      <c r="M34" s="37" t="str">
        <f>IF(I34=0,"",VLOOKUP(I34,Municipalités!$A$2:$B$1290,2,TRUE))</f>
        <v/>
      </c>
    </row>
    <row r="35" spans="1:13" ht="30" customHeight="1" x14ac:dyDescent="0.25">
      <c r="A35" s="45"/>
      <c r="B35" s="45"/>
      <c r="C35" s="30"/>
      <c r="D35" s="46"/>
      <c r="E35" s="27"/>
      <c r="F35" s="31"/>
      <c r="G35" s="82" t="str">
        <f>IF(F35=0,"",VLOOKUP(F35,Employés!$A$2:$B$186,2,0))</f>
        <v/>
      </c>
      <c r="H35" s="82"/>
      <c r="I35" s="35"/>
      <c r="J35" s="29"/>
      <c r="K35" s="19"/>
      <c r="L35" s="20"/>
      <c r="M35" s="37" t="str">
        <f>IF(I35=0,"",VLOOKUP(I35,Municipalités!$A$2:$B$1290,2,TRUE))</f>
        <v/>
      </c>
    </row>
    <row r="36" spans="1:13" ht="30" customHeight="1" x14ac:dyDescent="0.25">
      <c r="A36" s="45"/>
      <c r="B36" s="45"/>
      <c r="C36" s="30"/>
      <c r="D36" s="46"/>
      <c r="E36" s="27"/>
      <c r="F36" s="31"/>
      <c r="G36" s="82" t="str">
        <f>IF(F36=0,"",VLOOKUP(F36,Employés!$A$2:$B$186,2,0))</f>
        <v/>
      </c>
      <c r="H36" s="82"/>
      <c r="I36" s="35"/>
      <c r="J36" s="29"/>
      <c r="K36" s="19"/>
      <c r="L36" s="20"/>
      <c r="M36" s="37" t="str">
        <f>IF(I36=0,"",VLOOKUP(I36,Municipalités!$A$2:$B$1290,2,TRUE))</f>
        <v/>
      </c>
    </row>
    <row r="37" spans="1:13" ht="30" customHeight="1" x14ac:dyDescent="0.25">
      <c r="A37" s="45"/>
      <c r="B37" s="45"/>
      <c r="C37" s="39"/>
      <c r="D37" s="46"/>
      <c r="E37" s="27"/>
      <c r="F37" s="31"/>
      <c r="G37" s="82" t="str">
        <f>IF(F37=0,"",VLOOKUP(F37,Employés!$A$2:$B$186,2,0))</f>
        <v/>
      </c>
      <c r="H37" s="82"/>
      <c r="I37" s="35"/>
      <c r="J37" s="29"/>
      <c r="K37" s="19"/>
      <c r="L37" s="20"/>
      <c r="M37" s="37" t="str">
        <f>IF(I37=0,"",VLOOKUP(I37,Municipalités!$A$2:$B$1290,2,TRUE))</f>
        <v/>
      </c>
    </row>
    <row r="38" spans="1:13" ht="30" customHeight="1" x14ac:dyDescent="0.25">
      <c r="A38" s="45"/>
      <c r="B38" s="45"/>
      <c r="C38" s="39"/>
      <c r="D38" s="47"/>
      <c r="E38" s="27"/>
      <c r="F38" s="31"/>
      <c r="G38" s="82" t="str">
        <f>IF(F38=0,"",VLOOKUP(F38,Employés!$A$2:$B$186,2,0))</f>
        <v/>
      </c>
      <c r="H38" s="82"/>
      <c r="I38" s="35"/>
      <c r="J38" s="29"/>
      <c r="K38" s="19"/>
      <c r="L38" s="20"/>
      <c r="M38" s="37" t="str">
        <f>IF(I38=0,"",VLOOKUP(I38,Municipalités!$A$2:$B$1290,2,TRUE))</f>
        <v/>
      </c>
    </row>
    <row r="39" spans="1:13" ht="30" customHeight="1" x14ac:dyDescent="0.25">
      <c r="A39" s="45"/>
      <c r="B39" s="45"/>
      <c r="C39" s="39"/>
      <c r="D39" s="45"/>
      <c r="E39" s="27"/>
      <c r="F39" s="31"/>
      <c r="G39" s="82" t="str">
        <f>IF(F39=0,"",VLOOKUP(F39,Employés!$A$2:$B$186,2,0))</f>
        <v/>
      </c>
      <c r="H39" s="82"/>
      <c r="I39" s="35"/>
      <c r="J39" s="29"/>
      <c r="K39" s="26"/>
      <c r="L39" s="25"/>
      <c r="M39" s="37" t="str">
        <f>IF(I39=0,"",VLOOKUP(I39,Municipalités!$A$2:$B$1290,2,TRUE))</f>
        <v/>
      </c>
    </row>
    <row r="40" spans="1:13" ht="30" customHeight="1" x14ac:dyDescent="0.25">
      <c r="A40" s="8"/>
      <c r="B40" s="8"/>
      <c r="C40" s="30"/>
      <c r="D40" s="8"/>
      <c r="E40" s="27"/>
      <c r="F40" s="31"/>
      <c r="G40" s="82" t="str">
        <f>IF(F40=0,"",VLOOKUP(F40,Employés!$A$2:$B$186,2,0))</f>
        <v/>
      </c>
      <c r="H40" s="82"/>
      <c r="I40" s="35"/>
      <c r="J40" s="29"/>
      <c r="K40" s="26"/>
      <c r="L40" s="25"/>
      <c r="M40" s="37" t="str">
        <f>IF(I40=0,"",VLOOKUP(I40,Municipalités!$A$2:$B$1290,2,TRUE))</f>
        <v/>
      </c>
    </row>
    <row r="41" spans="1:13" ht="30" customHeight="1" x14ac:dyDescent="0.25">
      <c r="A41" s="8"/>
      <c r="B41" s="8"/>
      <c r="C41" s="30"/>
      <c r="D41" s="8"/>
      <c r="E41" s="27"/>
      <c r="F41" s="31"/>
      <c r="G41" s="82" t="str">
        <f>IF(F41=0,"",VLOOKUP(F41,Employés!$A$2:$B$186,2,0))</f>
        <v/>
      </c>
      <c r="H41" s="82"/>
      <c r="I41" s="35"/>
      <c r="J41" s="29"/>
      <c r="K41" s="26"/>
      <c r="L41" s="25"/>
      <c r="M41" s="37" t="str">
        <f>IF(I41=0,"",VLOOKUP(I41,Municipalités!$A$2:$B$1290,2,TRUE))</f>
        <v/>
      </c>
    </row>
    <row r="42" spans="1:13" ht="30" customHeight="1" x14ac:dyDescent="0.25">
      <c r="A42" s="8"/>
      <c r="B42" s="8"/>
      <c r="C42" s="30"/>
      <c r="D42" s="8"/>
      <c r="E42" s="27"/>
      <c r="F42" s="31"/>
      <c r="G42" s="82" t="str">
        <f>IF(F42=0,"",VLOOKUP(F42,Employés!$A$2:$B$186,2,0))</f>
        <v/>
      </c>
      <c r="H42" s="82"/>
      <c r="I42" s="35"/>
      <c r="J42" s="29"/>
      <c r="K42" s="26"/>
      <c r="L42" s="25"/>
      <c r="M42" s="37" t="str">
        <f>IF(I42=0,"",VLOOKUP(I42,Municipalités!$A$2:$B$1290,2,TRUE))</f>
        <v/>
      </c>
    </row>
    <row r="43" spans="1:13" ht="30" customHeight="1" x14ac:dyDescent="0.25">
      <c r="A43" s="8"/>
      <c r="B43" s="8"/>
      <c r="C43" s="30"/>
      <c r="D43" s="8"/>
      <c r="E43" s="27" t="s">
        <v>1420</v>
      </c>
      <c r="F43" s="31"/>
      <c r="G43" s="82" t="str">
        <f>IF(F43=0,"",VLOOKUP(F43,Employés!$A$2:$B$186,2,0))</f>
        <v/>
      </c>
      <c r="H43" s="82"/>
      <c r="I43" s="35"/>
      <c r="J43" s="29"/>
      <c r="K43" s="26"/>
      <c r="L43" s="25" t="s">
        <v>1420</v>
      </c>
      <c r="M43" s="37" t="str">
        <f>IF(I43=0,"",VLOOKUP(I43,Municipalités!$A$2:$B$1290,2,TRUE))</f>
        <v/>
      </c>
    </row>
    <row r="44" spans="1:13" ht="30" customHeight="1" x14ac:dyDescent="0.25">
      <c r="A44" s="8"/>
      <c r="B44" s="8"/>
      <c r="C44" s="30"/>
      <c r="D44" s="8"/>
      <c r="E44" s="27"/>
      <c r="F44" s="31"/>
      <c r="G44" s="82" t="str">
        <f>IF(F44=0,"",VLOOKUP(F44,Employés!$A$2:$B$186,2,0))</f>
        <v/>
      </c>
      <c r="H44" s="82"/>
      <c r="I44" s="35"/>
      <c r="J44" s="29"/>
      <c r="K44" s="26"/>
      <c r="L44" s="25"/>
      <c r="M44" s="37" t="str">
        <f>IF(I44=0,"",VLOOKUP(I44,Municipalités!$A$2:$B$1290,2,TRUE))</f>
        <v/>
      </c>
    </row>
    <row r="45" spans="1:13" ht="30" customHeight="1" x14ac:dyDescent="0.25">
      <c r="A45" s="8"/>
      <c r="B45" s="8"/>
      <c r="C45" s="30"/>
      <c r="D45" s="8"/>
      <c r="E45" s="27"/>
      <c r="F45" s="31"/>
      <c r="G45" s="82" t="str">
        <f>IF(F45=0,"",VLOOKUP(F45,Employés!$A$2:$B$186,2,0))</f>
        <v/>
      </c>
      <c r="H45" s="82"/>
      <c r="I45" s="35"/>
      <c r="J45" s="29"/>
      <c r="K45" s="26"/>
      <c r="L45" s="25"/>
      <c r="M45" s="37" t="str">
        <f>IF(I45=0,"",VLOOKUP(I45,Municipalités!$A$2:$B$1290,2,TRUE))</f>
        <v/>
      </c>
    </row>
    <row r="46" spans="1:13" ht="30" customHeight="1" x14ac:dyDescent="0.25">
      <c r="A46" s="8"/>
      <c r="B46" s="8"/>
      <c r="C46" s="30"/>
      <c r="D46" s="8"/>
      <c r="E46" s="27"/>
      <c r="F46" s="31"/>
      <c r="G46" s="82" t="str">
        <f>IF(F46=0,"",VLOOKUP(F46,Employés!$A$2:$B$186,2,0))</f>
        <v/>
      </c>
      <c r="H46" s="82"/>
      <c r="I46" s="35"/>
      <c r="J46" s="29"/>
      <c r="K46" s="26"/>
      <c r="L46" s="25"/>
      <c r="M46" s="37" t="str">
        <f>IF(I46=0,"",VLOOKUP(I46,Municipalités!$A$2:$B$1290,2,TRUE))</f>
        <v/>
      </c>
    </row>
    <row r="47" spans="1:13" ht="30" customHeight="1" x14ac:dyDescent="0.25">
      <c r="A47" s="8"/>
      <c r="B47" s="8"/>
      <c r="C47" s="30"/>
      <c r="D47" s="8"/>
      <c r="E47" s="27"/>
      <c r="F47" s="31"/>
      <c r="G47" s="82" t="str">
        <f>IF(F47=0,"",VLOOKUP(F47,Employés!$A$2:$B$186,2,0))</f>
        <v/>
      </c>
      <c r="H47" s="82"/>
      <c r="I47" s="35"/>
      <c r="J47" s="29"/>
      <c r="K47" s="26"/>
      <c r="L47" s="25"/>
      <c r="M47" s="37" t="str">
        <f>IF(I47=0,"",VLOOKUP(I47,Municipalités!$A$2:$B$1290,2,TRUE))</f>
        <v/>
      </c>
    </row>
    <row r="48" spans="1:13" ht="30" customHeight="1" x14ac:dyDescent="0.25">
      <c r="A48" s="8"/>
      <c r="B48" s="8"/>
      <c r="C48" s="30"/>
      <c r="D48" s="8"/>
      <c r="E48" s="27"/>
      <c r="F48" s="31"/>
      <c r="G48" s="82" t="str">
        <f>IF(F48=0,"",VLOOKUP(F48,Employés!$A$2:$B$186,2,0))</f>
        <v/>
      </c>
      <c r="H48" s="82"/>
      <c r="I48" s="35"/>
      <c r="J48" s="29"/>
      <c r="K48" s="26"/>
      <c r="L48" s="25"/>
      <c r="M48" s="37" t="str">
        <f>IF(I48=0,"",VLOOKUP(I48,Municipalités!$A$2:$B$1290,2,TRUE))</f>
        <v/>
      </c>
    </row>
    <row r="49" spans="1:13" ht="30" customHeight="1" x14ac:dyDescent="0.25">
      <c r="A49" s="8"/>
      <c r="B49" s="8"/>
      <c r="C49" s="30"/>
      <c r="D49" s="8"/>
      <c r="E49" s="27"/>
      <c r="F49" s="31"/>
      <c r="G49" s="82" t="str">
        <f>IF(F49=0,"",VLOOKUP(F49,Employés!$A$2:$B$186,2,0))</f>
        <v/>
      </c>
      <c r="H49" s="82"/>
      <c r="I49" s="35"/>
      <c r="J49" s="29"/>
      <c r="K49" s="26"/>
      <c r="L49" s="25"/>
      <c r="M49" s="37" t="str">
        <f>IF(I49=0,"",VLOOKUP(I49,Municipalités!$A$2:$B$1290,2,TRUE))</f>
        <v/>
      </c>
    </row>
    <row r="50" spans="1:13" ht="30" customHeight="1" x14ac:dyDescent="0.25">
      <c r="A50" s="8"/>
      <c r="B50" s="8"/>
      <c r="C50" s="30"/>
      <c r="D50" s="8"/>
      <c r="E50" s="27"/>
      <c r="F50" s="31"/>
      <c r="G50" s="82" t="str">
        <f>IF(F50=0,"",VLOOKUP(F50,Employés!$A$2:$B$186,2,0))</f>
        <v/>
      </c>
      <c r="H50" s="82"/>
      <c r="I50" s="35"/>
      <c r="J50" s="29"/>
      <c r="K50" s="26"/>
      <c r="L50" s="25"/>
      <c r="M50" s="37" t="str">
        <f>IF(I50=0,"",VLOOKUP(I50,Municipalités!$A$2:$B$1290,2,TRUE))</f>
        <v/>
      </c>
    </row>
    <row r="51" spans="1:13" ht="30" customHeight="1" x14ac:dyDescent="0.25">
      <c r="A51" s="8"/>
      <c r="B51" s="8"/>
      <c r="C51" s="30"/>
      <c r="D51" s="8"/>
      <c r="E51" s="27"/>
      <c r="F51" s="31"/>
      <c r="G51" s="82" t="str">
        <f>IF(F51=0,"",VLOOKUP(F51,Employés!$A$2:$B$186,2,0))</f>
        <v/>
      </c>
      <c r="H51" s="82"/>
      <c r="I51" s="35"/>
      <c r="J51" s="29"/>
      <c r="K51" s="26"/>
      <c r="L51" s="25"/>
      <c r="M51" s="37" t="str">
        <f>IF(I51=0,"",VLOOKUP(I51,Municipalités!$A$2:$B$1290,2,TRUE))</f>
        <v/>
      </c>
    </row>
    <row r="52" spans="1:13" ht="30" customHeight="1" x14ac:dyDescent="0.25">
      <c r="A52" s="8"/>
      <c r="B52" s="8"/>
      <c r="C52" s="30"/>
      <c r="D52" s="8"/>
      <c r="E52" s="27"/>
      <c r="F52" s="31"/>
      <c r="G52" s="82" t="str">
        <f>IF(F52=0,"",VLOOKUP(F52,Employés!$A$2:$B$186,2,0))</f>
        <v/>
      </c>
      <c r="H52" s="82"/>
      <c r="I52" s="35"/>
      <c r="J52" s="29"/>
      <c r="K52" s="26"/>
      <c r="L52" s="25"/>
      <c r="M52" s="37" t="str">
        <f>IF(I52=0,"",VLOOKUP(I52,Municipalités!$A$2:$B$1290,2,TRUE))</f>
        <v/>
      </c>
    </row>
    <row r="53" spans="1:13" ht="30" customHeight="1" x14ac:dyDescent="0.25">
      <c r="A53" s="8"/>
      <c r="B53" s="8"/>
      <c r="C53" s="30"/>
      <c r="D53" s="8"/>
      <c r="E53" s="27"/>
      <c r="F53" s="31"/>
      <c r="G53" s="82" t="str">
        <f>IF(F53=0,"",VLOOKUP(F53,Employés!$A$2:$B$186,2,0))</f>
        <v/>
      </c>
      <c r="H53" s="82"/>
      <c r="I53" s="35"/>
      <c r="J53" s="29"/>
      <c r="K53" s="26"/>
      <c r="L53" s="25"/>
      <c r="M53" s="37" t="str">
        <f>IF(I53=0,"",VLOOKUP(I53,Municipalités!$A$2:$B$1290,2,TRUE))</f>
        <v/>
      </c>
    </row>
    <row r="54" spans="1:13" ht="30" customHeight="1" x14ac:dyDescent="0.25">
      <c r="A54" s="8"/>
      <c r="B54" s="8"/>
      <c r="C54" s="30"/>
      <c r="D54" s="8"/>
      <c r="E54" s="27"/>
      <c r="F54" s="31"/>
      <c r="G54" s="82" t="str">
        <f>IF(F54=0,"",VLOOKUP(F54,Employés!$A$2:$B$186,2,0))</f>
        <v/>
      </c>
      <c r="H54" s="82"/>
      <c r="I54" s="35"/>
      <c r="J54" s="29"/>
      <c r="K54" s="26"/>
      <c r="L54" s="25"/>
      <c r="M54" s="37" t="str">
        <f>IF(I54=0,"",VLOOKUP(I54,Municipalités!$A$2:$B$1290,2,TRUE))</f>
        <v/>
      </c>
    </row>
    <row r="55" spans="1:13" ht="30" customHeight="1" x14ac:dyDescent="0.25">
      <c r="A55" s="8"/>
      <c r="B55" s="8"/>
      <c r="C55" s="30"/>
      <c r="D55" s="8"/>
      <c r="E55" s="27"/>
      <c r="F55" s="31"/>
      <c r="G55" s="82" t="str">
        <f>IF(F55=0,"",VLOOKUP(F55,Employés!$A$2:$B$186,2,0))</f>
        <v/>
      </c>
      <c r="H55" s="82"/>
      <c r="I55" s="35"/>
      <c r="J55" s="29"/>
      <c r="K55" s="26"/>
      <c r="L55" s="25"/>
      <c r="M55" s="37" t="str">
        <f>IF(I55=0,"",VLOOKUP(I55,Municipalités!$A$2:$B$1290,2,TRUE))</f>
        <v/>
      </c>
    </row>
    <row r="56" spans="1:13" ht="30" customHeight="1" x14ac:dyDescent="0.25">
      <c r="A56" s="8"/>
      <c r="B56" s="8"/>
      <c r="C56" s="30"/>
      <c r="D56" s="8"/>
      <c r="E56" s="27"/>
      <c r="F56" s="31"/>
      <c r="G56" s="82" t="str">
        <f>IF(F56=0,"",VLOOKUP(F56,Employés!$A$2:$B$186,2,0))</f>
        <v/>
      </c>
      <c r="H56" s="82"/>
      <c r="I56" s="35"/>
      <c r="J56" s="29"/>
      <c r="K56" s="26"/>
      <c r="L56" s="25"/>
      <c r="M56" s="37" t="str">
        <f>IF(I56=0,"",VLOOKUP(I56,Municipalités!$A$2:$B$1290,2,TRUE))</f>
        <v/>
      </c>
    </row>
    <row r="57" spans="1:13" ht="30" customHeight="1" x14ac:dyDescent="0.25">
      <c r="A57" s="8"/>
      <c r="B57" s="8"/>
      <c r="C57" s="30"/>
      <c r="D57" s="8"/>
      <c r="E57" s="27"/>
      <c r="F57" s="31"/>
      <c r="G57" s="82" t="str">
        <f>IF(F57=0,"",VLOOKUP(F57,Employés!$A$2:$B$186,2,0))</f>
        <v/>
      </c>
      <c r="H57" s="82"/>
      <c r="I57" s="35"/>
      <c r="J57" s="29"/>
      <c r="K57" s="26"/>
      <c r="L57" s="25"/>
      <c r="M57" s="37" t="str">
        <f>IF(I57=0,"",VLOOKUP(I57,Municipalités!$A$2:$B$1290,2,TRUE))</f>
        <v/>
      </c>
    </row>
    <row r="58" spans="1:13" ht="30" customHeight="1" x14ac:dyDescent="0.25">
      <c r="A58" s="8"/>
      <c r="B58" s="8"/>
      <c r="C58" s="30"/>
      <c r="D58" s="8"/>
      <c r="E58" s="27"/>
      <c r="F58" s="31"/>
      <c r="G58" s="82" t="str">
        <f>IF(F58=0,"",VLOOKUP(F58,Employés!$A$2:$B$186,2,0))</f>
        <v/>
      </c>
      <c r="H58" s="82"/>
      <c r="I58" s="35"/>
      <c r="J58" s="29"/>
      <c r="K58" s="26"/>
      <c r="L58" s="25"/>
      <c r="M58" s="37" t="str">
        <f>IF(I58=0,"",VLOOKUP(I58,Municipalités!$A$2:$B$1290,2,TRUE))</f>
        <v/>
      </c>
    </row>
    <row r="59" spans="1:13" ht="30" customHeight="1" x14ac:dyDescent="0.25">
      <c r="A59" s="8"/>
      <c r="B59" s="8"/>
      <c r="C59" s="30"/>
      <c r="D59" s="8"/>
      <c r="E59" s="27"/>
      <c r="F59" s="31"/>
      <c r="G59" s="82" t="str">
        <f>IF(F59=0,"",VLOOKUP(F59,Employés!$A$2:$B$186,2,0))</f>
        <v/>
      </c>
      <c r="H59" s="82"/>
      <c r="I59" s="35"/>
      <c r="J59" s="29"/>
      <c r="K59" s="26"/>
      <c r="L59" s="25"/>
      <c r="M59" s="37" t="str">
        <f>IF(I59=0,"",VLOOKUP(I59,Municipalités!$A$2:$B$1290,2,TRUE))</f>
        <v/>
      </c>
    </row>
    <row r="60" spans="1:13" ht="30" customHeight="1" x14ac:dyDescent="0.25">
      <c r="A60" s="8"/>
      <c r="B60" s="8"/>
      <c r="C60" s="30"/>
      <c r="D60" s="8"/>
      <c r="E60" s="27"/>
      <c r="F60" s="31"/>
      <c r="G60" s="82" t="str">
        <f>IF(F60=0,"",VLOOKUP(F60,Employés!$A$2:$B$186,2,0))</f>
        <v/>
      </c>
      <c r="H60" s="82"/>
      <c r="I60" s="35"/>
      <c r="J60" s="29"/>
      <c r="K60" s="26"/>
      <c r="L60" s="25"/>
      <c r="M60" s="37" t="str">
        <f>IF(I60=0,"",VLOOKUP(I60,Municipalités!$A$2:$B$1290,2,TRUE))</f>
        <v/>
      </c>
    </row>
    <row r="61" spans="1:13" ht="30" customHeight="1" x14ac:dyDescent="0.25">
      <c r="A61" s="8"/>
      <c r="B61" s="8"/>
      <c r="C61" s="30"/>
      <c r="D61" s="8"/>
      <c r="E61" s="27"/>
      <c r="F61" s="31"/>
      <c r="G61" s="82" t="str">
        <f>IF(F61=0,"",VLOOKUP(F61,Employés!$A$2:$B$186,2,0))</f>
        <v/>
      </c>
      <c r="H61" s="82"/>
      <c r="I61" s="35"/>
      <c r="J61" s="29"/>
      <c r="K61" s="26"/>
      <c r="L61" s="25"/>
      <c r="M61" s="37" t="str">
        <f>IF(I61=0,"",VLOOKUP(I61,Municipalités!$A$2:$B$1290,2,TRUE))</f>
        <v/>
      </c>
    </row>
    <row r="62" spans="1:13" x14ac:dyDescent="0.25">
      <c r="C62" s="14"/>
    </row>
    <row r="63" spans="1:13" x14ac:dyDescent="0.25">
      <c r="C63" s="14"/>
    </row>
    <row r="64" spans="1:13" x14ac:dyDescent="0.25">
      <c r="C64" s="14"/>
    </row>
    <row r="65" spans="3:5" x14ac:dyDescent="0.25">
      <c r="C65" s="14"/>
    </row>
    <row r="66" spans="3:5" x14ac:dyDescent="0.25">
      <c r="C66" s="14"/>
    </row>
    <row r="67" spans="3:5" x14ac:dyDescent="0.25">
      <c r="C67" s="14"/>
    </row>
    <row r="68" spans="3:5" x14ac:dyDescent="0.25">
      <c r="C68" s="14"/>
    </row>
    <row r="69" spans="3:5" x14ac:dyDescent="0.25">
      <c r="C69" s="14"/>
    </row>
    <row r="70" spans="3:5" x14ac:dyDescent="0.25">
      <c r="C70" s="14"/>
    </row>
    <row r="71" spans="3:5" x14ac:dyDescent="0.25">
      <c r="C71" s="14"/>
    </row>
    <row r="72" spans="3:5" x14ac:dyDescent="0.25">
      <c r="C72" s="14"/>
    </row>
    <row r="73" spans="3:5" x14ac:dyDescent="0.25">
      <c r="C73" s="14"/>
    </row>
    <row r="74" spans="3:5" x14ac:dyDescent="0.25">
      <c r="C74" s="14"/>
    </row>
    <row r="75" spans="3:5" x14ac:dyDescent="0.25">
      <c r="C75" s="14"/>
    </row>
    <row r="76" spans="3:5" x14ac:dyDescent="0.25">
      <c r="C76" s="14"/>
    </row>
    <row r="77" spans="3:5" x14ac:dyDescent="0.25">
      <c r="C77" s="14"/>
    </row>
    <row r="78" spans="3:5" x14ac:dyDescent="0.25">
      <c r="C78" s="14"/>
      <c r="E78" s="21" t="s">
        <v>1420</v>
      </c>
    </row>
    <row r="79" spans="3:5" x14ac:dyDescent="0.25">
      <c r="C79" s="14"/>
    </row>
    <row r="80" spans="3:5" x14ac:dyDescent="0.25">
      <c r="C80" s="14"/>
    </row>
    <row r="81" spans="3:3" x14ac:dyDescent="0.25">
      <c r="C81" s="14"/>
    </row>
    <row r="82" spans="3:3" x14ac:dyDescent="0.25">
      <c r="C82" s="14"/>
    </row>
    <row r="83" spans="3:3" x14ac:dyDescent="0.25">
      <c r="C83" s="14"/>
    </row>
    <row r="84" spans="3:3" x14ac:dyDescent="0.25">
      <c r="C84" s="14"/>
    </row>
    <row r="85" spans="3:3" x14ac:dyDescent="0.25">
      <c r="C85" s="14"/>
    </row>
    <row r="86" spans="3:3" x14ac:dyDescent="0.25">
      <c r="C86" s="14"/>
    </row>
    <row r="87" spans="3:3" x14ac:dyDescent="0.25">
      <c r="C87" s="14"/>
    </row>
    <row r="88" spans="3:3" x14ac:dyDescent="0.25">
      <c r="C88" s="14"/>
    </row>
    <row r="89" spans="3:3" x14ac:dyDescent="0.25">
      <c r="C89" s="14"/>
    </row>
    <row r="90" spans="3:3" x14ac:dyDescent="0.25">
      <c r="C90" s="14"/>
    </row>
    <row r="91" spans="3:3" x14ac:dyDescent="0.25">
      <c r="C91" s="14"/>
    </row>
    <row r="92" spans="3:3" x14ac:dyDescent="0.25">
      <c r="C92" s="14"/>
    </row>
    <row r="93" spans="3:3" x14ac:dyDescent="0.25">
      <c r="C93" s="14"/>
    </row>
    <row r="94" spans="3:3" x14ac:dyDescent="0.25">
      <c r="C94" s="14"/>
    </row>
    <row r="95" spans="3:3" x14ac:dyDescent="0.25">
      <c r="C95" s="14"/>
    </row>
    <row r="96" spans="3:3" x14ac:dyDescent="0.25">
      <c r="C96" s="14"/>
    </row>
    <row r="97" spans="3:3" x14ac:dyDescent="0.25">
      <c r="C97" s="14"/>
    </row>
    <row r="98" spans="3:3" x14ac:dyDescent="0.25">
      <c r="C98" s="14"/>
    </row>
  </sheetData>
  <mergeCells count="67">
    <mergeCell ref="G59:H59"/>
    <mergeCell ref="G60:H60"/>
    <mergeCell ref="G61:H61"/>
    <mergeCell ref="G53:H53"/>
    <mergeCell ref="G54:H54"/>
    <mergeCell ref="G55:H55"/>
    <mergeCell ref="G56:H56"/>
    <mergeCell ref="G57:H57"/>
    <mergeCell ref="G58:H58"/>
    <mergeCell ref="G52:H52"/>
    <mergeCell ref="G41:H41"/>
    <mergeCell ref="G42:H42"/>
    <mergeCell ref="G43:H43"/>
    <mergeCell ref="G44:H44"/>
    <mergeCell ref="G45:H45"/>
    <mergeCell ref="G46:H46"/>
    <mergeCell ref="G47:H47"/>
    <mergeCell ref="G48:H48"/>
    <mergeCell ref="G49:H49"/>
    <mergeCell ref="G50:H50"/>
    <mergeCell ref="G51:H51"/>
    <mergeCell ref="G40:H40"/>
    <mergeCell ref="G29:H29"/>
    <mergeCell ref="G30:H30"/>
    <mergeCell ref="G31:H31"/>
    <mergeCell ref="G32:H32"/>
    <mergeCell ref="G33:H33"/>
    <mergeCell ref="G34:H34"/>
    <mergeCell ref="G35:H35"/>
    <mergeCell ref="G36:H36"/>
    <mergeCell ref="G37:H37"/>
    <mergeCell ref="G38:H38"/>
    <mergeCell ref="G39:H39"/>
    <mergeCell ref="G28:H28"/>
    <mergeCell ref="G17:H17"/>
    <mergeCell ref="G18:H18"/>
    <mergeCell ref="G19:H19"/>
    <mergeCell ref="G20:H20"/>
    <mergeCell ref="G21:H21"/>
    <mergeCell ref="G22:H22"/>
    <mergeCell ref="G23:H23"/>
    <mergeCell ref="G24:H24"/>
    <mergeCell ref="G25:H25"/>
    <mergeCell ref="G26:H26"/>
    <mergeCell ref="G27:H27"/>
    <mergeCell ref="M2:M4"/>
    <mergeCell ref="G16:H16"/>
    <mergeCell ref="I6:I7"/>
    <mergeCell ref="J6:J7"/>
    <mergeCell ref="K6:M6"/>
    <mergeCell ref="G8:H8"/>
    <mergeCell ref="G9:H9"/>
    <mergeCell ref="G10:H10"/>
    <mergeCell ref="G11:H11"/>
    <mergeCell ref="G12:H12"/>
    <mergeCell ref="G13:H13"/>
    <mergeCell ref="G14:H14"/>
    <mergeCell ref="G15:H15"/>
    <mergeCell ref="E1:F4"/>
    <mergeCell ref="L1:L2"/>
    <mergeCell ref="A6:A7"/>
    <mergeCell ref="B6:B7"/>
    <mergeCell ref="C6:C7"/>
    <mergeCell ref="D6:D7"/>
    <mergeCell ref="E6:E7"/>
    <mergeCell ref="F6:F7"/>
    <mergeCell ref="G6:H7"/>
  </mergeCells>
  <conditionalFormatting sqref="C16:C21 C23:C45">
    <cfRule type="expression" dxfId="155" priority="7" stopIfTrue="1">
      <formula>#REF!=1</formula>
    </cfRule>
    <cfRule type="expression" priority="8" stopIfTrue="1">
      <formula>#REF!=2</formula>
    </cfRule>
    <cfRule type="expression" dxfId="154" priority="9" stopIfTrue="1">
      <formula>#REF!=3</formula>
    </cfRule>
  </conditionalFormatting>
  <conditionalFormatting sqref="C22">
    <cfRule type="expression" dxfId="153" priority="4" stopIfTrue="1">
      <formula>#REF!=1</formula>
    </cfRule>
    <cfRule type="expression" priority="5" stopIfTrue="1">
      <formula>#REF!=2</formula>
    </cfRule>
    <cfRule type="expression" dxfId="152" priority="6" stopIfTrue="1">
      <formula>#REF!=3</formula>
    </cfRule>
  </conditionalFormatting>
  <conditionalFormatting sqref="C46:C61">
    <cfRule type="expression" dxfId="151" priority="1" stopIfTrue="1">
      <formula>#REF!=1</formula>
    </cfRule>
    <cfRule type="expression" priority="2" stopIfTrue="1">
      <formula>#REF!=2</formula>
    </cfRule>
    <cfRule type="expression" dxfId="150" priority="3" stopIfTrue="1">
      <formula>#REF!=3</formula>
    </cfRule>
  </conditionalFormatting>
  <dataValidations count="2">
    <dataValidation type="textLength" operator="greaterThanOrEqual" allowBlank="1" showInputMessage="1" showErrorMessage="1" errorTitle="Saisie incorrecte" error="Re-saisir le numéro d'entrée en utilisant 3 chiffres_x000a_Ex.: 001" promptTitle="Saisie du numéro d'entrée" prompt="Minimum 3 chiffres_x000a_Ex.: 001" sqref="C8:C39" xr:uid="{00000000-0002-0000-0500-000000000000}">
      <formula1>3</formula1>
    </dataValidation>
    <dataValidation operator="greaterThan" allowBlank="1" showDropDown="1" showInputMessage="1" showErrorMessage="1" errorTitle="Saisie incorrecte" error="Re-Saisir le numéro de dossier sous le format_x000a_000-000000-000" promptTitle="Saisie du numéro d'événement" prompt="000-000000-000_x000a_Ex. : 071-030901-001" sqref="J8:J39" xr:uid="{00000000-0002-0000-0500-000001000000}"/>
  </dataValidations>
  <printOptions horizontalCentered="1" verticalCentered="1"/>
  <pageMargins left="0" right="0" top="0.31496062992125984" bottom="0.39370078740157483" header="0.15748031496062992" footer="0.19685039370078741"/>
  <pageSetup paperSize="5" scale="90" orientation="landscape" r:id="rId1"/>
  <headerFooter alignWithMargins="0">
    <oddFooter>&amp;R&amp;8Page &amp;P de &amp;N</oddFooter>
  </headerFooter>
  <drawing r:id="rId2"/>
  <legacyDrawing r:id="rId3"/>
  <controls>
    <mc:AlternateContent xmlns:mc="http://schemas.openxmlformats.org/markup-compatibility/2006">
      <mc:Choice Requires="x14">
        <control shapeId="147459" r:id="rId4" name="ComboBox2">
          <controlPr defaultSize="0" autoLine="0" r:id="rId5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4</xdr:col>
                <xdr:colOff>3048000</xdr:colOff>
                <xdr:row>8</xdr:row>
                <xdr:rowOff>38100</xdr:rowOff>
              </to>
            </anchor>
          </controlPr>
        </control>
      </mc:Choice>
      <mc:Fallback>
        <control shapeId="147459" r:id="rId4" name="ComboBox2"/>
      </mc:Fallback>
    </mc:AlternateContent>
    <mc:AlternateContent xmlns:mc="http://schemas.openxmlformats.org/markup-compatibility/2006">
      <mc:Choice Requires="x14">
        <control shapeId="147458" r:id="rId6" name="ComboBox1">
          <controlPr defaultSize="0" autoLine="0" r:id="rId7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11</xdr:col>
                <xdr:colOff>1803400</xdr:colOff>
                <xdr:row>9</xdr:row>
                <xdr:rowOff>38100</xdr:rowOff>
              </to>
            </anchor>
          </controlPr>
        </control>
      </mc:Choice>
      <mc:Fallback>
        <control shapeId="147458" r:id="rId6" name="ComboBox1"/>
      </mc:Fallback>
    </mc:AlternateContent>
    <mc:AlternateContent xmlns:mc="http://schemas.openxmlformats.org/markup-compatibility/2006">
      <mc:Choice Requires="x14">
        <control shapeId="147457" r:id="rId8" name="Button 1">
          <controlPr defaultSize="0" print="0" autoFill="0" autoPict="0" macro="[0]!test2">
            <anchor moveWithCells="1">
              <from>
                <xdr:col>5</xdr:col>
                <xdr:colOff>222250</xdr:colOff>
                <xdr:row>1</xdr:row>
                <xdr:rowOff>139700</xdr:rowOff>
              </from>
              <to>
                <xdr:col>9</xdr:col>
                <xdr:colOff>1143000</xdr:colOff>
                <xdr:row>4</xdr:row>
                <xdr:rowOff>107950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64"/>
  <dimension ref="A1:M98"/>
  <sheetViews>
    <sheetView showGridLines="0" zoomScaleNormal="100" workbookViewId="0">
      <pane xSplit="3" ySplit="7" topLeftCell="G8" activePane="bottomRight" state="frozen"/>
      <selection activeCell="C8" sqref="C8"/>
      <selection pane="topRight" activeCell="C8" sqref="C8"/>
      <selection pane="bottomLeft" activeCell="C8" sqref="C8"/>
      <selection pane="bottomRight" activeCell="J10" sqref="J10"/>
    </sheetView>
  </sheetViews>
  <sheetFormatPr baseColWidth="10" defaultColWidth="11.453125" defaultRowHeight="13" x14ac:dyDescent="0.25"/>
  <cols>
    <col min="1" max="2" width="5.6328125" style="1" customWidth="1"/>
    <col min="3" max="3" width="6.6328125" style="1" customWidth="1"/>
    <col min="4" max="4" width="7.54296875" style="1" customWidth="1"/>
    <col min="5" max="5" width="44.453125" style="21" customWidth="1"/>
    <col min="6" max="6" width="10.54296875" style="1" customWidth="1"/>
    <col min="7" max="7" width="13.90625" style="1" customWidth="1"/>
    <col min="8" max="8" width="4.6328125" style="1" hidden="1" customWidth="1"/>
    <col min="9" max="9" width="6.08984375" style="1" customWidth="1"/>
    <col min="10" max="10" width="26.54296875" style="1" customWidth="1"/>
    <col min="11" max="11" width="7.36328125" style="1" customWidth="1"/>
    <col min="12" max="12" width="27" style="24" customWidth="1"/>
    <col min="13" max="13" width="26" style="1" customWidth="1"/>
    <col min="14" max="16384" width="11.453125" style="1"/>
  </cols>
  <sheetData>
    <row r="1" spans="1:13" ht="12.75" customHeight="1" x14ac:dyDescent="0.25">
      <c r="E1" s="71" t="s">
        <v>1023</v>
      </c>
      <c r="F1" s="72"/>
      <c r="L1" s="73" t="s">
        <v>1021</v>
      </c>
      <c r="M1" s="51" t="s">
        <v>1022</v>
      </c>
    </row>
    <row r="2" spans="1:13" ht="12.75" customHeight="1" x14ac:dyDescent="0.25">
      <c r="E2" s="72"/>
      <c r="F2" s="72"/>
      <c r="L2" s="74"/>
      <c r="M2" s="70">
        <f>'06'!M2:M5+1</f>
        <v>42711</v>
      </c>
    </row>
    <row r="3" spans="1:13" ht="12.75" customHeight="1" x14ac:dyDescent="0.25">
      <c r="E3" s="72"/>
      <c r="F3" s="72"/>
      <c r="L3" s="52"/>
      <c r="M3" s="70"/>
    </row>
    <row r="4" spans="1:13" ht="15.75" customHeight="1" x14ac:dyDescent="0.25">
      <c r="E4" s="72"/>
      <c r="F4" s="72"/>
      <c r="L4" s="49" t="s">
        <v>140</v>
      </c>
      <c r="M4" s="70"/>
    </row>
    <row r="5" spans="1:13" ht="21.9" customHeight="1" thickBot="1" x14ac:dyDescent="0.3">
      <c r="L5" s="36"/>
      <c r="M5" s="69">
        <f>M2</f>
        <v>42711</v>
      </c>
    </row>
    <row r="6" spans="1:13" ht="24.9" customHeight="1" x14ac:dyDescent="0.25">
      <c r="A6" s="75" t="s">
        <v>2351</v>
      </c>
      <c r="B6" s="75" t="s">
        <v>2350</v>
      </c>
      <c r="C6" s="76" t="s">
        <v>1362</v>
      </c>
      <c r="D6" s="75" t="s">
        <v>1153</v>
      </c>
      <c r="E6" s="75" t="s">
        <v>1016</v>
      </c>
      <c r="F6" s="76" t="s">
        <v>2352</v>
      </c>
      <c r="G6" s="76" t="s">
        <v>1017</v>
      </c>
      <c r="H6" s="79"/>
      <c r="I6" s="76" t="s">
        <v>1364</v>
      </c>
      <c r="J6" s="76" t="s">
        <v>1363</v>
      </c>
      <c r="K6" s="83" t="s">
        <v>1018</v>
      </c>
      <c r="L6" s="84"/>
      <c r="M6" s="84"/>
    </row>
    <row r="7" spans="1:13" ht="12.5" x14ac:dyDescent="0.25">
      <c r="A7" s="75"/>
      <c r="B7" s="75"/>
      <c r="C7" s="77"/>
      <c r="D7" s="75"/>
      <c r="E7" s="75"/>
      <c r="F7" s="78"/>
      <c r="G7" s="80"/>
      <c r="H7" s="81"/>
      <c r="I7" s="77"/>
      <c r="J7" s="77"/>
      <c r="K7" s="50" t="s">
        <v>1015</v>
      </c>
      <c r="L7" s="50" t="s">
        <v>1019</v>
      </c>
      <c r="M7" s="32" t="s">
        <v>1020</v>
      </c>
    </row>
    <row r="8" spans="1:13" ht="30" customHeight="1" x14ac:dyDescent="0.25">
      <c r="A8" s="45"/>
      <c r="B8" s="45"/>
      <c r="C8" s="30"/>
      <c r="D8" s="46"/>
      <c r="E8" s="27"/>
      <c r="F8" s="31"/>
      <c r="G8" s="82" t="str">
        <f>IF(F8=0,"",VLOOKUP(F8,Employés!$A$2:$B$186,2,0))</f>
        <v/>
      </c>
      <c r="H8" s="82"/>
      <c r="I8" s="34"/>
      <c r="J8" s="33"/>
      <c r="K8" s="19"/>
      <c r="L8" s="20" t="s">
        <v>1420</v>
      </c>
      <c r="M8" s="37" t="str">
        <f>IF(I8=0,"",VLOOKUP(I8,Municipalités!$A$2:$B$1290,2,TRUE))</f>
        <v/>
      </c>
    </row>
    <row r="9" spans="1:13" ht="30" customHeight="1" x14ac:dyDescent="0.25">
      <c r="A9" s="45"/>
      <c r="B9" s="45"/>
      <c r="C9" s="39"/>
      <c r="D9" s="47"/>
      <c r="E9" s="27"/>
      <c r="F9" s="31"/>
      <c r="G9" s="82" t="str">
        <f>IF(F9=0,"",VLOOKUP(F9,Employés!$A$2:$B$186,2,0))</f>
        <v/>
      </c>
      <c r="H9" s="82"/>
      <c r="I9" s="35"/>
      <c r="J9" s="33"/>
      <c r="K9" s="19"/>
      <c r="L9" s="20"/>
      <c r="M9" s="37" t="str">
        <f>IF(I9=0,"",VLOOKUP(I9,Municipalités!$A$2:$B$1290,2,TRUE))</f>
        <v/>
      </c>
    </row>
    <row r="10" spans="1:13" ht="30" customHeight="1" x14ac:dyDescent="0.25">
      <c r="A10" s="45"/>
      <c r="B10" s="45"/>
      <c r="C10" s="39"/>
      <c r="D10" s="48"/>
      <c r="E10" s="28"/>
      <c r="F10" s="31"/>
      <c r="G10" s="82" t="str">
        <f>IF(F10=0,"",VLOOKUP(F10,Employés!$A$2:$B$186,2,0))</f>
        <v/>
      </c>
      <c r="H10" s="82"/>
      <c r="I10" s="35"/>
      <c r="J10" s="29"/>
      <c r="K10" s="19"/>
      <c r="L10" s="20"/>
      <c r="M10" s="37" t="str">
        <f>IF(I10=0,"",VLOOKUP(I10,Municipalités!$A$2:$B$1290,2,TRUE))</f>
        <v/>
      </c>
    </row>
    <row r="11" spans="1:13" ht="30" customHeight="1" x14ac:dyDescent="0.25">
      <c r="A11" s="45"/>
      <c r="B11" s="45"/>
      <c r="C11" s="39"/>
      <c r="D11" s="47"/>
      <c r="E11" s="28" t="s">
        <v>1420</v>
      </c>
      <c r="F11" s="31"/>
      <c r="G11" s="82" t="str">
        <f>IF(F11=0,"",VLOOKUP(F11,Employés!$A$2:$B$186,2,0))</f>
        <v/>
      </c>
      <c r="H11" s="82"/>
      <c r="I11" s="35"/>
      <c r="J11" s="29"/>
      <c r="K11" s="19"/>
      <c r="L11" s="20"/>
      <c r="M11" s="37" t="str">
        <f>IF(I11=0,"",VLOOKUP(I11,Municipalités!$A$2:$B$1290,2,TRUE))</f>
        <v/>
      </c>
    </row>
    <row r="12" spans="1:13" ht="30" customHeight="1" x14ac:dyDescent="0.25">
      <c r="A12" s="45"/>
      <c r="B12" s="45"/>
      <c r="C12" s="39"/>
      <c r="D12" s="46"/>
      <c r="E12" s="27"/>
      <c r="F12" s="31"/>
      <c r="G12" s="82" t="str">
        <f>IF(F12=0,"",VLOOKUP(F12,Employés!$A$2:$B$186,2,0))</f>
        <v/>
      </c>
      <c r="H12" s="82"/>
      <c r="I12" s="35"/>
      <c r="J12" s="29"/>
      <c r="K12" s="19"/>
      <c r="L12" s="20"/>
      <c r="M12" s="37" t="str">
        <f>IF(I12=0,"",VLOOKUP(I12,Municipalités!$A$2:$B$1290,2,TRUE))</f>
        <v/>
      </c>
    </row>
    <row r="13" spans="1:13" ht="30" customHeight="1" x14ac:dyDescent="0.25">
      <c r="A13" s="45"/>
      <c r="B13" s="45"/>
      <c r="C13" s="39"/>
      <c r="D13" s="46"/>
      <c r="E13" s="27"/>
      <c r="F13" s="31"/>
      <c r="G13" s="82" t="str">
        <f>IF(F13=0,"",VLOOKUP(F13,Employés!$A$2:$B$186,2,0))</f>
        <v/>
      </c>
      <c r="H13" s="82"/>
      <c r="I13" s="35"/>
      <c r="J13" s="29"/>
      <c r="K13" s="19"/>
      <c r="L13" s="20"/>
      <c r="M13" s="37" t="str">
        <f>IF(I13=0,"",VLOOKUP(I13,Municipalités!$A$2:$B$1290,2,TRUE))</f>
        <v/>
      </c>
    </row>
    <row r="14" spans="1:13" ht="30" customHeight="1" x14ac:dyDescent="0.25">
      <c r="A14" s="45"/>
      <c r="B14" s="45"/>
      <c r="C14" s="39"/>
      <c r="D14" s="47"/>
      <c r="E14" s="27"/>
      <c r="F14" s="31"/>
      <c r="G14" s="82" t="str">
        <f>IF(F14=0,"",VLOOKUP(F14,Employés!$A$2:$B$186,2,0))</f>
        <v/>
      </c>
      <c r="H14" s="82"/>
      <c r="I14" s="35"/>
      <c r="J14" s="29"/>
      <c r="K14" s="19"/>
      <c r="L14" s="20"/>
      <c r="M14" s="37" t="str">
        <f>IF(I14=0,"",VLOOKUP(I14,Municipalités!$A$2:$B$1290,2,TRUE))</f>
        <v/>
      </c>
    </row>
    <row r="15" spans="1:13" ht="30" customHeight="1" x14ac:dyDescent="0.25">
      <c r="A15" s="45"/>
      <c r="B15" s="45"/>
      <c r="C15" s="39"/>
      <c r="D15" s="47"/>
      <c r="E15" s="27"/>
      <c r="F15" s="31"/>
      <c r="G15" s="82" t="str">
        <f>IF(F15=0,"",VLOOKUP(F15,Employés!$A$2:$B$186,2,0))</f>
        <v/>
      </c>
      <c r="H15" s="82"/>
      <c r="I15" s="35"/>
      <c r="J15" s="29"/>
      <c r="K15" s="19"/>
      <c r="L15" s="20"/>
      <c r="M15" s="37" t="str">
        <f>IF(I15=0,"",VLOOKUP(I15,Municipalités!$A$2:$B$1290,2,TRUE))</f>
        <v/>
      </c>
    </row>
    <row r="16" spans="1:13" ht="30" customHeight="1" x14ac:dyDescent="0.25">
      <c r="A16" s="45"/>
      <c r="B16" s="45"/>
      <c r="C16" s="39"/>
      <c r="D16" s="46"/>
      <c r="E16" s="27"/>
      <c r="F16" s="31"/>
      <c r="G16" s="82" t="str">
        <f>IF(F16=0,"",VLOOKUP(F16,Employés!$A$2:$B$186,2,0))</f>
        <v/>
      </c>
      <c r="H16" s="82"/>
      <c r="I16" s="35"/>
      <c r="J16" s="29"/>
      <c r="K16" s="19"/>
      <c r="L16" s="20"/>
      <c r="M16" s="37" t="str">
        <f>IF(I16=0,"",VLOOKUP(I16,Municipalités!$A$2:$B$1290,2,TRUE))</f>
        <v/>
      </c>
    </row>
    <row r="17" spans="1:13" ht="30" customHeight="1" x14ac:dyDescent="0.25">
      <c r="A17" s="45"/>
      <c r="B17" s="45"/>
      <c r="C17" s="39"/>
      <c r="D17" s="46"/>
      <c r="E17" s="27"/>
      <c r="F17" s="31"/>
      <c r="G17" s="82" t="str">
        <f>IF(F17=0,"",VLOOKUP(F17,Employés!$A$2:$B$186,2,0))</f>
        <v/>
      </c>
      <c r="H17" s="82"/>
      <c r="I17" s="35"/>
      <c r="J17" s="29"/>
      <c r="K17" s="19"/>
      <c r="L17" s="20"/>
      <c r="M17" s="37" t="str">
        <f>IF(I17=0,"",VLOOKUP(I17,Municipalités!$A$2:$B$1290,2,TRUE))</f>
        <v/>
      </c>
    </row>
    <row r="18" spans="1:13" ht="30" customHeight="1" x14ac:dyDescent="0.25">
      <c r="A18" s="45"/>
      <c r="B18" s="45"/>
      <c r="C18" s="39"/>
      <c r="D18" s="46"/>
      <c r="E18" s="27"/>
      <c r="F18" s="31"/>
      <c r="G18" s="82" t="str">
        <f>IF(F18=0,"",VLOOKUP(F18,Employés!$A$2:$B$186,2,0))</f>
        <v/>
      </c>
      <c r="H18" s="82"/>
      <c r="I18" s="35"/>
      <c r="J18" s="29"/>
      <c r="K18" s="19"/>
      <c r="L18" s="20"/>
      <c r="M18" s="37" t="str">
        <f>IF(I18=0,"",VLOOKUP(I18,Municipalités!$A$2:$B$1290,2,TRUE))</f>
        <v/>
      </c>
    </row>
    <row r="19" spans="1:13" ht="30" customHeight="1" x14ac:dyDescent="0.25">
      <c r="A19" s="45"/>
      <c r="B19" s="45"/>
      <c r="C19" s="39"/>
      <c r="D19" s="46"/>
      <c r="E19" s="27"/>
      <c r="F19" s="31"/>
      <c r="G19" s="82" t="str">
        <f>IF(F19=0,"",VLOOKUP(F19,Employés!$A$2:$B$186,2,0))</f>
        <v/>
      </c>
      <c r="H19" s="82"/>
      <c r="I19" s="35"/>
      <c r="J19" s="29"/>
      <c r="K19" s="19"/>
      <c r="L19" s="20"/>
      <c r="M19" s="37" t="str">
        <f>IF(I19=0,"",VLOOKUP(I19,Municipalités!$A$2:$B$1290,2,TRUE))</f>
        <v/>
      </c>
    </row>
    <row r="20" spans="1:13" ht="30" customHeight="1" x14ac:dyDescent="0.25">
      <c r="A20" s="45"/>
      <c r="B20" s="45"/>
      <c r="C20" s="39"/>
      <c r="D20" s="47"/>
      <c r="E20" s="27"/>
      <c r="F20" s="31"/>
      <c r="G20" s="82" t="str">
        <f>IF(F20=0,"",VLOOKUP(F20,Employés!$A$2:$B$186,2,0))</f>
        <v/>
      </c>
      <c r="H20" s="82"/>
      <c r="I20" s="35"/>
      <c r="J20" s="29"/>
      <c r="K20" s="19"/>
      <c r="L20" s="20"/>
      <c r="M20" s="37" t="str">
        <f>IF(I20=0,"",VLOOKUP(I20,Municipalités!$A$2:$B$1290,2,TRUE))</f>
        <v/>
      </c>
    </row>
    <row r="21" spans="1:13" ht="30" customHeight="1" x14ac:dyDescent="0.25">
      <c r="A21" s="45"/>
      <c r="B21" s="45"/>
      <c r="C21" s="39"/>
      <c r="D21" s="47"/>
      <c r="E21" s="27"/>
      <c r="F21" s="31"/>
      <c r="G21" s="82" t="str">
        <f>IF(F21=0,"",VLOOKUP(F21,Employés!$A$2:$B$186,2,0))</f>
        <v/>
      </c>
      <c r="H21" s="82"/>
      <c r="I21" s="35"/>
      <c r="J21" s="29"/>
      <c r="K21" s="19"/>
      <c r="L21" s="20"/>
      <c r="M21" s="37" t="str">
        <f>IF(I21=0,"",VLOOKUP(I21,Municipalités!$A$2:$B$1290,2,TRUE))</f>
        <v/>
      </c>
    </row>
    <row r="22" spans="1:13" ht="30" customHeight="1" x14ac:dyDescent="0.25">
      <c r="A22" s="45"/>
      <c r="B22" s="45"/>
      <c r="C22" s="39"/>
      <c r="D22" s="46"/>
      <c r="E22" s="27"/>
      <c r="F22" s="31"/>
      <c r="G22" s="82" t="str">
        <f>IF(F22=0,"",VLOOKUP(F22,Employés!$A$2:$B$186,2,0))</f>
        <v/>
      </c>
      <c r="H22" s="82"/>
      <c r="I22" s="35"/>
      <c r="J22" s="29"/>
      <c r="K22" s="19"/>
      <c r="L22" s="20"/>
      <c r="M22" s="37" t="str">
        <f>IF(I22=0,"",VLOOKUP(I22,Municipalités!$A$2:$B$1290,2,TRUE))</f>
        <v/>
      </c>
    </row>
    <row r="23" spans="1:13" ht="30" customHeight="1" x14ac:dyDescent="0.25">
      <c r="A23" s="45"/>
      <c r="B23" s="45"/>
      <c r="C23" s="39"/>
      <c r="D23" s="46"/>
      <c r="E23" s="27"/>
      <c r="F23" s="31"/>
      <c r="G23" s="82" t="str">
        <f>IF(F23=0,"",VLOOKUP(F23,Employés!$A$2:$B$186,2,0))</f>
        <v/>
      </c>
      <c r="H23" s="82"/>
      <c r="I23" s="35"/>
      <c r="J23" s="29"/>
      <c r="K23" s="19"/>
      <c r="L23" s="20"/>
      <c r="M23" s="37" t="str">
        <f>IF(I23=0,"",VLOOKUP(I23,Municipalités!$A$2:$B$1290,2,TRUE))</f>
        <v/>
      </c>
    </row>
    <row r="24" spans="1:13" ht="30" customHeight="1" x14ac:dyDescent="0.25">
      <c r="A24" s="45"/>
      <c r="B24" s="45"/>
      <c r="C24" s="39"/>
      <c r="D24" s="46"/>
      <c r="E24" s="27"/>
      <c r="F24" s="31"/>
      <c r="G24" s="82" t="str">
        <f>IF(F24=0,"",VLOOKUP(F24,Employés!$A$2:$B$186,2,0))</f>
        <v/>
      </c>
      <c r="H24" s="82"/>
      <c r="I24" s="35"/>
      <c r="J24" s="29"/>
      <c r="K24" s="19"/>
      <c r="L24" s="20"/>
      <c r="M24" s="37" t="str">
        <f>IF(I24=0,"",VLOOKUP(I24,Municipalités!$A$2:$B$1290,2,TRUE))</f>
        <v/>
      </c>
    </row>
    <row r="25" spans="1:13" ht="30" customHeight="1" x14ac:dyDescent="0.25">
      <c r="A25" s="45"/>
      <c r="B25" s="45"/>
      <c r="C25" s="39"/>
      <c r="D25" s="46"/>
      <c r="E25" s="27"/>
      <c r="F25" s="31"/>
      <c r="G25" s="82" t="str">
        <f>IF(F25=0,"",VLOOKUP(F25,Employés!$A$2:$B$186,2,0))</f>
        <v/>
      </c>
      <c r="H25" s="82"/>
      <c r="I25" s="35"/>
      <c r="J25" s="29"/>
      <c r="K25" s="19"/>
      <c r="L25" s="20"/>
      <c r="M25" s="37" t="str">
        <f>IF(I25=0,"",VLOOKUP(I25,Municipalités!$A$2:$B$1290,2,TRUE))</f>
        <v/>
      </c>
    </row>
    <row r="26" spans="1:13" ht="30" customHeight="1" x14ac:dyDescent="0.25">
      <c r="A26" s="45"/>
      <c r="B26" s="45"/>
      <c r="C26" s="39"/>
      <c r="D26" s="46"/>
      <c r="E26" s="27"/>
      <c r="F26" s="31"/>
      <c r="G26" s="82" t="str">
        <f>IF(F26=0,"",VLOOKUP(F26,Employés!$A$2:$B$186,2,0))</f>
        <v/>
      </c>
      <c r="H26" s="82"/>
      <c r="I26" s="35"/>
      <c r="J26" s="29"/>
      <c r="K26" s="19"/>
      <c r="L26" s="20"/>
      <c r="M26" s="37" t="str">
        <f>IF(I26=0,"",VLOOKUP(I26,Municipalités!$A$2:$B$1290,2,TRUE))</f>
        <v/>
      </c>
    </row>
    <row r="27" spans="1:13" ht="30" customHeight="1" x14ac:dyDescent="0.25">
      <c r="A27" s="45"/>
      <c r="B27" s="45"/>
      <c r="C27" s="39"/>
      <c r="D27" s="46"/>
      <c r="E27" s="27"/>
      <c r="F27" s="31"/>
      <c r="G27" s="82" t="str">
        <f>IF(F27=0,"",VLOOKUP(F27,Employés!$A$2:$B$186,2,0))</f>
        <v/>
      </c>
      <c r="H27" s="82"/>
      <c r="I27" s="35"/>
      <c r="J27" s="29"/>
      <c r="K27" s="19"/>
      <c r="L27" s="20"/>
      <c r="M27" s="37" t="str">
        <f>IF(I27=0,"",VLOOKUP(I27,Municipalités!$A$2:$B$1290,2,TRUE))</f>
        <v/>
      </c>
    </row>
    <row r="28" spans="1:13" ht="30" customHeight="1" x14ac:dyDescent="0.25">
      <c r="A28" s="45"/>
      <c r="B28" s="45"/>
      <c r="C28" s="39"/>
      <c r="D28" s="46"/>
      <c r="E28" s="27"/>
      <c r="F28" s="31"/>
      <c r="G28" s="82" t="str">
        <f>IF(F28=0,"",VLOOKUP(F28,Employés!$A$2:$B$186,2,0))</f>
        <v/>
      </c>
      <c r="H28" s="82"/>
      <c r="I28" s="35"/>
      <c r="J28" s="29"/>
      <c r="K28" s="19"/>
      <c r="L28" s="20"/>
      <c r="M28" s="37" t="str">
        <f>IF(I28=0,"",VLOOKUP(I28,Municipalités!$A$2:$B$1290,2,TRUE))</f>
        <v/>
      </c>
    </row>
    <row r="29" spans="1:13" ht="30" customHeight="1" x14ac:dyDescent="0.25">
      <c r="A29" s="45"/>
      <c r="B29" s="45"/>
      <c r="C29" s="39"/>
      <c r="D29" s="46"/>
      <c r="E29" s="27"/>
      <c r="F29" s="31"/>
      <c r="G29" s="82" t="str">
        <f>IF(F29=0,"",VLOOKUP(F29,Employés!$A$2:$B$186,2,0))</f>
        <v/>
      </c>
      <c r="H29" s="82"/>
      <c r="I29" s="35"/>
      <c r="J29" s="29"/>
      <c r="K29" s="19"/>
      <c r="L29" s="20"/>
      <c r="M29" s="37" t="str">
        <f>IF(I29=0,"",VLOOKUP(I29,Municipalités!$A$2:$B$1290,2,TRUE))</f>
        <v/>
      </c>
    </row>
    <row r="30" spans="1:13" ht="30" customHeight="1" x14ac:dyDescent="0.25">
      <c r="A30" s="45"/>
      <c r="B30" s="45"/>
      <c r="C30" s="39"/>
      <c r="D30" s="46"/>
      <c r="E30" s="27"/>
      <c r="F30" s="31"/>
      <c r="G30" s="82" t="str">
        <f>IF(F30=0,"",VLOOKUP(F30,Employés!$A$2:$B$186,2,0))</f>
        <v/>
      </c>
      <c r="H30" s="82"/>
      <c r="I30" s="35"/>
      <c r="J30" s="29"/>
      <c r="K30" s="19"/>
      <c r="L30" s="20"/>
      <c r="M30" s="37" t="str">
        <f>IF(I30=0,"",VLOOKUP(I30,Municipalités!$A$2:$B$1290,2,TRUE))</f>
        <v/>
      </c>
    </row>
    <row r="31" spans="1:13" ht="30" customHeight="1" x14ac:dyDescent="0.25">
      <c r="A31" s="45"/>
      <c r="B31" s="45"/>
      <c r="C31" s="39"/>
      <c r="D31" s="47"/>
      <c r="E31" s="27"/>
      <c r="F31" s="31"/>
      <c r="G31" s="82" t="str">
        <f>IF(F31=0,"",VLOOKUP(F31,Employés!$A$2:$B$186,2,0))</f>
        <v/>
      </c>
      <c r="H31" s="82"/>
      <c r="I31" s="35"/>
      <c r="J31" s="29"/>
      <c r="K31" s="19"/>
      <c r="L31" s="20"/>
      <c r="M31" s="37" t="str">
        <f>IF(I31=0,"",VLOOKUP(I31,Municipalités!$A$2:$B$1290,2,TRUE))</f>
        <v/>
      </c>
    </row>
    <row r="32" spans="1:13" ht="30" customHeight="1" x14ac:dyDescent="0.25">
      <c r="A32" s="45"/>
      <c r="B32" s="45"/>
      <c r="C32" s="39"/>
      <c r="D32" s="46"/>
      <c r="E32" s="27"/>
      <c r="F32" s="31"/>
      <c r="G32" s="82" t="str">
        <f>IF(F32=0,"",VLOOKUP(F32,Employés!$A$2:$B$186,2,0))</f>
        <v/>
      </c>
      <c r="H32" s="82"/>
      <c r="I32" s="35"/>
      <c r="J32" s="29"/>
      <c r="K32" s="19"/>
      <c r="L32" s="20"/>
      <c r="M32" s="37" t="str">
        <f>IF(I32=0,"",VLOOKUP(I32,Municipalités!$A$2:$B$1290,2,TRUE))</f>
        <v/>
      </c>
    </row>
    <row r="33" spans="1:13" ht="30" customHeight="1" x14ac:dyDescent="0.25">
      <c r="A33" s="45"/>
      <c r="B33" s="45"/>
      <c r="C33" s="39"/>
      <c r="D33" s="46"/>
      <c r="E33" s="27"/>
      <c r="F33" s="31"/>
      <c r="G33" s="82" t="str">
        <f>IF(F33=0,"",VLOOKUP(F33,Employés!$A$2:$B$186,2,0))</f>
        <v/>
      </c>
      <c r="H33" s="82"/>
      <c r="I33" s="35"/>
      <c r="J33" s="29"/>
      <c r="K33" s="19"/>
      <c r="L33" s="20"/>
      <c r="M33" s="37" t="str">
        <f>IF(I33=0,"",VLOOKUP(I33,Municipalités!$A$2:$B$1290,2,TRUE))</f>
        <v/>
      </c>
    </row>
    <row r="34" spans="1:13" ht="30" customHeight="1" x14ac:dyDescent="0.25">
      <c r="A34" s="45"/>
      <c r="B34" s="45"/>
      <c r="C34" s="39"/>
      <c r="D34" s="46"/>
      <c r="E34" s="27"/>
      <c r="F34" s="31"/>
      <c r="G34" s="82" t="str">
        <f>IF(F34=0,"",VLOOKUP(F34,Employés!$A$2:$B$186,2,0))</f>
        <v/>
      </c>
      <c r="H34" s="82"/>
      <c r="I34" s="35"/>
      <c r="J34" s="29"/>
      <c r="K34" s="19"/>
      <c r="L34" s="20"/>
      <c r="M34" s="37" t="str">
        <f>IF(I34=0,"",VLOOKUP(I34,Municipalités!$A$2:$B$1290,2,TRUE))</f>
        <v/>
      </c>
    </row>
    <row r="35" spans="1:13" ht="30" customHeight="1" x14ac:dyDescent="0.25">
      <c r="A35" s="45"/>
      <c r="B35" s="45"/>
      <c r="C35" s="30"/>
      <c r="D35" s="46"/>
      <c r="E35" s="27"/>
      <c r="F35" s="31"/>
      <c r="G35" s="82" t="str">
        <f>IF(F35=0,"",VLOOKUP(F35,Employés!$A$2:$B$186,2,0))</f>
        <v/>
      </c>
      <c r="H35" s="82"/>
      <c r="I35" s="35"/>
      <c r="J35" s="29"/>
      <c r="K35" s="19"/>
      <c r="L35" s="20"/>
      <c r="M35" s="37" t="str">
        <f>IF(I35=0,"",VLOOKUP(I35,Municipalités!$A$2:$B$1290,2,TRUE))</f>
        <v/>
      </c>
    </row>
    <row r="36" spans="1:13" ht="30" customHeight="1" x14ac:dyDescent="0.25">
      <c r="A36" s="45"/>
      <c r="B36" s="45"/>
      <c r="C36" s="30"/>
      <c r="D36" s="46"/>
      <c r="E36" s="27"/>
      <c r="F36" s="31"/>
      <c r="G36" s="82" t="str">
        <f>IF(F36=0,"",VLOOKUP(F36,Employés!$A$2:$B$186,2,0))</f>
        <v/>
      </c>
      <c r="H36" s="82"/>
      <c r="I36" s="35"/>
      <c r="J36" s="29"/>
      <c r="K36" s="19"/>
      <c r="L36" s="20"/>
      <c r="M36" s="37" t="str">
        <f>IF(I36=0,"",VLOOKUP(I36,Municipalités!$A$2:$B$1290,2,TRUE))</f>
        <v/>
      </c>
    </row>
    <row r="37" spans="1:13" ht="30" customHeight="1" x14ac:dyDescent="0.25">
      <c r="A37" s="45"/>
      <c r="B37" s="45"/>
      <c r="C37" s="39"/>
      <c r="D37" s="46"/>
      <c r="E37" s="27"/>
      <c r="F37" s="31"/>
      <c r="G37" s="82" t="str">
        <f>IF(F37=0,"",VLOOKUP(F37,Employés!$A$2:$B$186,2,0))</f>
        <v/>
      </c>
      <c r="H37" s="82"/>
      <c r="I37" s="35"/>
      <c r="J37" s="29"/>
      <c r="K37" s="19"/>
      <c r="L37" s="20"/>
      <c r="M37" s="37" t="str">
        <f>IF(I37=0,"",VLOOKUP(I37,Municipalités!$A$2:$B$1290,2,TRUE))</f>
        <v/>
      </c>
    </row>
    <row r="38" spans="1:13" ht="30" customHeight="1" x14ac:dyDescent="0.25">
      <c r="A38" s="45"/>
      <c r="B38" s="45"/>
      <c r="C38" s="39"/>
      <c r="D38" s="47"/>
      <c r="E38" s="27"/>
      <c r="F38" s="31"/>
      <c r="G38" s="82" t="str">
        <f>IF(F38=0,"",VLOOKUP(F38,Employés!$A$2:$B$186,2,0))</f>
        <v/>
      </c>
      <c r="H38" s="82"/>
      <c r="I38" s="35"/>
      <c r="J38" s="29"/>
      <c r="K38" s="19"/>
      <c r="L38" s="20"/>
      <c r="M38" s="37" t="str">
        <f>IF(I38=0,"",VLOOKUP(I38,Municipalités!$A$2:$B$1290,2,TRUE))</f>
        <v/>
      </c>
    </row>
    <row r="39" spans="1:13" ht="30" customHeight="1" x14ac:dyDescent="0.25">
      <c r="A39" s="45"/>
      <c r="B39" s="45"/>
      <c r="C39" s="39"/>
      <c r="D39" s="45"/>
      <c r="E39" s="27"/>
      <c r="F39" s="31"/>
      <c r="G39" s="82" t="str">
        <f>IF(F39=0,"",VLOOKUP(F39,Employés!$A$2:$B$186,2,0))</f>
        <v/>
      </c>
      <c r="H39" s="82"/>
      <c r="I39" s="35"/>
      <c r="J39" s="29"/>
      <c r="K39" s="26"/>
      <c r="L39" s="25"/>
      <c r="M39" s="37" t="str">
        <f>IF(I39=0,"",VLOOKUP(I39,Municipalités!$A$2:$B$1290,2,TRUE))</f>
        <v/>
      </c>
    </row>
    <row r="40" spans="1:13" ht="30" customHeight="1" x14ac:dyDescent="0.25">
      <c r="A40" s="8"/>
      <c r="B40" s="8"/>
      <c r="C40" s="30"/>
      <c r="D40" s="8"/>
      <c r="E40" s="27"/>
      <c r="F40" s="31"/>
      <c r="G40" s="82" t="str">
        <f>IF(F40=0,"",VLOOKUP(F40,Employés!$A$2:$B$186,2,0))</f>
        <v/>
      </c>
      <c r="H40" s="82"/>
      <c r="I40" s="35"/>
      <c r="J40" s="29"/>
      <c r="K40" s="26"/>
      <c r="L40" s="25"/>
      <c r="M40" s="37" t="str">
        <f>IF(I40=0,"",VLOOKUP(I40,Municipalités!$A$2:$B$1290,2,TRUE))</f>
        <v/>
      </c>
    </row>
    <row r="41" spans="1:13" ht="30" customHeight="1" x14ac:dyDescent="0.25">
      <c r="A41" s="8"/>
      <c r="B41" s="8"/>
      <c r="C41" s="30"/>
      <c r="D41" s="8"/>
      <c r="E41" s="27"/>
      <c r="F41" s="31"/>
      <c r="G41" s="82" t="str">
        <f>IF(F41=0,"",VLOOKUP(F41,Employés!$A$2:$B$186,2,0))</f>
        <v/>
      </c>
      <c r="H41" s="82"/>
      <c r="I41" s="35"/>
      <c r="J41" s="29"/>
      <c r="K41" s="26"/>
      <c r="L41" s="25"/>
      <c r="M41" s="37" t="str">
        <f>IF(I41=0,"",VLOOKUP(I41,Municipalités!$A$2:$B$1290,2,TRUE))</f>
        <v/>
      </c>
    </row>
    <row r="42" spans="1:13" ht="30" customHeight="1" x14ac:dyDescent="0.25">
      <c r="A42" s="8"/>
      <c r="B42" s="8"/>
      <c r="C42" s="30"/>
      <c r="D42" s="8"/>
      <c r="E42" s="27"/>
      <c r="F42" s="31"/>
      <c r="G42" s="82" t="str">
        <f>IF(F42=0,"",VLOOKUP(F42,Employés!$A$2:$B$186,2,0))</f>
        <v/>
      </c>
      <c r="H42" s="82"/>
      <c r="I42" s="35"/>
      <c r="J42" s="29"/>
      <c r="K42" s="26"/>
      <c r="L42" s="25"/>
      <c r="M42" s="37" t="str">
        <f>IF(I42=0,"",VLOOKUP(I42,Municipalités!$A$2:$B$1290,2,TRUE))</f>
        <v/>
      </c>
    </row>
    <row r="43" spans="1:13" ht="30" customHeight="1" x14ac:dyDescent="0.25">
      <c r="A43" s="8"/>
      <c r="B43" s="8"/>
      <c r="C43" s="30"/>
      <c r="D43" s="8"/>
      <c r="E43" s="27" t="s">
        <v>1420</v>
      </c>
      <c r="F43" s="31"/>
      <c r="G43" s="82" t="str">
        <f>IF(F43=0,"",VLOOKUP(F43,Employés!$A$2:$B$186,2,0))</f>
        <v/>
      </c>
      <c r="H43" s="82"/>
      <c r="I43" s="35"/>
      <c r="J43" s="29"/>
      <c r="K43" s="26"/>
      <c r="L43" s="25" t="s">
        <v>1420</v>
      </c>
      <c r="M43" s="37" t="str">
        <f>IF(I43=0,"",VLOOKUP(I43,Municipalités!$A$2:$B$1290,2,TRUE))</f>
        <v/>
      </c>
    </row>
    <row r="44" spans="1:13" ht="30" customHeight="1" x14ac:dyDescent="0.25">
      <c r="A44" s="8"/>
      <c r="B44" s="8"/>
      <c r="C44" s="30"/>
      <c r="D44" s="8"/>
      <c r="E44" s="27"/>
      <c r="F44" s="31"/>
      <c r="G44" s="82" t="str">
        <f>IF(F44=0,"",VLOOKUP(F44,Employés!$A$2:$B$186,2,0))</f>
        <v/>
      </c>
      <c r="H44" s="82"/>
      <c r="I44" s="35"/>
      <c r="J44" s="29"/>
      <c r="K44" s="26"/>
      <c r="L44" s="25"/>
      <c r="M44" s="37" t="str">
        <f>IF(I44=0,"",VLOOKUP(I44,Municipalités!$A$2:$B$1290,2,TRUE))</f>
        <v/>
      </c>
    </row>
    <row r="45" spans="1:13" ht="30" customHeight="1" x14ac:dyDescent="0.25">
      <c r="A45" s="8"/>
      <c r="B45" s="8"/>
      <c r="C45" s="30"/>
      <c r="D45" s="8"/>
      <c r="E45" s="27"/>
      <c r="F45" s="31"/>
      <c r="G45" s="82" t="str">
        <f>IF(F45=0,"",VLOOKUP(F45,Employés!$A$2:$B$186,2,0))</f>
        <v/>
      </c>
      <c r="H45" s="82"/>
      <c r="I45" s="35"/>
      <c r="J45" s="29"/>
      <c r="K45" s="26"/>
      <c r="L45" s="25"/>
      <c r="M45" s="37" t="str">
        <f>IF(I45=0,"",VLOOKUP(I45,Municipalités!$A$2:$B$1290,2,TRUE))</f>
        <v/>
      </c>
    </row>
    <row r="46" spans="1:13" ht="30" customHeight="1" x14ac:dyDescent="0.25">
      <c r="A46" s="8"/>
      <c r="B46" s="8"/>
      <c r="C46" s="30"/>
      <c r="D46" s="8"/>
      <c r="E46" s="27"/>
      <c r="F46" s="31"/>
      <c r="G46" s="82" t="str">
        <f>IF(F46=0,"",VLOOKUP(F46,Employés!$A$2:$B$186,2,0))</f>
        <v/>
      </c>
      <c r="H46" s="82"/>
      <c r="I46" s="35"/>
      <c r="J46" s="29"/>
      <c r="K46" s="26"/>
      <c r="L46" s="25"/>
      <c r="M46" s="37" t="str">
        <f>IF(I46=0,"",VLOOKUP(I46,Municipalités!$A$2:$B$1290,2,TRUE))</f>
        <v/>
      </c>
    </row>
    <row r="47" spans="1:13" ht="30" customHeight="1" x14ac:dyDescent="0.25">
      <c r="A47" s="8"/>
      <c r="B47" s="8"/>
      <c r="C47" s="30"/>
      <c r="D47" s="8"/>
      <c r="E47" s="27"/>
      <c r="F47" s="31"/>
      <c r="G47" s="82" t="str">
        <f>IF(F47=0,"",VLOOKUP(F47,Employés!$A$2:$B$186,2,0))</f>
        <v/>
      </c>
      <c r="H47" s="82"/>
      <c r="I47" s="35"/>
      <c r="J47" s="29"/>
      <c r="K47" s="26"/>
      <c r="L47" s="25"/>
      <c r="M47" s="37" t="str">
        <f>IF(I47=0,"",VLOOKUP(I47,Municipalités!$A$2:$B$1290,2,TRUE))</f>
        <v/>
      </c>
    </row>
    <row r="48" spans="1:13" ht="30" customHeight="1" x14ac:dyDescent="0.25">
      <c r="A48" s="8"/>
      <c r="B48" s="8"/>
      <c r="C48" s="30"/>
      <c r="D48" s="8"/>
      <c r="E48" s="27"/>
      <c r="F48" s="31"/>
      <c r="G48" s="82" t="str">
        <f>IF(F48=0,"",VLOOKUP(F48,Employés!$A$2:$B$186,2,0))</f>
        <v/>
      </c>
      <c r="H48" s="82"/>
      <c r="I48" s="35"/>
      <c r="J48" s="29"/>
      <c r="K48" s="26"/>
      <c r="L48" s="25"/>
      <c r="M48" s="37" t="str">
        <f>IF(I48=0,"",VLOOKUP(I48,Municipalités!$A$2:$B$1290,2,TRUE))</f>
        <v/>
      </c>
    </row>
    <row r="49" spans="1:13" ht="30" customHeight="1" x14ac:dyDescent="0.25">
      <c r="A49" s="8"/>
      <c r="B49" s="8"/>
      <c r="C49" s="30"/>
      <c r="D49" s="8"/>
      <c r="E49" s="27"/>
      <c r="F49" s="31"/>
      <c r="G49" s="82" t="str">
        <f>IF(F49=0,"",VLOOKUP(F49,Employés!$A$2:$B$186,2,0))</f>
        <v/>
      </c>
      <c r="H49" s="82"/>
      <c r="I49" s="35"/>
      <c r="J49" s="29"/>
      <c r="K49" s="26"/>
      <c r="L49" s="25"/>
      <c r="M49" s="37" t="str">
        <f>IF(I49=0,"",VLOOKUP(I49,Municipalités!$A$2:$B$1290,2,TRUE))</f>
        <v/>
      </c>
    </row>
    <row r="50" spans="1:13" ht="30" customHeight="1" x14ac:dyDescent="0.25">
      <c r="A50" s="8"/>
      <c r="B50" s="8"/>
      <c r="C50" s="30"/>
      <c r="D50" s="8"/>
      <c r="E50" s="27"/>
      <c r="F50" s="31"/>
      <c r="G50" s="82" t="str">
        <f>IF(F50=0,"",VLOOKUP(F50,Employés!$A$2:$B$186,2,0))</f>
        <v/>
      </c>
      <c r="H50" s="82"/>
      <c r="I50" s="35"/>
      <c r="J50" s="29"/>
      <c r="K50" s="26"/>
      <c r="L50" s="25"/>
      <c r="M50" s="37" t="str">
        <f>IF(I50=0,"",VLOOKUP(I50,Municipalités!$A$2:$B$1290,2,TRUE))</f>
        <v/>
      </c>
    </row>
    <row r="51" spans="1:13" ht="30" customHeight="1" x14ac:dyDescent="0.25">
      <c r="A51" s="8"/>
      <c r="B51" s="8"/>
      <c r="C51" s="30"/>
      <c r="D51" s="8"/>
      <c r="E51" s="27"/>
      <c r="F51" s="31"/>
      <c r="G51" s="82" t="str">
        <f>IF(F51=0,"",VLOOKUP(F51,Employés!$A$2:$B$186,2,0))</f>
        <v/>
      </c>
      <c r="H51" s="82"/>
      <c r="I51" s="35"/>
      <c r="J51" s="29"/>
      <c r="K51" s="26"/>
      <c r="L51" s="25"/>
      <c r="M51" s="37" t="str">
        <f>IF(I51=0,"",VLOOKUP(I51,Municipalités!$A$2:$B$1290,2,TRUE))</f>
        <v/>
      </c>
    </row>
    <row r="52" spans="1:13" ht="30" customHeight="1" x14ac:dyDescent="0.25">
      <c r="A52" s="8"/>
      <c r="B52" s="8"/>
      <c r="C52" s="30"/>
      <c r="D52" s="8"/>
      <c r="E52" s="27"/>
      <c r="F52" s="31"/>
      <c r="G52" s="82" t="str">
        <f>IF(F52=0,"",VLOOKUP(F52,Employés!$A$2:$B$186,2,0))</f>
        <v/>
      </c>
      <c r="H52" s="82"/>
      <c r="I52" s="35"/>
      <c r="J52" s="29"/>
      <c r="K52" s="26"/>
      <c r="L52" s="25"/>
      <c r="M52" s="37" t="str">
        <f>IF(I52=0,"",VLOOKUP(I52,Municipalités!$A$2:$B$1290,2,TRUE))</f>
        <v/>
      </c>
    </row>
    <row r="53" spans="1:13" ht="30" customHeight="1" x14ac:dyDescent="0.25">
      <c r="A53" s="8"/>
      <c r="B53" s="8"/>
      <c r="C53" s="30"/>
      <c r="D53" s="8"/>
      <c r="E53" s="27"/>
      <c r="F53" s="31"/>
      <c r="G53" s="82" t="str">
        <f>IF(F53=0,"",VLOOKUP(F53,Employés!$A$2:$B$186,2,0))</f>
        <v/>
      </c>
      <c r="H53" s="82"/>
      <c r="I53" s="35"/>
      <c r="J53" s="29"/>
      <c r="K53" s="26"/>
      <c r="L53" s="25"/>
      <c r="M53" s="37" t="str">
        <f>IF(I53=0,"",VLOOKUP(I53,Municipalités!$A$2:$B$1290,2,TRUE))</f>
        <v/>
      </c>
    </row>
    <row r="54" spans="1:13" ht="30" customHeight="1" x14ac:dyDescent="0.25">
      <c r="A54" s="8"/>
      <c r="B54" s="8"/>
      <c r="C54" s="30"/>
      <c r="D54" s="8"/>
      <c r="E54" s="27"/>
      <c r="F54" s="31"/>
      <c r="G54" s="82" t="str">
        <f>IF(F54=0,"",VLOOKUP(F54,Employés!$A$2:$B$186,2,0))</f>
        <v/>
      </c>
      <c r="H54" s="82"/>
      <c r="I54" s="35"/>
      <c r="J54" s="29"/>
      <c r="K54" s="26"/>
      <c r="L54" s="25"/>
      <c r="M54" s="37" t="str">
        <f>IF(I54=0,"",VLOOKUP(I54,Municipalités!$A$2:$B$1290,2,TRUE))</f>
        <v/>
      </c>
    </row>
    <row r="55" spans="1:13" ht="30" customHeight="1" x14ac:dyDescent="0.25">
      <c r="A55" s="8"/>
      <c r="B55" s="8"/>
      <c r="C55" s="30"/>
      <c r="D55" s="8"/>
      <c r="E55" s="27"/>
      <c r="F55" s="31"/>
      <c r="G55" s="82" t="str">
        <f>IF(F55=0,"",VLOOKUP(F55,Employés!$A$2:$B$186,2,0))</f>
        <v/>
      </c>
      <c r="H55" s="82"/>
      <c r="I55" s="35"/>
      <c r="J55" s="29"/>
      <c r="K55" s="26"/>
      <c r="L55" s="25"/>
      <c r="M55" s="37" t="str">
        <f>IF(I55=0,"",VLOOKUP(I55,Municipalités!$A$2:$B$1290,2,TRUE))</f>
        <v/>
      </c>
    </row>
    <row r="56" spans="1:13" ht="30" customHeight="1" x14ac:dyDescent="0.25">
      <c r="A56" s="8"/>
      <c r="B56" s="8"/>
      <c r="C56" s="30"/>
      <c r="D56" s="8"/>
      <c r="E56" s="27"/>
      <c r="F56" s="31"/>
      <c r="G56" s="82" t="str">
        <f>IF(F56=0,"",VLOOKUP(F56,Employés!$A$2:$B$186,2,0))</f>
        <v/>
      </c>
      <c r="H56" s="82"/>
      <c r="I56" s="35"/>
      <c r="J56" s="29"/>
      <c r="K56" s="26"/>
      <c r="L56" s="25"/>
      <c r="M56" s="37" t="str">
        <f>IF(I56=0,"",VLOOKUP(I56,Municipalités!$A$2:$B$1290,2,TRUE))</f>
        <v/>
      </c>
    </row>
    <row r="57" spans="1:13" ht="30" customHeight="1" x14ac:dyDescent="0.25">
      <c r="A57" s="8"/>
      <c r="B57" s="8"/>
      <c r="C57" s="30"/>
      <c r="D57" s="8"/>
      <c r="E57" s="27"/>
      <c r="F57" s="31"/>
      <c r="G57" s="82" t="str">
        <f>IF(F57=0,"",VLOOKUP(F57,Employés!$A$2:$B$186,2,0))</f>
        <v/>
      </c>
      <c r="H57" s="82"/>
      <c r="I57" s="35"/>
      <c r="J57" s="29"/>
      <c r="K57" s="26"/>
      <c r="L57" s="25"/>
      <c r="M57" s="37" t="str">
        <f>IF(I57=0,"",VLOOKUP(I57,Municipalités!$A$2:$B$1290,2,TRUE))</f>
        <v/>
      </c>
    </row>
    <row r="58" spans="1:13" ht="30" customHeight="1" x14ac:dyDescent="0.25">
      <c r="A58" s="8"/>
      <c r="B58" s="8"/>
      <c r="C58" s="30"/>
      <c r="D58" s="8"/>
      <c r="E58" s="27"/>
      <c r="F58" s="31"/>
      <c r="G58" s="82" t="str">
        <f>IF(F58=0,"",VLOOKUP(F58,Employés!$A$2:$B$186,2,0))</f>
        <v/>
      </c>
      <c r="H58" s="82"/>
      <c r="I58" s="35"/>
      <c r="J58" s="29"/>
      <c r="K58" s="26"/>
      <c r="L58" s="25"/>
      <c r="M58" s="37" t="str">
        <f>IF(I58=0,"",VLOOKUP(I58,Municipalités!$A$2:$B$1290,2,TRUE))</f>
        <v/>
      </c>
    </row>
    <row r="59" spans="1:13" ht="30" customHeight="1" x14ac:dyDescent="0.25">
      <c r="A59" s="8"/>
      <c r="B59" s="8"/>
      <c r="C59" s="30"/>
      <c r="D59" s="8"/>
      <c r="E59" s="27"/>
      <c r="F59" s="31"/>
      <c r="G59" s="82" t="str">
        <f>IF(F59=0,"",VLOOKUP(F59,Employés!$A$2:$B$186,2,0))</f>
        <v/>
      </c>
      <c r="H59" s="82"/>
      <c r="I59" s="35"/>
      <c r="J59" s="29"/>
      <c r="K59" s="26"/>
      <c r="L59" s="25"/>
      <c r="M59" s="37" t="str">
        <f>IF(I59=0,"",VLOOKUP(I59,Municipalités!$A$2:$B$1290,2,TRUE))</f>
        <v/>
      </c>
    </row>
    <row r="60" spans="1:13" ht="30" customHeight="1" x14ac:dyDescent="0.25">
      <c r="A60" s="8"/>
      <c r="B60" s="8"/>
      <c r="C60" s="30"/>
      <c r="D60" s="8"/>
      <c r="E60" s="27"/>
      <c r="F60" s="31"/>
      <c r="G60" s="82" t="str">
        <f>IF(F60=0,"",VLOOKUP(F60,Employés!$A$2:$B$186,2,0))</f>
        <v/>
      </c>
      <c r="H60" s="82"/>
      <c r="I60" s="35"/>
      <c r="J60" s="29"/>
      <c r="K60" s="26"/>
      <c r="L60" s="25"/>
      <c r="M60" s="37" t="str">
        <f>IF(I60=0,"",VLOOKUP(I60,Municipalités!$A$2:$B$1290,2,TRUE))</f>
        <v/>
      </c>
    </row>
    <row r="61" spans="1:13" ht="30" customHeight="1" x14ac:dyDescent="0.25">
      <c r="A61" s="8"/>
      <c r="B61" s="8"/>
      <c r="C61" s="30"/>
      <c r="D61" s="8"/>
      <c r="E61" s="27"/>
      <c r="F61" s="31"/>
      <c r="G61" s="82" t="str">
        <f>IF(F61=0,"",VLOOKUP(F61,Employés!$A$2:$B$186,2,0))</f>
        <v/>
      </c>
      <c r="H61" s="82"/>
      <c r="I61" s="35"/>
      <c r="J61" s="29"/>
      <c r="K61" s="26"/>
      <c r="L61" s="25"/>
      <c r="M61" s="37" t="str">
        <f>IF(I61=0,"",VLOOKUP(I61,Municipalités!$A$2:$B$1290,2,TRUE))</f>
        <v/>
      </c>
    </row>
    <row r="62" spans="1:13" x14ac:dyDescent="0.25">
      <c r="C62" s="14"/>
    </row>
    <row r="63" spans="1:13" x14ac:dyDescent="0.25">
      <c r="C63" s="14"/>
    </row>
    <row r="64" spans="1:13" x14ac:dyDescent="0.25">
      <c r="C64" s="14"/>
    </row>
    <row r="65" spans="3:5" x14ac:dyDescent="0.25">
      <c r="C65" s="14"/>
    </row>
    <row r="66" spans="3:5" x14ac:dyDescent="0.25">
      <c r="C66" s="14"/>
    </row>
    <row r="67" spans="3:5" x14ac:dyDescent="0.25">
      <c r="C67" s="14"/>
    </row>
    <row r="68" spans="3:5" x14ac:dyDescent="0.25">
      <c r="C68" s="14"/>
    </row>
    <row r="69" spans="3:5" x14ac:dyDescent="0.25">
      <c r="C69" s="14"/>
    </row>
    <row r="70" spans="3:5" x14ac:dyDescent="0.25">
      <c r="C70" s="14"/>
    </row>
    <row r="71" spans="3:5" x14ac:dyDescent="0.25">
      <c r="C71" s="14"/>
    </row>
    <row r="72" spans="3:5" x14ac:dyDescent="0.25">
      <c r="C72" s="14"/>
    </row>
    <row r="73" spans="3:5" x14ac:dyDescent="0.25">
      <c r="C73" s="14"/>
    </row>
    <row r="74" spans="3:5" x14ac:dyDescent="0.25">
      <c r="C74" s="14"/>
    </row>
    <row r="75" spans="3:5" x14ac:dyDescent="0.25">
      <c r="C75" s="14"/>
    </row>
    <row r="76" spans="3:5" x14ac:dyDescent="0.25">
      <c r="C76" s="14"/>
    </row>
    <row r="77" spans="3:5" x14ac:dyDescent="0.25">
      <c r="C77" s="14"/>
    </row>
    <row r="78" spans="3:5" x14ac:dyDescent="0.25">
      <c r="C78" s="14"/>
      <c r="E78" s="21" t="s">
        <v>1420</v>
      </c>
    </row>
    <row r="79" spans="3:5" x14ac:dyDescent="0.25">
      <c r="C79" s="14"/>
    </row>
    <row r="80" spans="3:5" x14ac:dyDescent="0.25">
      <c r="C80" s="14"/>
    </row>
    <row r="81" spans="3:3" x14ac:dyDescent="0.25">
      <c r="C81" s="14"/>
    </row>
    <row r="82" spans="3:3" x14ac:dyDescent="0.25">
      <c r="C82" s="14"/>
    </row>
    <row r="83" spans="3:3" x14ac:dyDescent="0.25">
      <c r="C83" s="14"/>
    </row>
    <row r="84" spans="3:3" x14ac:dyDescent="0.25">
      <c r="C84" s="14"/>
    </row>
    <row r="85" spans="3:3" x14ac:dyDescent="0.25">
      <c r="C85" s="14"/>
    </row>
    <row r="86" spans="3:3" x14ac:dyDescent="0.25">
      <c r="C86" s="14"/>
    </row>
    <row r="87" spans="3:3" x14ac:dyDescent="0.25">
      <c r="C87" s="14"/>
    </row>
    <row r="88" spans="3:3" x14ac:dyDescent="0.25">
      <c r="C88" s="14"/>
    </row>
    <row r="89" spans="3:3" x14ac:dyDescent="0.25">
      <c r="C89" s="14"/>
    </row>
    <row r="90" spans="3:3" x14ac:dyDescent="0.25">
      <c r="C90" s="14"/>
    </row>
    <row r="91" spans="3:3" x14ac:dyDescent="0.25">
      <c r="C91" s="14"/>
    </row>
    <row r="92" spans="3:3" x14ac:dyDescent="0.25">
      <c r="C92" s="14"/>
    </row>
    <row r="93" spans="3:3" x14ac:dyDescent="0.25">
      <c r="C93" s="14"/>
    </row>
    <row r="94" spans="3:3" x14ac:dyDescent="0.25">
      <c r="C94" s="14"/>
    </row>
    <row r="95" spans="3:3" x14ac:dyDescent="0.25">
      <c r="C95" s="14"/>
    </row>
    <row r="96" spans="3:3" x14ac:dyDescent="0.25">
      <c r="C96" s="14"/>
    </row>
    <row r="97" spans="3:3" x14ac:dyDescent="0.25">
      <c r="C97" s="14"/>
    </row>
    <row r="98" spans="3:3" x14ac:dyDescent="0.25">
      <c r="C98" s="14"/>
    </row>
  </sheetData>
  <mergeCells count="67">
    <mergeCell ref="G59:H59"/>
    <mergeCell ref="G60:H60"/>
    <mergeCell ref="G61:H61"/>
    <mergeCell ref="G53:H53"/>
    <mergeCell ref="G54:H54"/>
    <mergeCell ref="G55:H55"/>
    <mergeCell ref="G56:H56"/>
    <mergeCell ref="G57:H57"/>
    <mergeCell ref="G58:H58"/>
    <mergeCell ref="G52:H52"/>
    <mergeCell ref="G41:H41"/>
    <mergeCell ref="G42:H42"/>
    <mergeCell ref="G43:H43"/>
    <mergeCell ref="G44:H44"/>
    <mergeCell ref="G45:H45"/>
    <mergeCell ref="G46:H46"/>
    <mergeCell ref="G47:H47"/>
    <mergeCell ref="G48:H48"/>
    <mergeCell ref="G49:H49"/>
    <mergeCell ref="G50:H50"/>
    <mergeCell ref="G51:H51"/>
    <mergeCell ref="G40:H40"/>
    <mergeCell ref="G29:H29"/>
    <mergeCell ref="G30:H30"/>
    <mergeCell ref="G31:H31"/>
    <mergeCell ref="G32:H32"/>
    <mergeCell ref="G33:H33"/>
    <mergeCell ref="G34:H34"/>
    <mergeCell ref="G35:H35"/>
    <mergeCell ref="G36:H36"/>
    <mergeCell ref="G37:H37"/>
    <mergeCell ref="G38:H38"/>
    <mergeCell ref="G39:H39"/>
    <mergeCell ref="G28:H28"/>
    <mergeCell ref="G17:H17"/>
    <mergeCell ref="G18:H18"/>
    <mergeCell ref="G19:H19"/>
    <mergeCell ref="G20:H20"/>
    <mergeCell ref="G21:H21"/>
    <mergeCell ref="G22:H22"/>
    <mergeCell ref="G23:H23"/>
    <mergeCell ref="G24:H24"/>
    <mergeCell ref="G25:H25"/>
    <mergeCell ref="G26:H26"/>
    <mergeCell ref="G27:H27"/>
    <mergeCell ref="M2:M4"/>
    <mergeCell ref="G16:H16"/>
    <mergeCell ref="I6:I7"/>
    <mergeCell ref="J6:J7"/>
    <mergeCell ref="K6:M6"/>
    <mergeCell ref="G8:H8"/>
    <mergeCell ref="G9:H9"/>
    <mergeCell ref="G10:H10"/>
    <mergeCell ref="G11:H11"/>
    <mergeCell ref="G12:H12"/>
    <mergeCell ref="G13:H13"/>
    <mergeCell ref="G14:H14"/>
    <mergeCell ref="G15:H15"/>
    <mergeCell ref="E1:F4"/>
    <mergeCell ref="L1:L2"/>
    <mergeCell ref="A6:A7"/>
    <mergeCell ref="B6:B7"/>
    <mergeCell ref="C6:C7"/>
    <mergeCell ref="D6:D7"/>
    <mergeCell ref="E6:E7"/>
    <mergeCell ref="F6:F7"/>
    <mergeCell ref="G6:H7"/>
  </mergeCells>
  <conditionalFormatting sqref="C16:C21 C23:C45">
    <cfRule type="expression" dxfId="149" priority="7" stopIfTrue="1">
      <formula>#REF!=1</formula>
    </cfRule>
    <cfRule type="expression" priority="8" stopIfTrue="1">
      <formula>#REF!=2</formula>
    </cfRule>
    <cfRule type="expression" dxfId="148" priority="9" stopIfTrue="1">
      <formula>#REF!=3</formula>
    </cfRule>
  </conditionalFormatting>
  <conditionalFormatting sqref="C22">
    <cfRule type="expression" dxfId="147" priority="4" stopIfTrue="1">
      <formula>#REF!=1</formula>
    </cfRule>
    <cfRule type="expression" priority="5" stopIfTrue="1">
      <formula>#REF!=2</formula>
    </cfRule>
    <cfRule type="expression" dxfId="146" priority="6" stopIfTrue="1">
      <formula>#REF!=3</formula>
    </cfRule>
  </conditionalFormatting>
  <conditionalFormatting sqref="C46:C61">
    <cfRule type="expression" dxfId="145" priority="1" stopIfTrue="1">
      <formula>#REF!=1</formula>
    </cfRule>
    <cfRule type="expression" priority="2" stopIfTrue="1">
      <formula>#REF!=2</formula>
    </cfRule>
    <cfRule type="expression" dxfId="144" priority="3" stopIfTrue="1">
      <formula>#REF!=3</formula>
    </cfRule>
  </conditionalFormatting>
  <dataValidations count="2">
    <dataValidation type="textLength" operator="greaterThanOrEqual" allowBlank="1" showInputMessage="1" showErrorMessage="1" errorTitle="Saisie incorrecte" error="Re-saisir le numéro d'entrée en utilisant 3 chiffres_x000a_Ex.: 001" promptTitle="Saisie du numéro d'entrée" prompt="Minimum 3 chiffres_x000a_Ex.: 001" sqref="C8:C39" xr:uid="{00000000-0002-0000-0600-000000000000}">
      <formula1>3</formula1>
    </dataValidation>
    <dataValidation operator="greaterThan" allowBlank="1" showDropDown="1" showInputMessage="1" showErrorMessage="1" errorTitle="Saisie incorrecte" error="Re-Saisir le numéro de dossier sous le format_x000a_000-000000-000" promptTitle="Saisie du numéro d'événement" prompt="000-000000-000_x000a_Ex. : 071-030901-001" sqref="J8:J39" xr:uid="{00000000-0002-0000-0600-000001000000}"/>
  </dataValidations>
  <printOptions horizontalCentered="1" verticalCentered="1"/>
  <pageMargins left="0" right="0" top="0.31496062992125984" bottom="0.39370078740157483" header="0.15748031496062992" footer="0.19685039370078741"/>
  <pageSetup paperSize="5" scale="90" orientation="landscape" r:id="rId1"/>
  <headerFooter alignWithMargins="0">
    <oddFooter>&amp;R&amp;8Page &amp;P de &amp;N</oddFooter>
  </headerFooter>
  <drawing r:id="rId2"/>
  <legacyDrawing r:id="rId3"/>
  <controls>
    <mc:AlternateContent xmlns:mc="http://schemas.openxmlformats.org/markup-compatibility/2006">
      <mc:Choice Requires="x14">
        <control shapeId="148483" r:id="rId4" name="ComboBox2">
          <controlPr defaultSize="0" autoLine="0" r:id="rId5">
            <anchor moveWithCells="1">
              <from>
                <xdr:col>4</xdr:col>
                <xdr:colOff>0</xdr:colOff>
                <xdr:row>10</xdr:row>
                <xdr:rowOff>0</xdr:rowOff>
              </from>
              <to>
                <xdr:col>4</xdr:col>
                <xdr:colOff>2965450</xdr:colOff>
                <xdr:row>11</xdr:row>
                <xdr:rowOff>38100</xdr:rowOff>
              </to>
            </anchor>
          </controlPr>
        </control>
      </mc:Choice>
      <mc:Fallback>
        <control shapeId="148483" r:id="rId4" name="ComboBox2"/>
      </mc:Fallback>
    </mc:AlternateContent>
    <mc:AlternateContent xmlns:mc="http://schemas.openxmlformats.org/markup-compatibility/2006">
      <mc:Choice Requires="x14">
        <control shapeId="148482" r:id="rId6" name="ComboBox1">
          <controlPr defaultSize="0" autoLine="0" r:id="rId7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11</xdr:col>
                <xdr:colOff>1803400</xdr:colOff>
                <xdr:row>9</xdr:row>
                <xdr:rowOff>38100</xdr:rowOff>
              </to>
            </anchor>
          </controlPr>
        </control>
      </mc:Choice>
      <mc:Fallback>
        <control shapeId="148482" r:id="rId6" name="ComboBox1"/>
      </mc:Fallback>
    </mc:AlternateContent>
    <mc:AlternateContent xmlns:mc="http://schemas.openxmlformats.org/markup-compatibility/2006">
      <mc:Choice Requires="x14">
        <control shapeId="148481" r:id="rId8" name="Button 1">
          <controlPr defaultSize="0" print="0" autoFill="0" autoPict="0" macro="[0]!test2">
            <anchor moveWithCells="1">
              <from>
                <xdr:col>5</xdr:col>
                <xdr:colOff>222250</xdr:colOff>
                <xdr:row>1</xdr:row>
                <xdr:rowOff>139700</xdr:rowOff>
              </from>
              <to>
                <xdr:col>9</xdr:col>
                <xdr:colOff>1143000</xdr:colOff>
                <xdr:row>4</xdr:row>
                <xdr:rowOff>107950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65"/>
  <dimension ref="A1:M98"/>
  <sheetViews>
    <sheetView showGridLines="0" zoomScaleNormal="100" workbookViewId="0">
      <pane xSplit="3" ySplit="7" topLeftCell="D8" activePane="bottomRight" state="frozen"/>
      <selection activeCell="C8" sqref="C8"/>
      <selection pane="topRight" activeCell="C8" sqref="C8"/>
      <selection pane="bottomLeft" activeCell="C8" sqref="C8"/>
      <selection pane="bottomRight" activeCell="M2" sqref="M2:M5"/>
    </sheetView>
  </sheetViews>
  <sheetFormatPr baseColWidth="10" defaultColWidth="11.453125" defaultRowHeight="13" x14ac:dyDescent="0.25"/>
  <cols>
    <col min="1" max="2" width="5.6328125" style="1" customWidth="1"/>
    <col min="3" max="3" width="6.6328125" style="1" customWidth="1"/>
    <col min="4" max="4" width="7.54296875" style="1" customWidth="1"/>
    <col min="5" max="5" width="44.453125" style="21" customWidth="1"/>
    <col min="6" max="6" width="10.54296875" style="1" customWidth="1"/>
    <col min="7" max="7" width="13.90625" style="1" customWidth="1"/>
    <col min="8" max="8" width="4.6328125" style="1" hidden="1" customWidth="1"/>
    <col min="9" max="9" width="6.08984375" style="1" customWidth="1"/>
    <col min="10" max="10" width="26.54296875" style="1" customWidth="1"/>
    <col min="11" max="11" width="7.36328125" style="1" customWidth="1"/>
    <col min="12" max="12" width="27" style="24" customWidth="1"/>
    <col min="13" max="13" width="26" style="1" customWidth="1"/>
    <col min="14" max="16384" width="11.453125" style="1"/>
  </cols>
  <sheetData>
    <row r="1" spans="1:13" ht="12.75" customHeight="1" x14ac:dyDescent="0.25">
      <c r="E1" s="71" t="s">
        <v>1023</v>
      </c>
      <c r="F1" s="72"/>
      <c r="L1" s="73" t="s">
        <v>1021</v>
      </c>
      <c r="M1" s="51" t="s">
        <v>1022</v>
      </c>
    </row>
    <row r="2" spans="1:13" ht="12.75" customHeight="1" x14ac:dyDescent="0.25">
      <c r="E2" s="72"/>
      <c r="F2" s="72"/>
      <c r="L2" s="74"/>
      <c r="M2" s="70">
        <f>'07'!M2:M5+1</f>
        <v>42712</v>
      </c>
    </row>
    <row r="3" spans="1:13" ht="12.75" customHeight="1" x14ac:dyDescent="0.25">
      <c r="E3" s="72"/>
      <c r="F3" s="72"/>
      <c r="L3" s="52"/>
      <c r="M3" s="70"/>
    </row>
    <row r="4" spans="1:13" ht="15.75" customHeight="1" x14ac:dyDescent="0.25">
      <c r="E4" s="72"/>
      <c r="F4" s="72"/>
      <c r="L4" s="49" t="s">
        <v>140</v>
      </c>
      <c r="M4" s="70"/>
    </row>
    <row r="5" spans="1:13" ht="21.9" customHeight="1" thickBot="1" x14ac:dyDescent="0.3">
      <c r="L5" s="36"/>
      <c r="M5" s="69">
        <f>M2</f>
        <v>42712</v>
      </c>
    </row>
    <row r="6" spans="1:13" ht="24.9" customHeight="1" x14ac:dyDescent="0.25">
      <c r="A6" s="75" t="s">
        <v>2351</v>
      </c>
      <c r="B6" s="75" t="s">
        <v>2350</v>
      </c>
      <c r="C6" s="76" t="s">
        <v>1362</v>
      </c>
      <c r="D6" s="75" t="s">
        <v>1153</v>
      </c>
      <c r="E6" s="75" t="s">
        <v>1016</v>
      </c>
      <c r="F6" s="76" t="s">
        <v>2352</v>
      </c>
      <c r="G6" s="76" t="s">
        <v>1017</v>
      </c>
      <c r="H6" s="79"/>
      <c r="I6" s="76" t="s">
        <v>1364</v>
      </c>
      <c r="J6" s="76" t="s">
        <v>1363</v>
      </c>
      <c r="K6" s="83" t="s">
        <v>1018</v>
      </c>
      <c r="L6" s="84"/>
      <c r="M6" s="84"/>
    </row>
    <row r="7" spans="1:13" ht="12.5" x14ac:dyDescent="0.25">
      <c r="A7" s="75"/>
      <c r="B7" s="75"/>
      <c r="C7" s="77"/>
      <c r="D7" s="75"/>
      <c r="E7" s="75"/>
      <c r="F7" s="78"/>
      <c r="G7" s="80"/>
      <c r="H7" s="81"/>
      <c r="I7" s="77"/>
      <c r="J7" s="77"/>
      <c r="K7" s="50" t="s">
        <v>1015</v>
      </c>
      <c r="L7" s="50" t="s">
        <v>1019</v>
      </c>
      <c r="M7" s="32" t="s">
        <v>1020</v>
      </c>
    </row>
    <row r="8" spans="1:13" ht="30" customHeight="1" x14ac:dyDescent="0.25">
      <c r="A8" s="45"/>
      <c r="B8" s="45"/>
      <c r="C8" s="30"/>
      <c r="D8" s="46"/>
      <c r="E8" s="27"/>
      <c r="F8" s="31"/>
      <c r="G8" s="82" t="str">
        <f>IF(F8=0,"",VLOOKUP(F8,Employés!$A$2:$B$186,2,0))</f>
        <v/>
      </c>
      <c r="H8" s="82"/>
      <c r="I8" s="34"/>
      <c r="J8" s="33"/>
      <c r="K8" s="19"/>
      <c r="L8" s="20" t="s">
        <v>1420</v>
      </c>
      <c r="M8" s="37" t="str">
        <f>IF(I8=0,"",VLOOKUP(I8,Municipalités!$A$2:$B$1290,2,TRUE))</f>
        <v/>
      </c>
    </row>
    <row r="9" spans="1:13" ht="30" customHeight="1" x14ac:dyDescent="0.25">
      <c r="A9" s="45"/>
      <c r="B9" s="45"/>
      <c r="C9" s="39"/>
      <c r="D9" s="47"/>
      <c r="E9" s="27"/>
      <c r="F9" s="31"/>
      <c r="G9" s="82" t="str">
        <f>IF(F9=0,"",VLOOKUP(F9,Employés!$A$2:$B$186,2,0))</f>
        <v/>
      </c>
      <c r="H9" s="82"/>
      <c r="I9" s="35"/>
      <c r="J9" s="33"/>
      <c r="K9" s="19"/>
      <c r="L9" s="20"/>
      <c r="M9" s="37" t="str">
        <f>IF(I9=0,"",VLOOKUP(I9,Municipalités!$A$2:$B$1290,2,TRUE))</f>
        <v/>
      </c>
    </row>
    <row r="10" spans="1:13" ht="30" customHeight="1" x14ac:dyDescent="0.25">
      <c r="A10" s="45"/>
      <c r="B10" s="45"/>
      <c r="C10" s="39"/>
      <c r="D10" s="48"/>
      <c r="E10" s="28"/>
      <c r="F10" s="31"/>
      <c r="G10" s="82" t="str">
        <f>IF(F10=0,"",VLOOKUP(F10,Employés!$A$2:$B$186,2,0))</f>
        <v/>
      </c>
      <c r="H10" s="82"/>
      <c r="I10" s="35"/>
      <c r="J10" s="29"/>
      <c r="K10" s="19"/>
      <c r="L10" s="20"/>
      <c r="M10" s="37" t="str">
        <f>IF(I10=0,"",VLOOKUP(I10,Municipalités!$A$2:$B$1290,2,TRUE))</f>
        <v/>
      </c>
    </row>
    <row r="11" spans="1:13" ht="30" customHeight="1" x14ac:dyDescent="0.25">
      <c r="A11" s="45"/>
      <c r="B11" s="45"/>
      <c r="C11" s="39"/>
      <c r="D11" s="47"/>
      <c r="E11" s="28" t="s">
        <v>1420</v>
      </c>
      <c r="F11" s="31"/>
      <c r="G11" s="82" t="str">
        <f>IF(F11=0,"",VLOOKUP(F11,Employés!$A$2:$B$186,2,0))</f>
        <v/>
      </c>
      <c r="H11" s="82"/>
      <c r="I11" s="35"/>
      <c r="J11" s="29"/>
      <c r="K11" s="19"/>
      <c r="L11" s="20"/>
      <c r="M11" s="37" t="str">
        <f>IF(I11=0,"",VLOOKUP(I11,Municipalités!$A$2:$B$1290,2,TRUE))</f>
        <v/>
      </c>
    </row>
    <row r="12" spans="1:13" ht="30" customHeight="1" x14ac:dyDescent="0.25">
      <c r="A12" s="45"/>
      <c r="B12" s="45"/>
      <c r="C12" s="39"/>
      <c r="D12" s="46"/>
      <c r="E12" s="27"/>
      <c r="F12" s="31"/>
      <c r="G12" s="82" t="str">
        <f>IF(F12=0,"",VLOOKUP(F12,Employés!$A$2:$B$186,2,0))</f>
        <v/>
      </c>
      <c r="H12" s="82"/>
      <c r="I12" s="35"/>
      <c r="J12" s="29"/>
      <c r="K12" s="19"/>
      <c r="L12" s="20"/>
      <c r="M12" s="37" t="str">
        <f>IF(I12=0,"",VLOOKUP(I12,Municipalités!$A$2:$B$1290,2,TRUE))</f>
        <v/>
      </c>
    </row>
    <row r="13" spans="1:13" ht="30" customHeight="1" x14ac:dyDescent="0.25">
      <c r="A13" s="45"/>
      <c r="B13" s="45"/>
      <c r="C13" s="39"/>
      <c r="D13" s="46"/>
      <c r="E13" s="27"/>
      <c r="F13" s="31"/>
      <c r="G13" s="82" t="str">
        <f>IF(F13=0,"",VLOOKUP(F13,Employés!$A$2:$B$186,2,0))</f>
        <v/>
      </c>
      <c r="H13" s="82"/>
      <c r="I13" s="35"/>
      <c r="J13" s="29"/>
      <c r="K13" s="19"/>
      <c r="L13" s="20"/>
      <c r="M13" s="37" t="str">
        <f>IF(I13=0,"",VLOOKUP(I13,Municipalités!$A$2:$B$1290,2,TRUE))</f>
        <v/>
      </c>
    </row>
    <row r="14" spans="1:13" ht="30" customHeight="1" x14ac:dyDescent="0.25">
      <c r="A14" s="45"/>
      <c r="B14" s="45"/>
      <c r="C14" s="39"/>
      <c r="D14" s="47"/>
      <c r="E14" s="27"/>
      <c r="F14" s="31"/>
      <c r="G14" s="82" t="str">
        <f>IF(F14=0,"",VLOOKUP(F14,Employés!$A$2:$B$186,2,0))</f>
        <v/>
      </c>
      <c r="H14" s="82"/>
      <c r="I14" s="35"/>
      <c r="J14" s="29"/>
      <c r="K14" s="19"/>
      <c r="L14" s="20"/>
      <c r="M14" s="37" t="str">
        <f>IF(I14=0,"",VLOOKUP(I14,Municipalités!$A$2:$B$1290,2,TRUE))</f>
        <v/>
      </c>
    </row>
    <row r="15" spans="1:13" ht="30" customHeight="1" x14ac:dyDescent="0.25">
      <c r="A15" s="45"/>
      <c r="B15" s="45"/>
      <c r="C15" s="39"/>
      <c r="D15" s="47"/>
      <c r="E15" s="27"/>
      <c r="F15" s="31"/>
      <c r="G15" s="82" t="str">
        <f>IF(F15=0,"",VLOOKUP(F15,Employés!$A$2:$B$186,2,0))</f>
        <v/>
      </c>
      <c r="H15" s="82"/>
      <c r="I15" s="35"/>
      <c r="J15" s="29"/>
      <c r="K15" s="19"/>
      <c r="L15" s="20"/>
      <c r="M15" s="37" t="str">
        <f>IF(I15=0,"",VLOOKUP(I15,Municipalités!$A$2:$B$1290,2,TRUE))</f>
        <v/>
      </c>
    </row>
    <row r="16" spans="1:13" ht="30" customHeight="1" x14ac:dyDescent="0.25">
      <c r="A16" s="45"/>
      <c r="B16" s="45"/>
      <c r="C16" s="39"/>
      <c r="D16" s="46"/>
      <c r="E16" s="27"/>
      <c r="F16" s="31"/>
      <c r="G16" s="82" t="str">
        <f>IF(F16=0,"",VLOOKUP(F16,Employés!$A$2:$B$186,2,0))</f>
        <v/>
      </c>
      <c r="H16" s="82"/>
      <c r="I16" s="35"/>
      <c r="J16" s="29"/>
      <c r="K16" s="19"/>
      <c r="L16" s="20"/>
      <c r="M16" s="37" t="str">
        <f>IF(I16=0,"",VLOOKUP(I16,Municipalités!$A$2:$B$1290,2,TRUE))</f>
        <v/>
      </c>
    </row>
    <row r="17" spans="1:13" ht="30" customHeight="1" x14ac:dyDescent="0.25">
      <c r="A17" s="45"/>
      <c r="B17" s="45"/>
      <c r="C17" s="39"/>
      <c r="D17" s="46"/>
      <c r="E17" s="27"/>
      <c r="F17" s="31"/>
      <c r="G17" s="82" t="str">
        <f>IF(F17=0,"",VLOOKUP(F17,Employés!$A$2:$B$186,2,0))</f>
        <v/>
      </c>
      <c r="H17" s="82"/>
      <c r="I17" s="35"/>
      <c r="J17" s="29"/>
      <c r="K17" s="19"/>
      <c r="L17" s="20"/>
      <c r="M17" s="37" t="str">
        <f>IF(I17=0,"",VLOOKUP(I17,Municipalités!$A$2:$B$1290,2,TRUE))</f>
        <v/>
      </c>
    </row>
    <row r="18" spans="1:13" ht="30" customHeight="1" x14ac:dyDescent="0.25">
      <c r="A18" s="45"/>
      <c r="B18" s="45"/>
      <c r="C18" s="39"/>
      <c r="D18" s="46"/>
      <c r="E18" s="27"/>
      <c r="F18" s="31"/>
      <c r="G18" s="82" t="str">
        <f>IF(F18=0,"",VLOOKUP(F18,Employés!$A$2:$B$186,2,0))</f>
        <v/>
      </c>
      <c r="H18" s="82"/>
      <c r="I18" s="35"/>
      <c r="J18" s="29"/>
      <c r="K18" s="19"/>
      <c r="L18" s="20"/>
      <c r="M18" s="37" t="str">
        <f>IF(I18=0,"",VLOOKUP(I18,Municipalités!$A$2:$B$1290,2,TRUE))</f>
        <v/>
      </c>
    </row>
    <row r="19" spans="1:13" ht="30" customHeight="1" x14ac:dyDescent="0.25">
      <c r="A19" s="45"/>
      <c r="B19" s="45"/>
      <c r="C19" s="39"/>
      <c r="D19" s="46"/>
      <c r="E19" s="27"/>
      <c r="F19" s="31"/>
      <c r="G19" s="82" t="str">
        <f>IF(F19=0,"",VLOOKUP(F19,Employés!$A$2:$B$186,2,0))</f>
        <v/>
      </c>
      <c r="H19" s="82"/>
      <c r="I19" s="35"/>
      <c r="J19" s="29"/>
      <c r="K19" s="19"/>
      <c r="L19" s="20"/>
      <c r="M19" s="37" t="str">
        <f>IF(I19=0,"",VLOOKUP(I19,Municipalités!$A$2:$B$1290,2,TRUE))</f>
        <v/>
      </c>
    </row>
    <row r="20" spans="1:13" ht="30" customHeight="1" x14ac:dyDescent="0.25">
      <c r="A20" s="45"/>
      <c r="B20" s="45"/>
      <c r="C20" s="39"/>
      <c r="D20" s="47"/>
      <c r="E20" s="27"/>
      <c r="F20" s="31"/>
      <c r="G20" s="82" t="str">
        <f>IF(F20=0,"",VLOOKUP(F20,Employés!$A$2:$B$186,2,0))</f>
        <v/>
      </c>
      <c r="H20" s="82"/>
      <c r="I20" s="35"/>
      <c r="J20" s="29"/>
      <c r="K20" s="19"/>
      <c r="L20" s="20"/>
      <c r="M20" s="37" t="str">
        <f>IF(I20=0,"",VLOOKUP(I20,Municipalités!$A$2:$B$1290,2,TRUE))</f>
        <v/>
      </c>
    </row>
    <row r="21" spans="1:13" ht="30" customHeight="1" x14ac:dyDescent="0.25">
      <c r="A21" s="45"/>
      <c r="B21" s="45"/>
      <c r="C21" s="39"/>
      <c r="D21" s="47"/>
      <c r="E21" s="27"/>
      <c r="F21" s="31"/>
      <c r="G21" s="82" t="str">
        <f>IF(F21=0,"",VLOOKUP(F21,Employés!$A$2:$B$186,2,0))</f>
        <v/>
      </c>
      <c r="H21" s="82"/>
      <c r="I21" s="35"/>
      <c r="J21" s="29"/>
      <c r="K21" s="19"/>
      <c r="L21" s="20"/>
      <c r="M21" s="37" t="str">
        <f>IF(I21=0,"",VLOOKUP(I21,Municipalités!$A$2:$B$1290,2,TRUE))</f>
        <v/>
      </c>
    </row>
    <row r="22" spans="1:13" ht="30" customHeight="1" x14ac:dyDescent="0.25">
      <c r="A22" s="45"/>
      <c r="B22" s="45"/>
      <c r="C22" s="39"/>
      <c r="D22" s="46"/>
      <c r="E22" s="27"/>
      <c r="F22" s="31"/>
      <c r="G22" s="82" t="str">
        <f>IF(F22=0,"",VLOOKUP(F22,Employés!$A$2:$B$186,2,0))</f>
        <v/>
      </c>
      <c r="H22" s="82"/>
      <c r="I22" s="35"/>
      <c r="J22" s="29"/>
      <c r="K22" s="19"/>
      <c r="L22" s="20"/>
      <c r="M22" s="37" t="str">
        <f>IF(I22=0,"",VLOOKUP(I22,Municipalités!$A$2:$B$1290,2,TRUE))</f>
        <v/>
      </c>
    </row>
    <row r="23" spans="1:13" ht="30" customHeight="1" x14ac:dyDescent="0.25">
      <c r="A23" s="45"/>
      <c r="B23" s="45"/>
      <c r="C23" s="39"/>
      <c r="D23" s="46"/>
      <c r="E23" s="27"/>
      <c r="F23" s="31"/>
      <c r="G23" s="82" t="str">
        <f>IF(F23=0,"",VLOOKUP(F23,Employés!$A$2:$B$186,2,0))</f>
        <v/>
      </c>
      <c r="H23" s="82"/>
      <c r="I23" s="35"/>
      <c r="J23" s="29"/>
      <c r="K23" s="19"/>
      <c r="L23" s="20"/>
      <c r="M23" s="37" t="str">
        <f>IF(I23=0,"",VLOOKUP(I23,Municipalités!$A$2:$B$1290,2,TRUE))</f>
        <v/>
      </c>
    </row>
    <row r="24" spans="1:13" ht="30" customHeight="1" x14ac:dyDescent="0.25">
      <c r="A24" s="45"/>
      <c r="B24" s="45"/>
      <c r="C24" s="39"/>
      <c r="D24" s="46"/>
      <c r="E24" s="27"/>
      <c r="F24" s="31"/>
      <c r="G24" s="82" t="str">
        <f>IF(F24=0,"",VLOOKUP(F24,Employés!$A$2:$B$186,2,0))</f>
        <v/>
      </c>
      <c r="H24" s="82"/>
      <c r="I24" s="35"/>
      <c r="J24" s="29"/>
      <c r="K24" s="19"/>
      <c r="L24" s="20"/>
      <c r="M24" s="37" t="str">
        <f>IF(I24=0,"",VLOOKUP(I24,Municipalités!$A$2:$B$1290,2,TRUE))</f>
        <v/>
      </c>
    </row>
    <row r="25" spans="1:13" ht="30" customHeight="1" x14ac:dyDescent="0.25">
      <c r="A25" s="45"/>
      <c r="B25" s="45"/>
      <c r="C25" s="39"/>
      <c r="D25" s="46"/>
      <c r="E25" s="27"/>
      <c r="F25" s="31"/>
      <c r="G25" s="82" t="str">
        <f>IF(F25=0,"",VLOOKUP(F25,Employés!$A$2:$B$186,2,0))</f>
        <v/>
      </c>
      <c r="H25" s="82"/>
      <c r="I25" s="35"/>
      <c r="J25" s="29"/>
      <c r="K25" s="19"/>
      <c r="L25" s="20"/>
      <c r="M25" s="37" t="str">
        <f>IF(I25=0,"",VLOOKUP(I25,Municipalités!$A$2:$B$1290,2,TRUE))</f>
        <v/>
      </c>
    </row>
    <row r="26" spans="1:13" ht="30" customHeight="1" x14ac:dyDescent="0.25">
      <c r="A26" s="45"/>
      <c r="B26" s="45"/>
      <c r="C26" s="39"/>
      <c r="D26" s="46"/>
      <c r="E26" s="27"/>
      <c r="F26" s="31"/>
      <c r="G26" s="82" t="str">
        <f>IF(F26=0,"",VLOOKUP(F26,Employés!$A$2:$B$186,2,0))</f>
        <v/>
      </c>
      <c r="H26" s="82"/>
      <c r="I26" s="35"/>
      <c r="J26" s="29"/>
      <c r="K26" s="19"/>
      <c r="L26" s="20"/>
      <c r="M26" s="37" t="str">
        <f>IF(I26=0,"",VLOOKUP(I26,Municipalités!$A$2:$B$1290,2,TRUE))</f>
        <v/>
      </c>
    </row>
    <row r="27" spans="1:13" ht="30" customHeight="1" x14ac:dyDescent="0.25">
      <c r="A27" s="45"/>
      <c r="B27" s="45"/>
      <c r="C27" s="39"/>
      <c r="D27" s="46"/>
      <c r="E27" s="27"/>
      <c r="F27" s="31"/>
      <c r="G27" s="82" t="str">
        <f>IF(F27=0,"",VLOOKUP(F27,Employés!$A$2:$B$186,2,0))</f>
        <v/>
      </c>
      <c r="H27" s="82"/>
      <c r="I27" s="35"/>
      <c r="J27" s="29"/>
      <c r="K27" s="19"/>
      <c r="L27" s="20"/>
      <c r="M27" s="37" t="str">
        <f>IF(I27=0,"",VLOOKUP(I27,Municipalités!$A$2:$B$1290,2,TRUE))</f>
        <v/>
      </c>
    </row>
    <row r="28" spans="1:13" ht="30" customHeight="1" x14ac:dyDescent="0.25">
      <c r="A28" s="45"/>
      <c r="B28" s="45"/>
      <c r="C28" s="39"/>
      <c r="D28" s="46"/>
      <c r="E28" s="27"/>
      <c r="F28" s="31"/>
      <c r="G28" s="82" t="str">
        <f>IF(F28=0,"",VLOOKUP(F28,Employés!$A$2:$B$186,2,0))</f>
        <v/>
      </c>
      <c r="H28" s="82"/>
      <c r="I28" s="35"/>
      <c r="J28" s="29"/>
      <c r="K28" s="19"/>
      <c r="L28" s="20"/>
      <c r="M28" s="37" t="str">
        <f>IF(I28=0,"",VLOOKUP(I28,Municipalités!$A$2:$B$1290,2,TRUE))</f>
        <v/>
      </c>
    </row>
    <row r="29" spans="1:13" ht="30" customHeight="1" x14ac:dyDescent="0.25">
      <c r="A29" s="45"/>
      <c r="B29" s="45"/>
      <c r="C29" s="39"/>
      <c r="D29" s="46"/>
      <c r="E29" s="27"/>
      <c r="F29" s="31"/>
      <c r="G29" s="82" t="str">
        <f>IF(F29=0,"",VLOOKUP(F29,Employés!$A$2:$B$186,2,0))</f>
        <v/>
      </c>
      <c r="H29" s="82"/>
      <c r="I29" s="35"/>
      <c r="J29" s="29"/>
      <c r="K29" s="19"/>
      <c r="L29" s="20"/>
      <c r="M29" s="37" t="str">
        <f>IF(I29=0,"",VLOOKUP(I29,Municipalités!$A$2:$B$1290,2,TRUE))</f>
        <v/>
      </c>
    </row>
    <row r="30" spans="1:13" ht="30" customHeight="1" x14ac:dyDescent="0.25">
      <c r="A30" s="45"/>
      <c r="B30" s="45"/>
      <c r="C30" s="39"/>
      <c r="D30" s="46"/>
      <c r="E30" s="27"/>
      <c r="F30" s="31"/>
      <c r="G30" s="82" t="str">
        <f>IF(F30=0,"",VLOOKUP(F30,Employés!$A$2:$B$186,2,0))</f>
        <v/>
      </c>
      <c r="H30" s="82"/>
      <c r="I30" s="35"/>
      <c r="J30" s="29"/>
      <c r="K30" s="19"/>
      <c r="L30" s="20"/>
      <c r="M30" s="37" t="str">
        <f>IF(I30=0,"",VLOOKUP(I30,Municipalités!$A$2:$B$1290,2,TRUE))</f>
        <v/>
      </c>
    </row>
    <row r="31" spans="1:13" ht="30" customHeight="1" x14ac:dyDescent="0.25">
      <c r="A31" s="45"/>
      <c r="B31" s="45"/>
      <c r="C31" s="39"/>
      <c r="D31" s="47"/>
      <c r="E31" s="27"/>
      <c r="F31" s="31"/>
      <c r="G31" s="82" t="str">
        <f>IF(F31=0,"",VLOOKUP(F31,Employés!$A$2:$B$186,2,0))</f>
        <v/>
      </c>
      <c r="H31" s="82"/>
      <c r="I31" s="35"/>
      <c r="J31" s="29"/>
      <c r="K31" s="19"/>
      <c r="L31" s="20"/>
      <c r="M31" s="37" t="str">
        <f>IF(I31=0,"",VLOOKUP(I31,Municipalités!$A$2:$B$1290,2,TRUE))</f>
        <v/>
      </c>
    </row>
    <row r="32" spans="1:13" ht="30" customHeight="1" x14ac:dyDescent="0.25">
      <c r="A32" s="45"/>
      <c r="B32" s="45"/>
      <c r="C32" s="39"/>
      <c r="D32" s="46"/>
      <c r="E32" s="27"/>
      <c r="F32" s="31"/>
      <c r="G32" s="82" t="str">
        <f>IF(F32=0,"",VLOOKUP(F32,Employés!$A$2:$B$186,2,0))</f>
        <v/>
      </c>
      <c r="H32" s="82"/>
      <c r="I32" s="35"/>
      <c r="J32" s="29"/>
      <c r="K32" s="19"/>
      <c r="L32" s="20"/>
      <c r="M32" s="37" t="str">
        <f>IF(I32=0,"",VLOOKUP(I32,Municipalités!$A$2:$B$1290,2,TRUE))</f>
        <v/>
      </c>
    </row>
    <row r="33" spans="1:13" ht="30" customHeight="1" x14ac:dyDescent="0.25">
      <c r="A33" s="45"/>
      <c r="B33" s="45"/>
      <c r="C33" s="39"/>
      <c r="D33" s="46"/>
      <c r="E33" s="27"/>
      <c r="F33" s="31"/>
      <c r="G33" s="82" t="str">
        <f>IF(F33=0,"",VLOOKUP(F33,Employés!$A$2:$B$186,2,0))</f>
        <v/>
      </c>
      <c r="H33" s="82"/>
      <c r="I33" s="35"/>
      <c r="J33" s="29"/>
      <c r="K33" s="19"/>
      <c r="L33" s="20"/>
      <c r="M33" s="37" t="str">
        <f>IF(I33=0,"",VLOOKUP(I33,Municipalités!$A$2:$B$1290,2,TRUE))</f>
        <v/>
      </c>
    </row>
    <row r="34" spans="1:13" ht="30" customHeight="1" x14ac:dyDescent="0.25">
      <c r="A34" s="45"/>
      <c r="B34" s="45"/>
      <c r="C34" s="39"/>
      <c r="D34" s="46"/>
      <c r="E34" s="27"/>
      <c r="F34" s="31"/>
      <c r="G34" s="82" t="str">
        <f>IF(F34=0,"",VLOOKUP(F34,Employés!$A$2:$B$186,2,0))</f>
        <v/>
      </c>
      <c r="H34" s="82"/>
      <c r="I34" s="35"/>
      <c r="J34" s="29"/>
      <c r="K34" s="19"/>
      <c r="L34" s="20"/>
      <c r="M34" s="37" t="str">
        <f>IF(I34=0,"",VLOOKUP(I34,Municipalités!$A$2:$B$1290,2,TRUE))</f>
        <v/>
      </c>
    </row>
    <row r="35" spans="1:13" ht="30" customHeight="1" x14ac:dyDescent="0.25">
      <c r="A35" s="45"/>
      <c r="B35" s="45"/>
      <c r="C35" s="30"/>
      <c r="D35" s="46"/>
      <c r="E35" s="27"/>
      <c r="F35" s="31"/>
      <c r="G35" s="82" t="str">
        <f>IF(F35=0,"",VLOOKUP(F35,Employés!$A$2:$B$186,2,0))</f>
        <v/>
      </c>
      <c r="H35" s="82"/>
      <c r="I35" s="35"/>
      <c r="J35" s="29"/>
      <c r="K35" s="19"/>
      <c r="L35" s="20"/>
      <c r="M35" s="37" t="str">
        <f>IF(I35=0,"",VLOOKUP(I35,Municipalités!$A$2:$B$1290,2,TRUE))</f>
        <v/>
      </c>
    </row>
    <row r="36" spans="1:13" ht="30" customHeight="1" x14ac:dyDescent="0.25">
      <c r="A36" s="45"/>
      <c r="B36" s="45"/>
      <c r="C36" s="30"/>
      <c r="D36" s="46"/>
      <c r="E36" s="27"/>
      <c r="F36" s="31"/>
      <c r="G36" s="82" t="str">
        <f>IF(F36=0,"",VLOOKUP(F36,Employés!$A$2:$B$186,2,0))</f>
        <v/>
      </c>
      <c r="H36" s="82"/>
      <c r="I36" s="35"/>
      <c r="J36" s="29"/>
      <c r="K36" s="19"/>
      <c r="L36" s="20"/>
      <c r="M36" s="37" t="str">
        <f>IF(I36=0,"",VLOOKUP(I36,Municipalités!$A$2:$B$1290,2,TRUE))</f>
        <v/>
      </c>
    </row>
    <row r="37" spans="1:13" ht="30" customHeight="1" x14ac:dyDescent="0.25">
      <c r="A37" s="45"/>
      <c r="B37" s="45"/>
      <c r="C37" s="39"/>
      <c r="D37" s="46"/>
      <c r="E37" s="27"/>
      <c r="F37" s="31"/>
      <c r="G37" s="82" t="str">
        <f>IF(F37=0,"",VLOOKUP(F37,Employés!$A$2:$B$186,2,0))</f>
        <v/>
      </c>
      <c r="H37" s="82"/>
      <c r="I37" s="35"/>
      <c r="J37" s="29"/>
      <c r="K37" s="19"/>
      <c r="L37" s="20"/>
      <c r="M37" s="37" t="str">
        <f>IF(I37=0,"",VLOOKUP(I37,Municipalités!$A$2:$B$1290,2,TRUE))</f>
        <v/>
      </c>
    </row>
    <row r="38" spans="1:13" ht="30" customHeight="1" x14ac:dyDescent="0.25">
      <c r="A38" s="45"/>
      <c r="B38" s="45"/>
      <c r="C38" s="39"/>
      <c r="D38" s="47"/>
      <c r="E38" s="27"/>
      <c r="F38" s="31"/>
      <c r="G38" s="82" t="str">
        <f>IF(F38=0,"",VLOOKUP(F38,Employés!$A$2:$B$186,2,0))</f>
        <v/>
      </c>
      <c r="H38" s="82"/>
      <c r="I38" s="35"/>
      <c r="J38" s="29"/>
      <c r="K38" s="19"/>
      <c r="L38" s="20"/>
      <c r="M38" s="37" t="str">
        <f>IF(I38=0,"",VLOOKUP(I38,Municipalités!$A$2:$B$1290,2,TRUE))</f>
        <v/>
      </c>
    </row>
    <row r="39" spans="1:13" ht="30" customHeight="1" x14ac:dyDescent="0.25">
      <c r="A39" s="45"/>
      <c r="B39" s="45"/>
      <c r="C39" s="39"/>
      <c r="D39" s="45"/>
      <c r="E39" s="27"/>
      <c r="F39" s="31"/>
      <c r="G39" s="82" t="str">
        <f>IF(F39=0,"",VLOOKUP(F39,Employés!$A$2:$B$186,2,0))</f>
        <v/>
      </c>
      <c r="H39" s="82"/>
      <c r="I39" s="35"/>
      <c r="J39" s="29"/>
      <c r="K39" s="26"/>
      <c r="L39" s="25"/>
      <c r="M39" s="37" t="str">
        <f>IF(I39=0,"",VLOOKUP(I39,Municipalités!$A$2:$B$1290,2,TRUE))</f>
        <v/>
      </c>
    </row>
    <row r="40" spans="1:13" ht="30" customHeight="1" x14ac:dyDescent="0.25">
      <c r="A40" s="8"/>
      <c r="B40" s="8"/>
      <c r="C40" s="30"/>
      <c r="D40" s="8"/>
      <c r="E40" s="27"/>
      <c r="F40" s="31"/>
      <c r="G40" s="82" t="str">
        <f>IF(F40=0,"",VLOOKUP(F40,Employés!$A$2:$B$186,2,0))</f>
        <v/>
      </c>
      <c r="H40" s="82"/>
      <c r="I40" s="35"/>
      <c r="J40" s="29"/>
      <c r="K40" s="26"/>
      <c r="L40" s="25"/>
      <c r="M40" s="37" t="str">
        <f>IF(I40=0,"",VLOOKUP(I40,Municipalités!$A$2:$B$1290,2,TRUE))</f>
        <v/>
      </c>
    </row>
    <row r="41" spans="1:13" ht="30" customHeight="1" x14ac:dyDescent="0.25">
      <c r="A41" s="8"/>
      <c r="B41" s="8"/>
      <c r="C41" s="30"/>
      <c r="D41" s="8"/>
      <c r="E41" s="27"/>
      <c r="F41" s="31"/>
      <c r="G41" s="82" t="str">
        <f>IF(F41=0,"",VLOOKUP(F41,Employés!$A$2:$B$186,2,0))</f>
        <v/>
      </c>
      <c r="H41" s="82"/>
      <c r="I41" s="35"/>
      <c r="J41" s="29"/>
      <c r="K41" s="26"/>
      <c r="L41" s="25"/>
      <c r="M41" s="37" t="str">
        <f>IF(I41=0,"",VLOOKUP(I41,Municipalités!$A$2:$B$1290,2,TRUE))</f>
        <v/>
      </c>
    </row>
    <row r="42" spans="1:13" ht="30" customHeight="1" x14ac:dyDescent="0.25">
      <c r="A42" s="8"/>
      <c r="B42" s="8"/>
      <c r="C42" s="30"/>
      <c r="D42" s="8"/>
      <c r="E42" s="27"/>
      <c r="F42" s="31"/>
      <c r="G42" s="82" t="str">
        <f>IF(F42=0,"",VLOOKUP(F42,Employés!$A$2:$B$186,2,0))</f>
        <v/>
      </c>
      <c r="H42" s="82"/>
      <c r="I42" s="35"/>
      <c r="J42" s="29"/>
      <c r="K42" s="26"/>
      <c r="L42" s="25"/>
      <c r="M42" s="37" t="str">
        <f>IF(I42=0,"",VLOOKUP(I42,Municipalités!$A$2:$B$1290,2,TRUE))</f>
        <v/>
      </c>
    </row>
    <row r="43" spans="1:13" ht="30" customHeight="1" x14ac:dyDescent="0.25">
      <c r="A43" s="8"/>
      <c r="B43" s="8"/>
      <c r="C43" s="30"/>
      <c r="D43" s="8"/>
      <c r="E43" s="27" t="s">
        <v>1420</v>
      </c>
      <c r="F43" s="31"/>
      <c r="G43" s="82" t="str">
        <f>IF(F43=0,"",VLOOKUP(F43,Employés!$A$2:$B$186,2,0))</f>
        <v/>
      </c>
      <c r="H43" s="82"/>
      <c r="I43" s="35"/>
      <c r="J43" s="29"/>
      <c r="K43" s="26"/>
      <c r="L43" s="25" t="s">
        <v>1420</v>
      </c>
      <c r="M43" s="37" t="str">
        <f>IF(I43=0,"",VLOOKUP(I43,Municipalités!$A$2:$B$1290,2,TRUE))</f>
        <v/>
      </c>
    </row>
    <row r="44" spans="1:13" ht="30" customHeight="1" x14ac:dyDescent="0.25">
      <c r="A44" s="8"/>
      <c r="B44" s="8"/>
      <c r="C44" s="30"/>
      <c r="D44" s="8"/>
      <c r="E44" s="27"/>
      <c r="F44" s="31"/>
      <c r="G44" s="82" t="str">
        <f>IF(F44=0,"",VLOOKUP(F44,Employés!$A$2:$B$186,2,0))</f>
        <v/>
      </c>
      <c r="H44" s="82"/>
      <c r="I44" s="35"/>
      <c r="J44" s="29"/>
      <c r="K44" s="26"/>
      <c r="L44" s="25"/>
      <c r="M44" s="37" t="str">
        <f>IF(I44=0,"",VLOOKUP(I44,Municipalités!$A$2:$B$1290,2,TRUE))</f>
        <v/>
      </c>
    </row>
    <row r="45" spans="1:13" ht="30" customHeight="1" x14ac:dyDescent="0.25">
      <c r="A45" s="8"/>
      <c r="B45" s="8"/>
      <c r="C45" s="30"/>
      <c r="D45" s="8"/>
      <c r="E45" s="27"/>
      <c r="F45" s="31"/>
      <c r="G45" s="82" t="str">
        <f>IF(F45=0,"",VLOOKUP(F45,Employés!$A$2:$B$186,2,0))</f>
        <v/>
      </c>
      <c r="H45" s="82"/>
      <c r="I45" s="35"/>
      <c r="J45" s="29"/>
      <c r="K45" s="26"/>
      <c r="L45" s="25"/>
      <c r="M45" s="37" t="str">
        <f>IF(I45=0,"",VLOOKUP(I45,Municipalités!$A$2:$B$1290,2,TRUE))</f>
        <v/>
      </c>
    </row>
    <row r="46" spans="1:13" ht="30" customHeight="1" x14ac:dyDescent="0.25">
      <c r="A46" s="8"/>
      <c r="B46" s="8"/>
      <c r="C46" s="30"/>
      <c r="D46" s="8"/>
      <c r="E46" s="27"/>
      <c r="F46" s="31"/>
      <c r="G46" s="82" t="str">
        <f>IF(F46=0,"",VLOOKUP(F46,Employés!$A$2:$B$186,2,0))</f>
        <v/>
      </c>
      <c r="H46" s="82"/>
      <c r="I46" s="35"/>
      <c r="J46" s="29"/>
      <c r="K46" s="26"/>
      <c r="L46" s="25"/>
      <c r="M46" s="37" t="str">
        <f>IF(I46=0,"",VLOOKUP(I46,Municipalités!$A$2:$B$1290,2,TRUE))</f>
        <v/>
      </c>
    </row>
    <row r="47" spans="1:13" ht="30" customHeight="1" x14ac:dyDescent="0.25">
      <c r="A47" s="8"/>
      <c r="B47" s="8"/>
      <c r="C47" s="30"/>
      <c r="D47" s="8"/>
      <c r="E47" s="27"/>
      <c r="F47" s="31"/>
      <c r="G47" s="82" t="str">
        <f>IF(F47=0,"",VLOOKUP(F47,Employés!$A$2:$B$186,2,0))</f>
        <v/>
      </c>
      <c r="H47" s="82"/>
      <c r="I47" s="35"/>
      <c r="J47" s="29"/>
      <c r="K47" s="26"/>
      <c r="L47" s="25"/>
      <c r="M47" s="37" t="str">
        <f>IF(I47=0,"",VLOOKUP(I47,Municipalités!$A$2:$B$1290,2,TRUE))</f>
        <v/>
      </c>
    </row>
    <row r="48" spans="1:13" ht="30" customHeight="1" x14ac:dyDescent="0.25">
      <c r="A48" s="8"/>
      <c r="B48" s="8"/>
      <c r="C48" s="30"/>
      <c r="D48" s="8"/>
      <c r="E48" s="27"/>
      <c r="F48" s="31"/>
      <c r="G48" s="82" t="str">
        <f>IF(F48=0,"",VLOOKUP(F48,Employés!$A$2:$B$186,2,0))</f>
        <v/>
      </c>
      <c r="H48" s="82"/>
      <c r="I48" s="35"/>
      <c r="J48" s="29"/>
      <c r="K48" s="26"/>
      <c r="L48" s="25"/>
      <c r="M48" s="37" t="str">
        <f>IF(I48=0,"",VLOOKUP(I48,Municipalités!$A$2:$B$1290,2,TRUE))</f>
        <v/>
      </c>
    </row>
    <row r="49" spans="1:13" ht="30" customHeight="1" x14ac:dyDescent="0.25">
      <c r="A49" s="8"/>
      <c r="B49" s="8"/>
      <c r="C49" s="30"/>
      <c r="D49" s="8"/>
      <c r="E49" s="27"/>
      <c r="F49" s="31"/>
      <c r="G49" s="82" t="str">
        <f>IF(F49=0,"",VLOOKUP(F49,Employés!$A$2:$B$186,2,0))</f>
        <v/>
      </c>
      <c r="H49" s="82"/>
      <c r="I49" s="35"/>
      <c r="J49" s="29"/>
      <c r="K49" s="26"/>
      <c r="L49" s="25"/>
      <c r="M49" s="37" t="str">
        <f>IF(I49=0,"",VLOOKUP(I49,Municipalités!$A$2:$B$1290,2,TRUE))</f>
        <v/>
      </c>
    </row>
    <row r="50" spans="1:13" ht="30" customHeight="1" x14ac:dyDescent="0.25">
      <c r="A50" s="8"/>
      <c r="B50" s="8"/>
      <c r="C50" s="30"/>
      <c r="D50" s="8"/>
      <c r="E50" s="27"/>
      <c r="F50" s="31"/>
      <c r="G50" s="82" t="str">
        <f>IF(F50=0,"",VLOOKUP(F50,Employés!$A$2:$B$186,2,0))</f>
        <v/>
      </c>
      <c r="H50" s="82"/>
      <c r="I50" s="35"/>
      <c r="J50" s="29"/>
      <c r="K50" s="26"/>
      <c r="L50" s="25"/>
      <c r="M50" s="37" t="str">
        <f>IF(I50=0,"",VLOOKUP(I50,Municipalités!$A$2:$B$1290,2,TRUE))</f>
        <v/>
      </c>
    </row>
    <row r="51" spans="1:13" ht="30" customHeight="1" x14ac:dyDescent="0.25">
      <c r="A51" s="8"/>
      <c r="B51" s="8"/>
      <c r="C51" s="30"/>
      <c r="D51" s="8"/>
      <c r="E51" s="27"/>
      <c r="F51" s="31"/>
      <c r="G51" s="82" t="str">
        <f>IF(F51=0,"",VLOOKUP(F51,Employés!$A$2:$B$186,2,0))</f>
        <v/>
      </c>
      <c r="H51" s="82"/>
      <c r="I51" s="35"/>
      <c r="J51" s="29"/>
      <c r="K51" s="26"/>
      <c r="L51" s="25"/>
      <c r="M51" s="37" t="str">
        <f>IF(I51=0,"",VLOOKUP(I51,Municipalités!$A$2:$B$1290,2,TRUE))</f>
        <v/>
      </c>
    </row>
    <row r="52" spans="1:13" ht="30" customHeight="1" x14ac:dyDescent="0.25">
      <c r="A52" s="8"/>
      <c r="B52" s="8"/>
      <c r="C52" s="30"/>
      <c r="D52" s="8"/>
      <c r="E52" s="27"/>
      <c r="F52" s="31"/>
      <c r="G52" s="82" t="str">
        <f>IF(F52=0,"",VLOOKUP(F52,Employés!$A$2:$B$186,2,0))</f>
        <v/>
      </c>
      <c r="H52" s="82"/>
      <c r="I52" s="35"/>
      <c r="J52" s="29"/>
      <c r="K52" s="26"/>
      <c r="L52" s="25"/>
      <c r="M52" s="37" t="str">
        <f>IF(I52=0,"",VLOOKUP(I52,Municipalités!$A$2:$B$1290,2,TRUE))</f>
        <v/>
      </c>
    </row>
    <row r="53" spans="1:13" ht="30" customHeight="1" x14ac:dyDescent="0.25">
      <c r="A53" s="8"/>
      <c r="B53" s="8"/>
      <c r="C53" s="30"/>
      <c r="D53" s="8"/>
      <c r="E53" s="27"/>
      <c r="F53" s="31"/>
      <c r="G53" s="82" t="str">
        <f>IF(F53=0,"",VLOOKUP(F53,Employés!$A$2:$B$186,2,0))</f>
        <v/>
      </c>
      <c r="H53" s="82"/>
      <c r="I53" s="35"/>
      <c r="J53" s="29"/>
      <c r="K53" s="26"/>
      <c r="L53" s="25"/>
      <c r="M53" s="37" t="str">
        <f>IF(I53=0,"",VLOOKUP(I53,Municipalités!$A$2:$B$1290,2,TRUE))</f>
        <v/>
      </c>
    </row>
    <row r="54" spans="1:13" ht="30" customHeight="1" x14ac:dyDescent="0.25">
      <c r="A54" s="8"/>
      <c r="B54" s="8"/>
      <c r="C54" s="30"/>
      <c r="D54" s="8"/>
      <c r="E54" s="27"/>
      <c r="F54" s="31"/>
      <c r="G54" s="82" t="str">
        <f>IF(F54=0,"",VLOOKUP(F54,Employés!$A$2:$B$186,2,0))</f>
        <v/>
      </c>
      <c r="H54" s="82"/>
      <c r="I54" s="35"/>
      <c r="J54" s="29"/>
      <c r="K54" s="26"/>
      <c r="L54" s="25"/>
      <c r="M54" s="37" t="str">
        <f>IF(I54=0,"",VLOOKUP(I54,Municipalités!$A$2:$B$1290,2,TRUE))</f>
        <v/>
      </c>
    </row>
    <row r="55" spans="1:13" ht="30" customHeight="1" x14ac:dyDescent="0.25">
      <c r="A55" s="8"/>
      <c r="B55" s="8"/>
      <c r="C55" s="30"/>
      <c r="D55" s="8"/>
      <c r="E55" s="27"/>
      <c r="F55" s="31"/>
      <c r="G55" s="82" t="str">
        <f>IF(F55=0,"",VLOOKUP(F55,Employés!$A$2:$B$186,2,0))</f>
        <v/>
      </c>
      <c r="H55" s="82"/>
      <c r="I55" s="35"/>
      <c r="J55" s="29"/>
      <c r="K55" s="26"/>
      <c r="L55" s="25"/>
      <c r="M55" s="37" t="str">
        <f>IF(I55=0,"",VLOOKUP(I55,Municipalités!$A$2:$B$1290,2,TRUE))</f>
        <v/>
      </c>
    </row>
    <row r="56" spans="1:13" ht="30" customHeight="1" x14ac:dyDescent="0.25">
      <c r="A56" s="8"/>
      <c r="B56" s="8"/>
      <c r="C56" s="30"/>
      <c r="D56" s="8"/>
      <c r="E56" s="27"/>
      <c r="F56" s="31"/>
      <c r="G56" s="82" t="str">
        <f>IF(F56=0,"",VLOOKUP(F56,Employés!$A$2:$B$186,2,0))</f>
        <v/>
      </c>
      <c r="H56" s="82"/>
      <c r="I56" s="35"/>
      <c r="J56" s="29"/>
      <c r="K56" s="26"/>
      <c r="L56" s="25"/>
      <c r="M56" s="37" t="str">
        <f>IF(I56=0,"",VLOOKUP(I56,Municipalités!$A$2:$B$1290,2,TRUE))</f>
        <v/>
      </c>
    </row>
    <row r="57" spans="1:13" ht="30" customHeight="1" x14ac:dyDescent="0.25">
      <c r="A57" s="8"/>
      <c r="B57" s="8"/>
      <c r="C57" s="30"/>
      <c r="D57" s="8"/>
      <c r="E57" s="27"/>
      <c r="F57" s="31"/>
      <c r="G57" s="82" t="str">
        <f>IF(F57=0,"",VLOOKUP(F57,Employés!$A$2:$B$186,2,0))</f>
        <v/>
      </c>
      <c r="H57" s="82"/>
      <c r="I57" s="35"/>
      <c r="J57" s="29"/>
      <c r="K57" s="26"/>
      <c r="L57" s="25"/>
      <c r="M57" s="37" t="str">
        <f>IF(I57=0,"",VLOOKUP(I57,Municipalités!$A$2:$B$1290,2,TRUE))</f>
        <v/>
      </c>
    </row>
    <row r="58" spans="1:13" ht="30" customHeight="1" x14ac:dyDescent="0.25">
      <c r="A58" s="8"/>
      <c r="B58" s="8"/>
      <c r="C58" s="30"/>
      <c r="D58" s="8"/>
      <c r="E58" s="27"/>
      <c r="F58" s="31"/>
      <c r="G58" s="82" t="str">
        <f>IF(F58=0,"",VLOOKUP(F58,Employés!$A$2:$B$186,2,0))</f>
        <v/>
      </c>
      <c r="H58" s="82"/>
      <c r="I58" s="35"/>
      <c r="J58" s="29"/>
      <c r="K58" s="26"/>
      <c r="L58" s="25"/>
      <c r="M58" s="37" t="str">
        <f>IF(I58=0,"",VLOOKUP(I58,Municipalités!$A$2:$B$1290,2,TRUE))</f>
        <v/>
      </c>
    </row>
    <row r="59" spans="1:13" ht="30" customHeight="1" x14ac:dyDescent="0.25">
      <c r="A59" s="8"/>
      <c r="B59" s="8"/>
      <c r="C59" s="30"/>
      <c r="D59" s="8"/>
      <c r="E59" s="27"/>
      <c r="F59" s="31"/>
      <c r="G59" s="82" t="str">
        <f>IF(F59=0,"",VLOOKUP(F59,Employés!$A$2:$B$186,2,0))</f>
        <v/>
      </c>
      <c r="H59" s="82"/>
      <c r="I59" s="35"/>
      <c r="J59" s="29"/>
      <c r="K59" s="26"/>
      <c r="L59" s="25"/>
      <c r="M59" s="37" t="str">
        <f>IF(I59=0,"",VLOOKUP(I59,Municipalités!$A$2:$B$1290,2,TRUE))</f>
        <v/>
      </c>
    </row>
    <row r="60" spans="1:13" ht="30" customHeight="1" x14ac:dyDescent="0.25">
      <c r="A60" s="8"/>
      <c r="B60" s="8"/>
      <c r="C60" s="30"/>
      <c r="D60" s="8"/>
      <c r="E60" s="27"/>
      <c r="F60" s="31"/>
      <c r="G60" s="82" t="str">
        <f>IF(F60=0,"",VLOOKUP(F60,Employés!$A$2:$B$186,2,0))</f>
        <v/>
      </c>
      <c r="H60" s="82"/>
      <c r="I60" s="35"/>
      <c r="J60" s="29"/>
      <c r="K60" s="26"/>
      <c r="L60" s="25"/>
      <c r="M60" s="37" t="str">
        <f>IF(I60=0,"",VLOOKUP(I60,Municipalités!$A$2:$B$1290,2,TRUE))</f>
        <v/>
      </c>
    </row>
    <row r="61" spans="1:13" ht="30" customHeight="1" x14ac:dyDescent="0.25">
      <c r="A61" s="8"/>
      <c r="B61" s="8"/>
      <c r="C61" s="30"/>
      <c r="D61" s="8"/>
      <c r="E61" s="27"/>
      <c r="F61" s="31"/>
      <c r="G61" s="82" t="str">
        <f>IF(F61=0,"",VLOOKUP(F61,Employés!$A$2:$B$186,2,0))</f>
        <v/>
      </c>
      <c r="H61" s="82"/>
      <c r="I61" s="35"/>
      <c r="J61" s="29"/>
      <c r="K61" s="26"/>
      <c r="L61" s="25"/>
      <c r="M61" s="37" t="str">
        <f>IF(I61=0,"",VLOOKUP(I61,Municipalités!$A$2:$B$1290,2,TRUE))</f>
        <v/>
      </c>
    </row>
    <row r="62" spans="1:13" x14ac:dyDescent="0.25">
      <c r="C62" s="14"/>
    </row>
    <row r="63" spans="1:13" x14ac:dyDescent="0.25">
      <c r="C63" s="14"/>
    </row>
    <row r="64" spans="1:13" x14ac:dyDescent="0.25">
      <c r="C64" s="14"/>
    </row>
    <row r="65" spans="3:5" x14ac:dyDescent="0.25">
      <c r="C65" s="14"/>
    </row>
    <row r="66" spans="3:5" x14ac:dyDescent="0.25">
      <c r="C66" s="14"/>
    </row>
    <row r="67" spans="3:5" x14ac:dyDescent="0.25">
      <c r="C67" s="14"/>
    </row>
    <row r="68" spans="3:5" x14ac:dyDescent="0.25">
      <c r="C68" s="14"/>
    </row>
    <row r="69" spans="3:5" x14ac:dyDescent="0.25">
      <c r="C69" s="14"/>
    </row>
    <row r="70" spans="3:5" x14ac:dyDescent="0.25">
      <c r="C70" s="14"/>
    </row>
    <row r="71" spans="3:5" x14ac:dyDescent="0.25">
      <c r="C71" s="14"/>
    </row>
    <row r="72" spans="3:5" x14ac:dyDescent="0.25">
      <c r="C72" s="14"/>
    </row>
    <row r="73" spans="3:5" x14ac:dyDescent="0.25">
      <c r="C73" s="14"/>
    </row>
    <row r="74" spans="3:5" x14ac:dyDescent="0.25">
      <c r="C74" s="14"/>
    </row>
    <row r="75" spans="3:5" x14ac:dyDescent="0.25">
      <c r="C75" s="14"/>
    </row>
    <row r="76" spans="3:5" x14ac:dyDescent="0.25">
      <c r="C76" s="14"/>
    </row>
    <row r="77" spans="3:5" x14ac:dyDescent="0.25">
      <c r="C77" s="14"/>
    </row>
    <row r="78" spans="3:5" x14ac:dyDescent="0.25">
      <c r="C78" s="14"/>
      <c r="E78" s="21" t="s">
        <v>1420</v>
      </c>
    </row>
    <row r="79" spans="3:5" x14ac:dyDescent="0.25">
      <c r="C79" s="14"/>
    </row>
    <row r="80" spans="3:5" x14ac:dyDescent="0.25">
      <c r="C80" s="14"/>
    </row>
    <row r="81" spans="3:3" x14ac:dyDescent="0.25">
      <c r="C81" s="14"/>
    </row>
    <row r="82" spans="3:3" x14ac:dyDescent="0.25">
      <c r="C82" s="14"/>
    </row>
    <row r="83" spans="3:3" x14ac:dyDescent="0.25">
      <c r="C83" s="14"/>
    </row>
    <row r="84" spans="3:3" x14ac:dyDescent="0.25">
      <c r="C84" s="14"/>
    </row>
    <row r="85" spans="3:3" x14ac:dyDescent="0.25">
      <c r="C85" s="14"/>
    </row>
    <row r="86" spans="3:3" x14ac:dyDescent="0.25">
      <c r="C86" s="14"/>
    </row>
    <row r="87" spans="3:3" x14ac:dyDescent="0.25">
      <c r="C87" s="14"/>
    </row>
    <row r="88" spans="3:3" x14ac:dyDescent="0.25">
      <c r="C88" s="14"/>
    </row>
    <row r="89" spans="3:3" x14ac:dyDescent="0.25">
      <c r="C89" s="14"/>
    </row>
    <row r="90" spans="3:3" x14ac:dyDescent="0.25">
      <c r="C90" s="14"/>
    </row>
    <row r="91" spans="3:3" x14ac:dyDescent="0.25">
      <c r="C91" s="14"/>
    </row>
    <row r="92" spans="3:3" x14ac:dyDescent="0.25">
      <c r="C92" s="14"/>
    </row>
    <row r="93" spans="3:3" x14ac:dyDescent="0.25">
      <c r="C93" s="14"/>
    </row>
    <row r="94" spans="3:3" x14ac:dyDescent="0.25">
      <c r="C94" s="14"/>
    </row>
    <row r="95" spans="3:3" x14ac:dyDescent="0.25">
      <c r="C95" s="14"/>
    </row>
    <row r="96" spans="3:3" x14ac:dyDescent="0.25">
      <c r="C96" s="14"/>
    </row>
    <row r="97" spans="3:3" x14ac:dyDescent="0.25">
      <c r="C97" s="14"/>
    </row>
    <row r="98" spans="3:3" x14ac:dyDescent="0.25">
      <c r="C98" s="14"/>
    </row>
  </sheetData>
  <mergeCells count="67">
    <mergeCell ref="G59:H59"/>
    <mergeCell ref="G60:H60"/>
    <mergeCell ref="G61:H61"/>
    <mergeCell ref="G53:H53"/>
    <mergeCell ref="G54:H54"/>
    <mergeCell ref="G55:H55"/>
    <mergeCell ref="G56:H56"/>
    <mergeCell ref="G57:H57"/>
    <mergeCell ref="G58:H58"/>
    <mergeCell ref="G52:H52"/>
    <mergeCell ref="G41:H41"/>
    <mergeCell ref="G42:H42"/>
    <mergeCell ref="G43:H43"/>
    <mergeCell ref="G44:H44"/>
    <mergeCell ref="G45:H45"/>
    <mergeCell ref="G46:H46"/>
    <mergeCell ref="G47:H47"/>
    <mergeCell ref="G48:H48"/>
    <mergeCell ref="G49:H49"/>
    <mergeCell ref="G50:H50"/>
    <mergeCell ref="G51:H51"/>
    <mergeCell ref="G40:H40"/>
    <mergeCell ref="G29:H29"/>
    <mergeCell ref="G30:H30"/>
    <mergeCell ref="G31:H31"/>
    <mergeCell ref="G32:H32"/>
    <mergeCell ref="G33:H33"/>
    <mergeCell ref="G34:H34"/>
    <mergeCell ref="G35:H35"/>
    <mergeCell ref="G36:H36"/>
    <mergeCell ref="G37:H37"/>
    <mergeCell ref="G38:H38"/>
    <mergeCell ref="G39:H39"/>
    <mergeCell ref="G28:H28"/>
    <mergeCell ref="G17:H17"/>
    <mergeCell ref="G18:H18"/>
    <mergeCell ref="G19:H19"/>
    <mergeCell ref="G20:H20"/>
    <mergeCell ref="G21:H21"/>
    <mergeCell ref="G22:H22"/>
    <mergeCell ref="G23:H23"/>
    <mergeCell ref="G24:H24"/>
    <mergeCell ref="G25:H25"/>
    <mergeCell ref="G26:H26"/>
    <mergeCell ref="G27:H27"/>
    <mergeCell ref="M2:M4"/>
    <mergeCell ref="G16:H16"/>
    <mergeCell ref="I6:I7"/>
    <mergeCell ref="J6:J7"/>
    <mergeCell ref="K6:M6"/>
    <mergeCell ref="G8:H8"/>
    <mergeCell ref="G9:H9"/>
    <mergeCell ref="G10:H10"/>
    <mergeCell ref="G11:H11"/>
    <mergeCell ref="G12:H12"/>
    <mergeCell ref="G13:H13"/>
    <mergeCell ref="G14:H14"/>
    <mergeCell ref="G15:H15"/>
    <mergeCell ref="E1:F4"/>
    <mergeCell ref="L1:L2"/>
    <mergeCell ref="A6:A7"/>
    <mergeCell ref="B6:B7"/>
    <mergeCell ref="C6:C7"/>
    <mergeCell ref="D6:D7"/>
    <mergeCell ref="E6:E7"/>
    <mergeCell ref="F6:F7"/>
    <mergeCell ref="G6:H7"/>
  </mergeCells>
  <conditionalFormatting sqref="C16:C21 C23:C45">
    <cfRule type="expression" dxfId="143" priority="7" stopIfTrue="1">
      <formula>#REF!=1</formula>
    </cfRule>
    <cfRule type="expression" priority="8" stopIfTrue="1">
      <formula>#REF!=2</formula>
    </cfRule>
    <cfRule type="expression" dxfId="142" priority="9" stopIfTrue="1">
      <formula>#REF!=3</formula>
    </cfRule>
  </conditionalFormatting>
  <conditionalFormatting sqref="C22">
    <cfRule type="expression" dxfId="141" priority="4" stopIfTrue="1">
      <formula>#REF!=1</formula>
    </cfRule>
    <cfRule type="expression" priority="5" stopIfTrue="1">
      <formula>#REF!=2</formula>
    </cfRule>
    <cfRule type="expression" dxfId="140" priority="6" stopIfTrue="1">
      <formula>#REF!=3</formula>
    </cfRule>
  </conditionalFormatting>
  <conditionalFormatting sqref="C46:C61">
    <cfRule type="expression" dxfId="139" priority="1" stopIfTrue="1">
      <formula>#REF!=1</formula>
    </cfRule>
    <cfRule type="expression" priority="2" stopIfTrue="1">
      <formula>#REF!=2</formula>
    </cfRule>
    <cfRule type="expression" dxfId="138" priority="3" stopIfTrue="1">
      <formula>#REF!=3</formula>
    </cfRule>
  </conditionalFormatting>
  <dataValidations count="2">
    <dataValidation operator="greaterThan" allowBlank="1" showDropDown="1" showInputMessage="1" showErrorMessage="1" errorTitle="Saisie incorrecte" error="Re-Saisir le numéro de dossier sous le format_x000a_000-000000-000" promptTitle="Saisie du numéro d'événement" prompt="000-000000-000_x000a_Ex. : 071-030901-001" sqref="J8:J39" xr:uid="{00000000-0002-0000-0700-000000000000}"/>
    <dataValidation type="textLength" operator="greaterThanOrEqual" allowBlank="1" showInputMessage="1" showErrorMessage="1" errorTitle="Saisie incorrecte" error="Re-saisir le numéro d'entrée en utilisant 3 chiffres_x000a_Ex.: 001" promptTitle="Saisie du numéro d'entrée" prompt="Minimum 3 chiffres_x000a_Ex.: 001" sqref="C8:C39" xr:uid="{00000000-0002-0000-0700-000001000000}">
      <formula1>3</formula1>
    </dataValidation>
  </dataValidations>
  <printOptions horizontalCentered="1" verticalCentered="1"/>
  <pageMargins left="0" right="0" top="0.31496062992125984" bottom="0.39370078740157483" header="0.15748031496062992" footer="0.19685039370078741"/>
  <pageSetup paperSize="5" scale="90" orientation="landscape" r:id="rId1"/>
  <headerFooter alignWithMargins="0">
    <oddFooter>&amp;R&amp;8Page &amp;P de &amp;N</oddFooter>
  </headerFooter>
  <drawing r:id="rId2"/>
  <legacyDrawing r:id="rId3"/>
  <controls>
    <mc:AlternateContent xmlns:mc="http://schemas.openxmlformats.org/markup-compatibility/2006">
      <mc:Choice Requires="x14">
        <control shapeId="149507" r:id="rId4" name="ComboBox2">
          <controlPr defaultSize="0" autoLine="0" r:id="rId5">
            <anchor moveWithCells="1">
              <from>
                <xdr:col>4</xdr:col>
                <xdr:colOff>0</xdr:colOff>
                <xdr:row>10</xdr:row>
                <xdr:rowOff>0</xdr:rowOff>
              </from>
              <to>
                <xdr:col>4</xdr:col>
                <xdr:colOff>2965450</xdr:colOff>
                <xdr:row>11</xdr:row>
                <xdr:rowOff>38100</xdr:rowOff>
              </to>
            </anchor>
          </controlPr>
        </control>
      </mc:Choice>
      <mc:Fallback>
        <control shapeId="149507" r:id="rId4" name="ComboBox2"/>
      </mc:Fallback>
    </mc:AlternateContent>
    <mc:AlternateContent xmlns:mc="http://schemas.openxmlformats.org/markup-compatibility/2006">
      <mc:Choice Requires="x14">
        <control shapeId="149506" r:id="rId6" name="ComboBox1">
          <controlPr defaultSize="0" autoLine="0" r:id="rId7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11</xdr:col>
                <xdr:colOff>1803400</xdr:colOff>
                <xdr:row>9</xdr:row>
                <xdr:rowOff>38100</xdr:rowOff>
              </to>
            </anchor>
          </controlPr>
        </control>
      </mc:Choice>
      <mc:Fallback>
        <control shapeId="149506" r:id="rId6" name="ComboBox1"/>
      </mc:Fallback>
    </mc:AlternateContent>
    <mc:AlternateContent xmlns:mc="http://schemas.openxmlformats.org/markup-compatibility/2006">
      <mc:Choice Requires="x14">
        <control shapeId="149505" r:id="rId8" name="Button 1">
          <controlPr defaultSize="0" print="0" autoFill="0" autoPict="0" macro="[0]!test2">
            <anchor moveWithCells="1">
              <from>
                <xdr:col>5</xdr:col>
                <xdr:colOff>222250</xdr:colOff>
                <xdr:row>1</xdr:row>
                <xdr:rowOff>139700</xdr:rowOff>
              </from>
              <to>
                <xdr:col>9</xdr:col>
                <xdr:colOff>1143000</xdr:colOff>
                <xdr:row>4</xdr:row>
                <xdr:rowOff>107950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66"/>
  <dimension ref="A1:M98"/>
  <sheetViews>
    <sheetView showGridLines="0" zoomScaleNormal="100" workbookViewId="0">
      <pane xSplit="3" ySplit="7" topLeftCell="D8" activePane="bottomRight" state="frozen"/>
      <selection activeCell="C8" sqref="C8"/>
      <selection pane="topRight" activeCell="C8" sqref="C8"/>
      <selection pane="bottomLeft" activeCell="C8" sqref="C8"/>
      <selection pane="bottomRight" activeCell="M2" sqref="M2:M5"/>
    </sheetView>
  </sheetViews>
  <sheetFormatPr baseColWidth="10" defaultColWidth="11.453125" defaultRowHeight="13" x14ac:dyDescent="0.25"/>
  <cols>
    <col min="1" max="2" width="5.6328125" style="1" customWidth="1"/>
    <col min="3" max="3" width="6.6328125" style="1" customWidth="1"/>
    <col min="4" max="4" width="7.54296875" style="1" customWidth="1"/>
    <col min="5" max="5" width="44.453125" style="21" customWidth="1"/>
    <col min="6" max="6" width="10.54296875" style="1" customWidth="1"/>
    <col min="7" max="7" width="13.90625" style="1" customWidth="1"/>
    <col min="8" max="8" width="4.6328125" style="1" hidden="1" customWidth="1"/>
    <col min="9" max="9" width="6.08984375" style="1" customWidth="1"/>
    <col min="10" max="10" width="26.54296875" style="1" customWidth="1"/>
    <col min="11" max="11" width="7.36328125" style="1" customWidth="1"/>
    <col min="12" max="12" width="27" style="24" customWidth="1"/>
    <col min="13" max="13" width="26" style="1" customWidth="1"/>
    <col min="14" max="16384" width="11.453125" style="1"/>
  </cols>
  <sheetData>
    <row r="1" spans="1:13" ht="12.75" customHeight="1" x14ac:dyDescent="0.25">
      <c r="E1" s="71" t="s">
        <v>1023</v>
      </c>
      <c r="F1" s="72"/>
      <c r="L1" s="73" t="s">
        <v>1021</v>
      </c>
      <c r="M1" s="51" t="s">
        <v>1022</v>
      </c>
    </row>
    <row r="2" spans="1:13" ht="12.75" customHeight="1" x14ac:dyDescent="0.25">
      <c r="E2" s="72"/>
      <c r="F2" s="72"/>
      <c r="L2" s="74"/>
      <c r="M2" s="70">
        <f>'08'!M2:M5+1</f>
        <v>42713</v>
      </c>
    </row>
    <row r="3" spans="1:13" ht="12.75" customHeight="1" x14ac:dyDescent="0.25">
      <c r="E3" s="72"/>
      <c r="F3" s="72"/>
      <c r="L3" s="52"/>
      <c r="M3" s="70"/>
    </row>
    <row r="4" spans="1:13" ht="15.75" customHeight="1" x14ac:dyDescent="0.25">
      <c r="E4" s="72"/>
      <c r="F4" s="72"/>
      <c r="L4" s="49" t="s">
        <v>140</v>
      </c>
      <c r="M4" s="70"/>
    </row>
    <row r="5" spans="1:13" ht="21.9" customHeight="1" thickBot="1" x14ac:dyDescent="0.3">
      <c r="L5" s="36"/>
      <c r="M5" s="69">
        <f>M2</f>
        <v>42713</v>
      </c>
    </row>
    <row r="6" spans="1:13" ht="24.9" customHeight="1" x14ac:dyDescent="0.25">
      <c r="A6" s="75" t="s">
        <v>2351</v>
      </c>
      <c r="B6" s="75" t="s">
        <v>2350</v>
      </c>
      <c r="C6" s="76" t="s">
        <v>1362</v>
      </c>
      <c r="D6" s="75" t="s">
        <v>1153</v>
      </c>
      <c r="E6" s="75" t="s">
        <v>1016</v>
      </c>
      <c r="F6" s="76" t="s">
        <v>2352</v>
      </c>
      <c r="G6" s="76" t="s">
        <v>1017</v>
      </c>
      <c r="H6" s="79"/>
      <c r="I6" s="76" t="s">
        <v>1364</v>
      </c>
      <c r="J6" s="76" t="s">
        <v>1363</v>
      </c>
      <c r="K6" s="83" t="s">
        <v>1018</v>
      </c>
      <c r="L6" s="84"/>
      <c r="M6" s="84"/>
    </row>
    <row r="7" spans="1:13" ht="12.5" x14ac:dyDescent="0.25">
      <c r="A7" s="75"/>
      <c r="B7" s="75"/>
      <c r="C7" s="77"/>
      <c r="D7" s="75"/>
      <c r="E7" s="75"/>
      <c r="F7" s="78"/>
      <c r="G7" s="80"/>
      <c r="H7" s="81"/>
      <c r="I7" s="77"/>
      <c r="J7" s="77"/>
      <c r="K7" s="50" t="s">
        <v>1015</v>
      </c>
      <c r="L7" s="50" t="s">
        <v>1019</v>
      </c>
      <c r="M7" s="32" t="s">
        <v>1020</v>
      </c>
    </row>
    <row r="8" spans="1:13" ht="30" customHeight="1" x14ac:dyDescent="0.25">
      <c r="A8" s="45"/>
      <c r="B8" s="45"/>
      <c r="C8" s="30"/>
      <c r="D8" s="46"/>
      <c r="E8" s="27"/>
      <c r="F8" s="31"/>
      <c r="G8" s="82" t="str">
        <f>IF(F8=0,"",VLOOKUP(F8,Employés!$A$2:$B$186,2,0))</f>
        <v/>
      </c>
      <c r="H8" s="82"/>
      <c r="I8" s="34"/>
      <c r="J8" s="33"/>
      <c r="K8" s="19"/>
      <c r="L8" s="20" t="s">
        <v>1420</v>
      </c>
      <c r="M8" s="37" t="str">
        <f>IF(I8=0,"",VLOOKUP(I8,Municipalités!$A$2:$B$1290,2,TRUE))</f>
        <v/>
      </c>
    </row>
    <row r="9" spans="1:13" ht="30" customHeight="1" x14ac:dyDescent="0.25">
      <c r="A9" s="45"/>
      <c r="B9" s="45"/>
      <c r="C9" s="39"/>
      <c r="D9" s="47"/>
      <c r="E9" s="27"/>
      <c r="F9" s="31"/>
      <c r="G9" s="82" t="str">
        <f>IF(F9=0,"",VLOOKUP(F9,Employés!$A$2:$B$186,2,0))</f>
        <v/>
      </c>
      <c r="H9" s="82"/>
      <c r="I9" s="35"/>
      <c r="J9" s="33"/>
      <c r="K9" s="19"/>
      <c r="L9" s="20"/>
      <c r="M9" s="37" t="str">
        <f>IF(I9=0,"",VLOOKUP(I9,Municipalités!$A$2:$B$1290,2,TRUE))</f>
        <v/>
      </c>
    </row>
    <row r="10" spans="1:13" ht="30" customHeight="1" x14ac:dyDescent="0.25">
      <c r="A10" s="45"/>
      <c r="B10" s="45"/>
      <c r="C10" s="39"/>
      <c r="D10" s="48"/>
      <c r="E10" s="28"/>
      <c r="F10" s="31"/>
      <c r="G10" s="82" t="str">
        <f>IF(F10=0,"",VLOOKUP(F10,Employés!$A$2:$B$186,2,0))</f>
        <v/>
      </c>
      <c r="H10" s="82"/>
      <c r="I10" s="35"/>
      <c r="J10" s="29"/>
      <c r="K10" s="19"/>
      <c r="L10" s="20"/>
      <c r="M10" s="37" t="str">
        <f>IF(I10=0,"",VLOOKUP(I10,Municipalités!$A$2:$B$1290,2,TRUE))</f>
        <v/>
      </c>
    </row>
    <row r="11" spans="1:13" ht="30" customHeight="1" x14ac:dyDescent="0.25">
      <c r="A11" s="45"/>
      <c r="B11" s="45"/>
      <c r="C11" s="39"/>
      <c r="D11" s="47"/>
      <c r="E11" s="28" t="s">
        <v>1420</v>
      </c>
      <c r="F11" s="31"/>
      <c r="G11" s="82" t="str">
        <f>IF(F11=0,"",VLOOKUP(F11,Employés!$A$2:$B$186,2,0))</f>
        <v/>
      </c>
      <c r="H11" s="82"/>
      <c r="I11" s="35"/>
      <c r="J11" s="29"/>
      <c r="K11" s="19"/>
      <c r="L11" s="20"/>
      <c r="M11" s="37" t="str">
        <f>IF(I11=0,"",VLOOKUP(I11,Municipalités!$A$2:$B$1290,2,TRUE))</f>
        <v/>
      </c>
    </row>
    <row r="12" spans="1:13" ht="30" customHeight="1" x14ac:dyDescent="0.25">
      <c r="A12" s="45"/>
      <c r="B12" s="45"/>
      <c r="C12" s="39"/>
      <c r="D12" s="46"/>
      <c r="E12" s="27"/>
      <c r="F12" s="31"/>
      <c r="G12" s="82" t="str">
        <f>IF(F12=0,"",VLOOKUP(F12,Employés!$A$2:$B$186,2,0))</f>
        <v/>
      </c>
      <c r="H12" s="82"/>
      <c r="I12" s="35"/>
      <c r="J12" s="29"/>
      <c r="K12" s="19"/>
      <c r="L12" s="20"/>
      <c r="M12" s="37" t="str">
        <f>IF(I12=0,"",VLOOKUP(I12,Municipalités!$A$2:$B$1290,2,TRUE))</f>
        <v/>
      </c>
    </row>
    <row r="13" spans="1:13" ht="30" customHeight="1" x14ac:dyDescent="0.25">
      <c r="A13" s="45"/>
      <c r="B13" s="45"/>
      <c r="C13" s="39"/>
      <c r="D13" s="46"/>
      <c r="E13" s="27"/>
      <c r="F13" s="31"/>
      <c r="G13" s="82" t="str">
        <f>IF(F13=0,"",VLOOKUP(F13,Employés!$A$2:$B$186,2,0))</f>
        <v/>
      </c>
      <c r="H13" s="82"/>
      <c r="I13" s="35"/>
      <c r="J13" s="29"/>
      <c r="K13" s="19"/>
      <c r="L13" s="20"/>
      <c r="M13" s="37" t="str">
        <f>IF(I13=0,"",VLOOKUP(I13,Municipalités!$A$2:$B$1290,2,TRUE))</f>
        <v/>
      </c>
    </row>
    <row r="14" spans="1:13" ht="30" customHeight="1" x14ac:dyDescent="0.25">
      <c r="A14" s="45"/>
      <c r="B14" s="45"/>
      <c r="C14" s="39"/>
      <c r="D14" s="47"/>
      <c r="E14" s="27"/>
      <c r="F14" s="31"/>
      <c r="G14" s="82" t="str">
        <f>IF(F14=0,"",VLOOKUP(F14,Employés!$A$2:$B$186,2,0))</f>
        <v/>
      </c>
      <c r="H14" s="82"/>
      <c r="I14" s="35"/>
      <c r="J14" s="29"/>
      <c r="K14" s="19"/>
      <c r="L14" s="20"/>
      <c r="M14" s="37" t="str">
        <f>IF(I14=0,"",VLOOKUP(I14,Municipalités!$A$2:$B$1290,2,TRUE))</f>
        <v/>
      </c>
    </row>
    <row r="15" spans="1:13" ht="30" customHeight="1" x14ac:dyDescent="0.25">
      <c r="A15" s="45"/>
      <c r="B15" s="45"/>
      <c r="C15" s="39"/>
      <c r="D15" s="47"/>
      <c r="E15" s="27"/>
      <c r="F15" s="31"/>
      <c r="G15" s="82" t="str">
        <f>IF(F15=0,"",VLOOKUP(F15,Employés!$A$2:$B$186,2,0))</f>
        <v/>
      </c>
      <c r="H15" s="82"/>
      <c r="I15" s="35"/>
      <c r="J15" s="29"/>
      <c r="K15" s="19"/>
      <c r="L15" s="20"/>
      <c r="M15" s="37" t="str">
        <f>IF(I15=0,"",VLOOKUP(I15,Municipalités!$A$2:$B$1290,2,TRUE))</f>
        <v/>
      </c>
    </row>
    <row r="16" spans="1:13" ht="30" customHeight="1" x14ac:dyDescent="0.25">
      <c r="A16" s="45"/>
      <c r="B16" s="45"/>
      <c r="C16" s="39"/>
      <c r="D16" s="46"/>
      <c r="E16" s="27"/>
      <c r="F16" s="31"/>
      <c r="G16" s="82" t="str">
        <f>IF(F16=0,"",VLOOKUP(F16,Employés!$A$2:$B$186,2,0))</f>
        <v/>
      </c>
      <c r="H16" s="82"/>
      <c r="I16" s="35"/>
      <c r="J16" s="29"/>
      <c r="K16" s="19"/>
      <c r="L16" s="20"/>
      <c r="M16" s="37" t="str">
        <f>IF(I16=0,"",VLOOKUP(I16,Municipalités!$A$2:$B$1290,2,TRUE))</f>
        <v/>
      </c>
    </row>
    <row r="17" spans="1:13" ht="30" customHeight="1" x14ac:dyDescent="0.25">
      <c r="A17" s="45"/>
      <c r="B17" s="45"/>
      <c r="C17" s="39"/>
      <c r="D17" s="46"/>
      <c r="E17" s="27"/>
      <c r="F17" s="31"/>
      <c r="G17" s="82" t="str">
        <f>IF(F17=0,"",VLOOKUP(F17,Employés!$A$2:$B$186,2,0))</f>
        <v/>
      </c>
      <c r="H17" s="82"/>
      <c r="I17" s="35"/>
      <c r="J17" s="29"/>
      <c r="K17" s="19"/>
      <c r="L17" s="20"/>
      <c r="M17" s="37" t="str">
        <f>IF(I17=0,"",VLOOKUP(I17,Municipalités!$A$2:$B$1290,2,TRUE))</f>
        <v/>
      </c>
    </row>
    <row r="18" spans="1:13" ht="30" customHeight="1" x14ac:dyDescent="0.25">
      <c r="A18" s="45"/>
      <c r="B18" s="45"/>
      <c r="C18" s="39"/>
      <c r="D18" s="46"/>
      <c r="E18" s="27"/>
      <c r="F18" s="31"/>
      <c r="G18" s="82" t="str">
        <f>IF(F18=0,"",VLOOKUP(F18,Employés!$A$2:$B$186,2,0))</f>
        <v/>
      </c>
      <c r="H18" s="82"/>
      <c r="I18" s="35"/>
      <c r="J18" s="29"/>
      <c r="K18" s="19"/>
      <c r="L18" s="20"/>
      <c r="M18" s="37" t="str">
        <f>IF(I18=0,"",VLOOKUP(I18,Municipalités!$A$2:$B$1290,2,TRUE))</f>
        <v/>
      </c>
    </row>
    <row r="19" spans="1:13" ht="30" customHeight="1" x14ac:dyDescent="0.25">
      <c r="A19" s="45"/>
      <c r="B19" s="45"/>
      <c r="C19" s="39"/>
      <c r="D19" s="46"/>
      <c r="E19" s="27"/>
      <c r="F19" s="31"/>
      <c r="G19" s="82" t="str">
        <f>IF(F19=0,"",VLOOKUP(F19,Employés!$A$2:$B$186,2,0))</f>
        <v/>
      </c>
      <c r="H19" s="82"/>
      <c r="I19" s="35"/>
      <c r="J19" s="29"/>
      <c r="K19" s="19"/>
      <c r="L19" s="20"/>
      <c r="M19" s="37" t="str">
        <f>IF(I19=0,"",VLOOKUP(I19,Municipalités!$A$2:$B$1290,2,TRUE))</f>
        <v/>
      </c>
    </row>
    <row r="20" spans="1:13" ht="30" customHeight="1" x14ac:dyDescent="0.25">
      <c r="A20" s="45"/>
      <c r="B20" s="45"/>
      <c r="C20" s="39"/>
      <c r="D20" s="47"/>
      <c r="E20" s="27"/>
      <c r="F20" s="31"/>
      <c r="G20" s="82" t="str">
        <f>IF(F20=0,"",VLOOKUP(F20,Employés!$A$2:$B$186,2,0))</f>
        <v/>
      </c>
      <c r="H20" s="82"/>
      <c r="I20" s="35"/>
      <c r="J20" s="29"/>
      <c r="K20" s="19"/>
      <c r="L20" s="20"/>
      <c r="M20" s="37" t="str">
        <f>IF(I20=0,"",VLOOKUP(I20,Municipalités!$A$2:$B$1290,2,TRUE))</f>
        <v/>
      </c>
    </row>
    <row r="21" spans="1:13" ht="30" customHeight="1" x14ac:dyDescent="0.25">
      <c r="A21" s="45"/>
      <c r="B21" s="45"/>
      <c r="C21" s="39"/>
      <c r="D21" s="47"/>
      <c r="E21" s="27"/>
      <c r="F21" s="31"/>
      <c r="G21" s="82" t="str">
        <f>IF(F21=0,"",VLOOKUP(F21,Employés!$A$2:$B$186,2,0))</f>
        <v/>
      </c>
      <c r="H21" s="82"/>
      <c r="I21" s="35"/>
      <c r="J21" s="29"/>
      <c r="K21" s="19"/>
      <c r="L21" s="20"/>
      <c r="M21" s="37" t="str">
        <f>IF(I21=0,"",VLOOKUP(I21,Municipalités!$A$2:$B$1290,2,TRUE))</f>
        <v/>
      </c>
    </row>
    <row r="22" spans="1:13" ht="30" customHeight="1" x14ac:dyDescent="0.25">
      <c r="A22" s="45"/>
      <c r="B22" s="45"/>
      <c r="C22" s="39"/>
      <c r="D22" s="46"/>
      <c r="E22" s="27"/>
      <c r="F22" s="31"/>
      <c r="G22" s="82" t="str">
        <f>IF(F22=0,"",VLOOKUP(F22,Employés!$A$2:$B$186,2,0))</f>
        <v/>
      </c>
      <c r="H22" s="82"/>
      <c r="I22" s="35"/>
      <c r="J22" s="29"/>
      <c r="K22" s="19"/>
      <c r="L22" s="20"/>
      <c r="M22" s="37" t="str">
        <f>IF(I22=0,"",VLOOKUP(I22,Municipalités!$A$2:$B$1290,2,TRUE))</f>
        <v/>
      </c>
    </row>
    <row r="23" spans="1:13" ht="30" customHeight="1" x14ac:dyDescent="0.25">
      <c r="A23" s="45"/>
      <c r="B23" s="45"/>
      <c r="C23" s="39"/>
      <c r="D23" s="46"/>
      <c r="E23" s="27"/>
      <c r="F23" s="31"/>
      <c r="G23" s="82" t="str">
        <f>IF(F23=0,"",VLOOKUP(F23,Employés!$A$2:$B$186,2,0))</f>
        <v/>
      </c>
      <c r="H23" s="82"/>
      <c r="I23" s="35"/>
      <c r="J23" s="29"/>
      <c r="K23" s="19"/>
      <c r="L23" s="20"/>
      <c r="M23" s="37" t="str">
        <f>IF(I23=0,"",VLOOKUP(I23,Municipalités!$A$2:$B$1290,2,TRUE))</f>
        <v/>
      </c>
    </row>
    <row r="24" spans="1:13" ht="30" customHeight="1" x14ac:dyDescent="0.25">
      <c r="A24" s="45"/>
      <c r="B24" s="45"/>
      <c r="C24" s="39"/>
      <c r="D24" s="46"/>
      <c r="E24" s="27"/>
      <c r="F24" s="31"/>
      <c r="G24" s="82" t="str">
        <f>IF(F24=0,"",VLOOKUP(F24,Employés!$A$2:$B$186,2,0))</f>
        <v/>
      </c>
      <c r="H24" s="82"/>
      <c r="I24" s="35"/>
      <c r="J24" s="29"/>
      <c r="K24" s="19"/>
      <c r="L24" s="20"/>
      <c r="M24" s="37" t="str">
        <f>IF(I24=0,"",VLOOKUP(I24,Municipalités!$A$2:$B$1290,2,TRUE))</f>
        <v/>
      </c>
    </row>
    <row r="25" spans="1:13" ht="30" customHeight="1" x14ac:dyDescent="0.25">
      <c r="A25" s="45"/>
      <c r="B25" s="45"/>
      <c r="C25" s="39"/>
      <c r="D25" s="46"/>
      <c r="E25" s="27"/>
      <c r="F25" s="31"/>
      <c r="G25" s="82" t="str">
        <f>IF(F25=0,"",VLOOKUP(F25,Employés!$A$2:$B$186,2,0))</f>
        <v/>
      </c>
      <c r="H25" s="82"/>
      <c r="I25" s="35"/>
      <c r="J25" s="29"/>
      <c r="K25" s="19"/>
      <c r="L25" s="20"/>
      <c r="M25" s="37" t="str">
        <f>IF(I25=0,"",VLOOKUP(I25,Municipalités!$A$2:$B$1290,2,TRUE))</f>
        <v/>
      </c>
    </row>
    <row r="26" spans="1:13" ht="30" customHeight="1" x14ac:dyDescent="0.25">
      <c r="A26" s="45"/>
      <c r="B26" s="45"/>
      <c r="C26" s="39"/>
      <c r="D26" s="46"/>
      <c r="E26" s="27"/>
      <c r="F26" s="31"/>
      <c r="G26" s="82" t="str">
        <f>IF(F26=0,"",VLOOKUP(F26,Employés!$A$2:$B$186,2,0))</f>
        <v/>
      </c>
      <c r="H26" s="82"/>
      <c r="I26" s="35"/>
      <c r="J26" s="29"/>
      <c r="K26" s="19"/>
      <c r="L26" s="20"/>
      <c r="M26" s="37" t="str">
        <f>IF(I26=0,"",VLOOKUP(I26,Municipalités!$A$2:$B$1290,2,TRUE))</f>
        <v/>
      </c>
    </row>
    <row r="27" spans="1:13" ht="30" customHeight="1" x14ac:dyDescent="0.25">
      <c r="A27" s="45"/>
      <c r="B27" s="45"/>
      <c r="C27" s="39"/>
      <c r="D27" s="46"/>
      <c r="E27" s="27"/>
      <c r="F27" s="31"/>
      <c r="G27" s="82" t="str">
        <f>IF(F27=0,"",VLOOKUP(F27,Employés!$A$2:$B$186,2,0))</f>
        <v/>
      </c>
      <c r="H27" s="82"/>
      <c r="I27" s="35"/>
      <c r="J27" s="29"/>
      <c r="K27" s="19"/>
      <c r="L27" s="20"/>
      <c r="M27" s="37" t="str">
        <f>IF(I27=0,"",VLOOKUP(I27,Municipalités!$A$2:$B$1290,2,TRUE))</f>
        <v/>
      </c>
    </row>
    <row r="28" spans="1:13" ht="30" customHeight="1" x14ac:dyDescent="0.25">
      <c r="A28" s="45"/>
      <c r="B28" s="45"/>
      <c r="C28" s="39"/>
      <c r="D28" s="46"/>
      <c r="E28" s="27"/>
      <c r="F28" s="31"/>
      <c r="G28" s="82" t="str">
        <f>IF(F28=0,"",VLOOKUP(F28,Employés!$A$2:$B$186,2,0))</f>
        <v/>
      </c>
      <c r="H28" s="82"/>
      <c r="I28" s="35"/>
      <c r="J28" s="29"/>
      <c r="K28" s="19"/>
      <c r="L28" s="20"/>
      <c r="M28" s="37" t="str">
        <f>IF(I28=0,"",VLOOKUP(I28,Municipalités!$A$2:$B$1290,2,TRUE))</f>
        <v/>
      </c>
    </row>
    <row r="29" spans="1:13" ht="30" customHeight="1" x14ac:dyDescent="0.25">
      <c r="A29" s="45"/>
      <c r="B29" s="45"/>
      <c r="C29" s="39"/>
      <c r="D29" s="46"/>
      <c r="E29" s="27"/>
      <c r="F29" s="31"/>
      <c r="G29" s="82" t="str">
        <f>IF(F29=0,"",VLOOKUP(F29,Employés!$A$2:$B$186,2,0))</f>
        <v/>
      </c>
      <c r="H29" s="82"/>
      <c r="I29" s="35"/>
      <c r="J29" s="29"/>
      <c r="K29" s="19"/>
      <c r="L29" s="20"/>
      <c r="M29" s="37" t="str">
        <f>IF(I29=0,"",VLOOKUP(I29,Municipalités!$A$2:$B$1290,2,TRUE))</f>
        <v/>
      </c>
    </row>
    <row r="30" spans="1:13" ht="30" customHeight="1" x14ac:dyDescent="0.25">
      <c r="A30" s="45"/>
      <c r="B30" s="45"/>
      <c r="C30" s="39"/>
      <c r="D30" s="46"/>
      <c r="E30" s="27"/>
      <c r="F30" s="31"/>
      <c r="G30" s="82" t="str">
        <f>IF(F30=0,"",VLOOKUP(F30,Employés!$A$2:$B$186,2,0))</f>
        <v/>
      </c>
      <c r="H30" s="82"/>
      <c r="I30" s="35"/>
      <c r="J30" s="29"/>
      <c r="K30" s="19"/>
      <c r="L30" s="20"/>
      <c r="M30" s="37" t="str">
        <f>IF(I30=0,"",VLOOKUP(I30,Municipalités!$A$2:$B$1290,2,TRUE))</f>
        <v/>
      </c>
    </row>
    <row r="31" spans="1:13" ht="30" customHeight="1" x14ac:dyDescent="0.25">
      <c r="A31" s="45"/>
      <c r="B31" s="45"/>
      <c r="C31" s="39"/>
      <c r="D31" s="47"/>
      <c r="E31" s="27"/>
      <c r="F31" s="31"/>
      <c r="G31" s="82" t="str">
        <f>IF(F31=0,"",VLOOKUP(F31,Employés!$A$2:$B$186,2,0))</f>
        <v/>
      </c>
      <c r="H31" s="82"/>
      <c r="I31" s="35"/>
      <c r="J31" s="29"/>
      <c r="K31" s="19"/>
      <c r="L31" s="20"/>
      <c r="M31" s="37" t="str">
        <f>IF(I31=0,"",VLOOKUP(I31,Municipalités!$A$2:$B$1290,2,TRUE))</f>
        <v/>
      </c>
    </row>
    <row r="32" spans="1:13" ht="30" customHeight="1" x14ac:dyDescent="0.25">
      <c r="A32" s="45"/>
      <c r="B32" s="45"/>
      <c r="C32" s="39"/>
      <c r="D32" s="46"/>
      <c r="E32" s="27"/>
      <c r="F32" s="31"/>
      <c r="G32" s="82" t="str">
        <f>IF(F32=0,"",VLOOKUP(F32,Employés!$A$2:$B$186,2,0))</f>
        <v/>
      </c>
      <c r="H32" s="82"/>
      <c r="I32" s="35"/>
      <c r="J32" s="29"/>
      <c r="K32" s="19"/>
      <c r="L32" s="20"/>
      <c r="M32" s="37" t="str">
        <f>IF(I32=0,"",VLOOKUP(I32,Municipalités!$A$2:$B$1290,2,TRUE))</f>
        <v/>
      </c>
    </row>
    <row r="33" spans="1:13" ht="30" customHeight="1" x14ac:dyDescent="0.25">
      <c r="A33" s="45"/>
      <c r="B33" s="45"/>
      <c r="C33" s="39"/>
      <c r="D33" s="46"/>
      <c r="E33" s="27"/>
      <c r="F33" s="31"/>
      <c r="G33" s="82" t="str">
        <f>IF(F33=0,"",VLOOKUP(F33,Employés!$A$2:$B$186,2,0))</f>
        <v/>
      </c>
      <c r="H33" s="82"/>
      <c r="I33" s="35"/>
      <c r="J33" s="29"/>
      <c r="K33" s="19"/>
      <c r="L33" s="20"/>
      <c r="M33" s="37" t="str">
        <f>IF(I33=0,"",VLOOKUP(I33,Municipalités!$A$2:$B$1290,2,TRUE))</f>
        <v/>
      </c>
    </row>
    <row r="34" spans="1:13" ht="30" customHeight="1" x14ac:dyDescent="0.25">
      <c r="A34" s="45"/>
      <c r="B34" s="45"/>
      <c r="C34" s="39"/>
      <c r="D34" s="46"/>
      <c r="E34" s="27"/>
      <c r="F34" s="31"/>
      <c r="G34" s="82" t="str">
        <f>IF(F34=0,"",VLOOKUP(F34,Employés!$A$2:$B$186,2,0))</f>
        <v/>
      </c>
      <c r="H34" s="82"/>
      <c r="I34" s="35"/>
      <c r="J34" s="29"/>
      <c r="K34" s="19"/>
      <c r="L34" s="20"/>
      <c r="M34" s="37" t="str">
        <f>IF(I34=0,"",VLOOKUP(I34,Municipalités!$A$2:$B$1290,2,TRUE))</f>
        <v/>
      </c>
    </row>
    <row r="35" spans="1:13" ht="30" customHeight="1" x14ac:dyDescent="0.25">
      <c r="A35" s="45"/>
      <c r="B35" s="45"/>
      <c r="C35" s="30"/>
      <c r="D35" s="46"/>
      <c r="E35" s="27"/>
      <c r="F35" s="31"/>
      <c r="G35" s="82" t="str">
        <f>IF(F35=0,"",VLOOKUP(F35,Employés!$A$2:$B$186,2,0))</f>
        <v/>
      </c>
      <c r="H35" s="82"/>
      <c r="I35" s="35"/>
      <c r="J35" s="29"/>
      <c r="K35" s="19"/>
      <c r="L35" s="20"/>
      <c r="M35" s="37" t="str">
        <f>IF(I35=0,"",VLOOKUP(I35,Municipalités!$A$2:$B$1290,2,TRUE))</f>
        <v/>
      </c>
    </row>
    <row r="36" spans="1:13" ht="30" customHeight="1" x14ac:dyDescent="0.25">
      <c r="A36" s="45"/>
      <c r="B36" s="45"/>
      <c r="C36" s="30"/>
      <c r="D36" s="46"/>
      <c r="E36" s="27"/>
      <c r="F36" s="31"/>
      <c r="G36" s="82" t="str">
        <f>IF(F36=0,"",VLOOKUP(F36,Employés!$A$2:$B$186,2,0))</f>
        <v/>
      </c>
      <c r="H36" s="82"/>
      <c r="I36" s="35"/>
      <c r="J36" s="29"/>
      <c r="K36" s="19"/>
      <c r="L36" s="20"/>
      <c r="M36" s="37" t="str">
        <f>IF(I36=0,"",VLOOKUP(I36,Municipalités!$A$2:$B$1290,2,TRUE))</f>
        <v/>
      </c>
    </row>
    <row r="37" spans="1:13" ht="30" customHeight="1" x14ac:dyDescent="0.25">
      <c r="A37" s="45"/>
      <c r="B37" s="45"/>
      <c r="C37" s="39"/>
      <c r="D37" s="46"/>
      <c r="E37" s="27"/>
      <c r="F37" s="31"/>
      <c r="G37" s="82" t="str">
        <f>IF(F37=0,"",VLOOKUP(F37,Employés!$A$2:$B$186,2,0))</f>
        <v/>
      </c>
      <c r="H37" s="82"/>
      <c r="I37" s="35"/>
      <c r="J37" s="29"/>
      <c r="K37" s="19"/>
      <c r="L37" s="20"/>
      <c r="M37" s="37" t="str">
        <f>IF(I37=0,"",VLOOKUP(I37,Municipalités!$A$2:$B$1290,2,TRUE))</f>
        <v/>
      </c>
    </row>
    <row r="38" spans="1:13" ht="30" customHeight="1" x14ac:dyDescent="0.25">
      <c r="A38" s="45"/>
      <c r="B38" s="45"/>
      <c r="C38" s="39"/>
      <c r="D38" s="47"/>
      <c r="E38" s="27"/>
      <c r="F38" s="31"/>
      <c r="G38" s="82" t="str">
        <f>IF(F38=0,"",VLOOKUP(F38,Employés!$A$2:$B$186,2,0))</f>
        <v/>
      </c>
      <c r="H38" s="82"/>
      <c r="I38" s="35"/>
      <c r="J38" s="29"/>
      <c r="K38" s="19"/>
      <c r="L38" s="20"/>
      <c r="M38" s="37" t="str">
        <f>IF(I38=0,"",VLOOKUP(I38,Municipalités!$A$2:$B$1290,2,TRUE))</f>
        <v/>
      </c>
    </row>
    <row r="39" spans="1:13" ht="30" customHeight="1" x14ac:dyDescent="0.25">
      <c r="A39" s="45"/>
      <c r="B39" s="45"/>
      <c r="C39" s="39"/>
      <c r="D39" s="45"/>
      <c r="E39" s="27"/>
      <c r="F39" s="31"/>
      <c r="G39" s="82" t="str">
        <f>IF(F39=0,"",VLOOKUP(F39,Employés!$A$2:$B$186,2,0))</f>
        <v/>
      </c>
      <c r="H39" s="82"/>
      <c r="I39" s="35"/>
      <c r="J39" s="29"/>
      <c r="K39" s="26"/>
      <c r="L39" s="25"/>
      <c r="M39" s="37" t="str">
        <f>IF(I39=0,"",VLOOKUP(I39,Municipalités!$A$2:$B$1290,2,TRUE))</f>
        <v/>
      </c>
    </row>
    <row r="40" spans="1:13" ht="30" customHeight="1" x14ac:dyDescent="0.25">
      <c r="A40" s="8"/>
      <c r="B40" s="8"/>
      <c r="C40" s="30"/>
      <c r="D40" s="8"/>
      <c r="E40" s="27"/>
      <c r="F40" s="31"/>
      <c r="G40" s="82" t="str">
        <f>IF(F40=0,"",VLOOKUP(F40,Employés!$A$2:$B$186,2,0))</f>
        <v/>
      </c>
      <c r="H40" s="82"/>
      <c r="I40" s="35"/>
      <c r="J40" s="29"/>
      <c r="K40" s="26"/>
      <c r="L40" s="25"/>
      <c r="M40" s="37" t="str">
        <f>IF(I40=0,"",VLOOKUP(I40,Municipalités!$A$2:$B$1290,2,TRUE))</f>
        <v/>
      </c>
    </row>
    <row r="41" spans="1:13" ht="30" customHeight="1" x14ac:dyDescent="0.25">
      <c r="A41" s="8"/>
      <c r="B41" s="8"/>
      <c r="C41" s="30"/>
      <c r="D41" s="8"/>
      <c r="E41" s="27"/>
      <c r="F41" s="31"/>
      <c r="G41" s="82" t="str">
        <f>IF(F41=0,"",VLOOKUP(F41,Employés!$A$2:$B$186,2,0))</f>
        <v/>
      </c>
      <c r="H41" s="82"/>
      <c r="I41" s="35"/>
      <c r="J41" s="29"/>
      <c r="K41" s="26"/>
      <c r="L41" s="25"/>
      <c r="M41" s="37" t="str">
        <f>IF(I41=0,"",VLOOKUP(I41,Municipalités!$A$2:$B$1290,2,TRUE))</f>
        <v/>
      </c>
    </row>
    <row r="42" spans="1:13" ht="30" customHeight="1" x14ac:dyDescent="0.25">
      <c r="A42" s="8"/>
      <c r="B42" s="8"/>
      <c r="C42" s="30"/>
      <c r="D42" s="8"/>
      <c r="E42" s="27"/>
      <c r="F42" s="31"/>
      <c r="G42" s="82" t="str">
        <f>IF(F42=0,"",VLOOKUP(F42,Employés!$A$2:$B$186,2,0))</f>
        <v/>
      </c>
      <c r="H42" s="82"/>
      <c r="I42" s="35"/>
      <c r="J42" s="29"/>
      <c r="K42" s="26"/>
      <c r="L42" s="25"/>
      <c r="M42" s="37" t="str">
        <f>IF(I42=0,"",VLOOKUP(I42,Municipalités!$A$2:$B$1290,2,TRUE))</f>
        <v/>
      </c>
    </row>
    <row r="43" spans="1:13" ht="30" customHeight="1" x14ac:dyDescent="0.25">
      <c r="A43" s="8"/>
      <c r="B43" s="8"/>
      <c r="C43" s="30"/>
      <c r="D43" s="8"/>
      <c r="E43" s="27" t="s">
        <v>1420</v>
      </c>
      <c r="F43" s="31"/>
      <c r="G43" s="82" t="str">
        <f>IF(F43=0,"",VLOOKUP(F43,Employés!$A$2:$B$186,2,0))</f>
        <v/>
      </c>
      <c r="H43" s="82"/>
      <c r="I43" s="35"/>
      <c r="J43" s="29"/>
      <c r="K43" s="26"/>
      <c r="L43" s="25" t="s">
        <v>1420</v>
      </c>
      <c r="M43" s="37" t="str">
        <f>IF(I43=0,"",VLOOKUP(I43,Municipalités!$A$2:$B$1290,2,TRUE))</f>
        <v/>
      </c>
    </row>
    <row r="44" spans="1:13" ht="30" customHeight="1" x14ac:dyDescent="0.25">
      <c r="A44" s="8"/>
      <c r="B44" s="8"/>
      <c r="C44" s="30"/>
      <c r="D44" s="8"/>
      <c r="E44" s="27"/>
      <c r="F44" s="31"/>
      <c r="G44" s="82" t="str">
        <f>IF(F44=0,"",VLOOKUP(F44,Employés!$A$2:$B$186,2,0))</f>
        <v/>
      </c>
      <c r="H44" s="82"/>
      <c r="I44" s="35"/>
      <c r="J44" s="29"/>
      <c r="K44" s="26"/>
      <c r="L44" s="25"/>
      <c r="M44" s="37" t="str">
        <f>IF(I44=0,"",VLOOKUP(I44,Municipalités!$A$2:$B$1290,2,TRUE))</f>
        <v/>
      </c>
    </row>
    <row r="45" spans="1:13" ht="30" customHeight="1" x14ac:dyDescent="0.25">
      <c r="A45" s="8"/>
      <c r="B45" s="8"/>
      <c r="C45" s="30"/>
      <c r="D45" s="8"/>
      <c r="E45" s="27"/>
      <c r="F45" s="31"/>
      <c r="G45" s="82" t="str">
        <f>IF(F45=0,"",VLOOKUP(F45,Employés!$A$2:$B$186,2,0))</f>
        <v/>
      </c>
      <c r="H45" s="82"/>
      <c r="I45" s="35"/>
      <c r="J45" s="29"/>
      <c r="K45" s="26"/>
      <c r="L45" s="25"/>
      <c r="M45" s="37" t="str">
        <f>IF(I45=0,"",VLOOKUP(I45,Municipalités!$A$2:$B$1290,2,TRUE))</f>
        <v/>
      </c>
    </row>
    <row r="46" spans="1:13" ht="30" customHeight="1" x14ac:dyDescent="0.25">
      <c r="A46" s="8"/>
      <c r="B46" s="8"/>
      <c r="C46" s="30"/>
      <c r="D46" s="8"/>
      <c r="E46" s="27"/>
      <c r="F46" s="31"/>
      <c r="G46" s="82" t="str">
        <f>IF(F46=0,"",VLOOKUP(F46,Employés!$A$2:$B$186,2,0))</f>
        <v/>
      </c>
      <c r="H46" s="82"/>
      <c r="I46" s="35"/>
      <c r="J46" s="29"/>
      <c r="K46" s="26"/>
      <c r="L46" s="25"/>
      <c r="M46" s="37" t="str">
        <f>IF(I46=0,"",VLOOKUP(I46,Municipalités!$A$2:$B$1290,2,TRUE))</f>
        <v/>
      </c>
    </row>
    <row r="47" spans="1:13" ht="30" customHeight="1" x14ac:dyDescent="0.25">
      <c r="A47" s="8"/>
      <c r="B47" s="8"/>
      <c r="C47" s="30"/>
      <c r="D47" s="8"/>
      <c r="E47" s="27"/>
      <c r="F47" s="31"/>
      <c r="G47" s="82" t="str">
        <f>IF(F47=0,"",VLOOKUP(F47,Employés!$A$2:$B$186,2,0))</f>
        <v/>
      </c>
      <c r="H47" s="82"/>
      <c r="I47" s="35"/>
      <c r="J47" s="29"/>
      <c r="K47" s="26"/>
      <c r="L47" s="25"/>
      <c r="M47" s="37" t="str">
        <f>IF(I47=0,"",VLOOKUP(I47,Municipalités!$A$2:$B$1290,2,TRUE))</f>
        <v/>
      </c>
    </row>
    <row r="48" spans="1:13" ht="30" customHeight="1" x14ac:dyDescent="0.25">
      <c r="A48" s="8"/>
      <c r="B48" s="8"/>
      <c r="C48" s="30"/>
      <c r="D48" s="8"/>
      <c r="E48" s="27"/>
      <c r="F48" s="31"/>
      <c r="G48" s="82" t="str">
        <f>IF(F48=0,"",VLOOKUP(F48,Employés!$A$2:$B$186,2,0))</f>
        <v/>
      </c>
      <c r="H48" s="82"/>
      <c r="I48" s="35"/>
      <c r="J48" s="29"/>
      <c r="K48" s="26"/>
      <c r="L48" s="25"/>
      <c r="M48" s="37" t="str">
        <f>IF(I48=0,"",VLOOKUP(I48,Municipalités!$A$2:$B$1290,2,TRUE))</f>
        <v/>
      </c>
    </row>
    <row r="49" spans="1:13" ht="30" customHeight="1" x14ac:dyDescent="0.25">
      <c r="A49" s="8"/>
      <c r="B49" s="8"/>
      <c r="C49" s="30"/>
      <c r="D49" s="8"/>
      <c r="E49" s="27"/>
      <c r="F49" s="31"/>
      <c r="G49" s="82" t="str">
        <f>IF(F49=0,"",VLOOKUP(F49,Employés!$A$2:$B$186,2,0))</f>
        <v/>
      </c>
      <c r="H49" s="82"/>
      <c r="I49" s="35"/>
      <c r="J49" s="29"/>
      <c r="K49" s="26"/>
      <c r="L49" s="25"/>
      <c r="M49" s="37" t="str">
        <f>IF(I49=0,"",VLOOKUP(I49,Municipalités!$A$2:$B$1290,2,TRUE))</f>
        <v/>
      </c>
    </row>
    <row r="50" spans="1:13" ht="30" customHeight="1" x14ac:dyDescent="0.25">
      <c r="A50" s="8"/>
      <c r="B50" s="8"/>
      <c r="C50" s="30"/>
      <c r="D50" s="8"/>
      <c r="E50" s="27"/>
      <c r="F50" s="31"/>
      <c r="G50" s="82" t="str">
        <f>IF(F50=0,"",VLOOKUP(F50,Employés!$A$2:$B$186,2,0))</f>
        <v/>
      </c>
      <c r="H50" s="82"/>
      <c r="I50" s="35"/>
      <c r="J50" s="29"/>
      <c r="K50" s="26"/>
      <c r="L50" s="25"/>
      <c r="M50" s="37" t="str">
        <f>IF(I50=0,"",VLOOKUP(I50,Municipalités!$A$2:$B$1290,2,TRUE))</f>
        <v/>
      </c>
    </row>
    <row r="51" spans="1:13" ht="30" customHeight="1" x14ac:dyDescent="0.25">
      <c r="A51" s="8"/>
      <c r="B51" s="8"/>
      <c r="C51" s="30"/>
      <c r="D51" s="8"/>
      <c r="E51" s="27"/>
      <c r="F51" s="31"/>
      <c r="G51" s="82" t="str">
        <f>IF(F51=0,"",VLOOKUP(F51,Employés!$A$2:$B$186,2,0))</f>
        <v/>
      </c>
      <c r="H51" s="82"/>
      <c r="I51" s="35"/>
      <c r="J51" s="29"/>
      <c r="K51" s="26"/>
      <c r="L51" s="25"/>
      <c r="M51" s="37" t="str">
        <f>IF(I51=0,"",VLOOKUP(I51,Municipalités!$A$2:$B$1290,2,TRUE))</f>
        <v/>
      </c>
    </row>
    <row r="52" spans="1:13" ht="30" customHeight="1" x14ac:dyDescent="0.25">
      <c r="A52" s="8"/>
      <c r="B52" s="8"/>
      <c r="C52" s="30"/>
      <c r="D52" s="8"/>
      <c r="E52" s="27"/>
      <c r="F52" s="31"/>
      <c r="G52" s="82" t="str">
        <f>IF(F52=0,"",VLOOKUP(F52,Employés!$A$2:$B$186,2,0))</f>
        <v/>
      </c>
      <c r="H52" s="82"/>
      <c r="I52" s="35"/>
      <c r="J52" s="29"/>
      <c r="K52" s="26"/>
      <c r="L52" s="25"/>
      <c r="M52" s="37" t="str">
        <f>IF(I52=0,"",VLOOKUP(I52,Municipalités!$A$2:$B$1290,2,TRUE))</f>
        <v/>
      </c>
    </row>
    <row r="53" spans="1:13" ht="30" customHeight="1" x14ac:dyDescent="0.25">
      <c r="A53" s="8"/>
      <c r="B53" s="8"/>
      <c r="C53" s="30"/>
      <c r="D53" s="8"/>
      <c r="E53" s="27"/>
      <c r="F53" s="31"/>
      <c r="G53" s="82" t="str">
        <f>IF(F53=0,"",VLOOKUP(F53,Employés!$A$2:$B$186,2,0))</f>
        <v/>
      </c>
      <c r="H53" s="82"/>
      <c r="I53" s="35"/>
      <c r="J53" s="29"/>
      <c r="K53" s="26"/>
      <c r="L53" s="25"/>
      <c r="M53" s="37" t="str">
        <f>IF(I53=0,"",VLOOKUP(I53,Municipalités!$A$2:$B$1290,2,TRUE))</f>
        <v/>
      </c>
    </row>
    <row r="54" spans="1:13" ht="30" customHeight="1" x14ac:dyDescent="0.25">
      <c r="A54" s="8"/>
      <c r="B54" s="8"/>
      <c r="C54" s="30"/>
      <c r="D54" s="8"/>
      <c r="E54" s="27"/>
      <c r="F54" s="31"/>
      <c r="G54" s="82" t="str">
        <f>IF(F54=0,"",VLOOKUP(F54,Employés!$A$2:$B$186,2,0))</f>
        <v/>
      </c>
      <c r="H54" s="82"/>
      <c r="I54" s="35"/>
      <c r="J54" s="29"/>
      <c r="K54" s="26"/>
      <c r="L54" s="25"/>
      <c r="M54" s="37" t="str">
        <f>IF(I54=0,"",VLOOKUP(I54,Municipalités!$A$2:$B$1290,2,TRUE))</f>
        <v/>
      </c>
    </row>
    <row r="55" spans="1:13" ht="30" customHeight="1" x14ac:dyDescent="0.25">
      <c r="A55" s="8"/>
      <c r="B55" s="8"/>
      <c r="C55" s="30"/>
      <c r="D55" s="8"/>
      <c r="E55" s="27"/>
      <c r="F55" s="31"/>
      <c r="G55" s="82" t="str">
        <f>IF(F55=0,"",VLOOKUP(F55,Employés!$A$2:$B$186,2,0))</f>
        <v/>
      </c>
      <c r="H55" s="82"/>
      <c r="I55" s="35"/>
      <c r="J55" s="29"/>
      <c r="K55" s="26"/>
      <c r="L55" s="25"/>
      <c r="M55" s="37" t="str">
        <f>IF(I55=0,"",VLOOKUP(I55,Municipalités!$A$2:$B$1290,2,TRUE))</f>
        <v/>
      </c>
    </row>
    <row r="56" spans="1:13" ht="30" customHeight="1" x14ac:dyDescent="0.25">
      <c r="A56" s="8"/>
      <c r="B56" s="8"/>
      <c r="C56" s="30"/>
      <c r="D56" s="8"/>
      <c r="E56" s="27"/>
      <c r="F56" s="31"/>
      <c r="G56" s="82" t="str">
        <f>IF(F56=0,"",VLOOKUP(F56,Employés!$A$2:$B$186,2,0))</f>
        <v/>
      </c>
      <c r="H56" s="82"/>
      <c r="I56" s="35"/>
      <c r="J56" s="29"/>
      <c r="K56" s="26"/>
      <c r="L56" s="25"/>
      <c r="M56" s="37" t="str">
        <f>IF(I56=0,"",VLOOKUP(I56,Municipalités!$A$2:$B$1290,2,TRUE))</f>
        <v/>
      </c>
    </row>
    <row r="57" spans="1:13" ht="30" customHeight="1" x14ac:dyDescent="0.25">
      <c r="A57" s="8"/>
      <c r="B57" s="8"/>
      <c r="C57" s="30"/>
      <c r="D57" s="8"/>
      <c r="E57" s="27"/>
      <c r="F57" s="31"/>
      <c r="G57" s="82" t="str">
        <f>IF(F57=0,"",VLOOKUP(F57,Employés!$A$2:$B$186,2,0))</f>
        <v/>
      </c>
      <c r="H57" s="82"/>
      <c r="I57" s="35"/>
      <c r="J57" s="29"/>
      <c r="K57" s="26"/>
      <c r="L57" s="25"/>
      <c r="M57" s="37" t="str">
        <f>IF(I57=0,"",VLOOKUP(I57,Municipalités!$A$2:$B$1290,2,TRUE))</f>
        <v/>
      </c>
    </row>
    <row r="58" spans="1:13" ht="30" customHeight="1" x14ac:dyDescent="0.25">
      <c r="A58" s="8"/>
      <c r="B58" s="8"/>
      <c r="C58" s="30"/>
      <c r="D58" s="8"/>
      <c r="E58" s="27"/>
      <c r="F58" s="31"/>
      <c r="G58" s="82" t="str">
        <f>IF(F58=0,"",VLOOKUP(F58,Employés!$A$2:$B$186,2,0))</f>
        <v/>
      </c>
      <c r="H58" s="82"/>
      <c r="I58" s="35"/>
      <c r="J58" s="29"/>
      <c r="K58" s="26"/>
      <c r="L58" s="25"/>
      <c r="M58" s="37" t="str">
        <f>IF(I58=0,"",VLOOKUP(I58,Municipalités!$A$2:$B$1290,2,TRUE))</f>
        <v/>
      </c>
    </row>
    <row r="59" spans="1:13" ht="30" customHeight="1" x14ac:dyDescent="0.25">
      <c r="A59" s="8"/>
      <c r="B59" s="8"/>
      <c r="C59" s="30"/>
      <c r="D59" s="8"/>
      <c r="E59" s="27"/>
      <c r="F59" s="31"/>
      <c r="G59" s="82" t="str">
        <f>IF(F59=0,"",VLOOKUP(F59,Employés!$A$2:$B$186,2,0))</f>
        <v/>
      </c>
      <c r="H59" s="82"/>
      <c r="I59" s="35"/>
      <c r="J59" s="29"/>
      <c r="K59" s="26"/>
      <c r="L59" s="25"/>
      <c r="M59" s="37" t="str">
        <f>IF(I59=0,"",VLOOKUP(I59,Municipalités!$A$2:$B$1290,2,TRUE))</f>
        <v/>
      </c>
    </row>
    <row r="60" spans="1:13" ht="30" customHeight="1" x14ac:dyDescent="0.25">
      <c r="A60" s="8"/>
      <c r="B60" s="8"/>
      <c r="C60" s="30"/>
      <c r="D60" s="8"/>
      <c r="E60" s="27"/>
      <c r="F60" s="31"/>
      <c r="G60" s="82" t="str">
        <f>IF(F60=0,"",VLOOKUP(F60,Employés!$A$2:$B$186,2,0))</f>
        <v/>
      </c>
      <c r="H60" s="82"/>
      <c r="I60" s="35"/>
      <c r="J60" s="29"/>
      <c r="K60" s="26"/>
      <c r="L60" s="25"/>
      <c r="M60" s="37" t="str">
        <f>IF(I60=0,"",VLOOKUP(I60,Municipalités!$A$2:$B$1290,2,TRUE))</f>
        <v/>
      </c>
    </row>
    <row r="61" spans="1:13" ht="30" customHeight="1" x14ac:dyDescent="0.25">
      <c r="A61" s="8"/>
      <c r="B61" s="8"/>
      <c r="C61" s="30"/>
      <c r="D61" s="8"/>
      <c r="E61" s="27"/>
      <c r="F61" s="31"/>
      <c r="G61" s="82" t="str">
        <f>IF(F61=0,"",VLOOKUP(F61,Employés!$A$2:$B$186,2,0))</f>
        <v/>
      </c>
      <c r="H61" s="82"/>
      <c r="I61" s="35"/>
      <c r="J61" s="29"/>
      <c r="K61" s="26"/>
      <c r="L61" s="25"/>
      <c r="M61" s="37" t="str">
        <f>IF(I61=0,"",VLOOKUP(I61,Municipalités!$A$2:$B$1290,2,TRUE))</f>
        <v/>
      </c>
    </row>
    <row r="62" spans="1:13" x14ac:dyDescent="0.25">
      <c r="C62" s="14"/>
    </row>
    <row r="63" spans="1:13" x14ac:dyDescent="0.25">
      <c r="C63" s="14"/>
    </row>
    <row r="64" spans="1:13" x14ac:dyDescent="0.25">
      <c r="C64" s="14"/>
    </row>
    <row r="65" spans="3:5" x14ac:dyDescent="0.25">
      <c r="C65" s="14"/>
    </row>
    <row r="66" spans="3:5" x14ac:dyDescent="0.25">
      <c r="C66" s="14"/>
    </row>
    <row r="67" spans="3:5" x14ac:dyDescent="0.25">
      <c r="C67" s="14"/>
    </row>
    <row r="68" spans="3:5" x14ac:dyDescent="0.25">
      <c r="C68" s="14"/>
    </row>
    <row r="69" spans="3:5" x14ac:dyDescent="0.25">
      <c r="C69" s="14"/>
    </row>
    <row r="70" spans="3:5" x14ac:dyDescent="0.25">
      <c r="C70" s="14"/>
    </row>
    <row r="71" spans="3:5" x14ac:dyDescent="0.25">
      <c r="C71" s="14"/>
    </row>
    <row r="72" spans="3:5" x14ac:dyDescent="0.25">
      <c r="C72" s="14"/>
    </row>
    <row r="73" spans="3:5" x14ac:dyDescent="0.25">
      <c r="C73" s="14"/>
    </row>
    <row r="74" spans="3:5" x14ac:dyDescent="0.25">
      <c r="C74" s="14"/>
    </row>
    <row r="75" spans="3:5" x14ac:dyDescent="0.25">
      <c r="C75" s="14"/>
    </row>
    <row r="76" spans="3:5" x14ac:dyDescent="0.25">
      <c r="C76" s="14"/>
    </row>
    <row r="77" spans="3:5" x14ac:dyDescent="0.25">
      <c r="C77" s="14"/>
    </row>
    <row r="78" spans="3:5" x14ac:dyDescent="0.25">
      <c r="C78" s="14"/>
      <c r="E78" s="21" t="s">
        <v>1420</v>
      </c>
    </row>
    <row r="79" spans="3:5" x14ac:dyDescent="0.25">
      <c r="C79" s="14"/>
    </row>
    <row r="80" spans="3:5" x14ac:dyDescent="0.25">
      <c r="C80" s="14"/>
    </row>
    <row r="81" spans="3:3" x14ac:dyDescent="0.25">
      <c r="C81" s="14"/>
    </row>
    <row r="82" spans="3:3" x14ac:dyDescent="0.25">
      <c r="C82" s="14"/>
    </row>
    <row r="83" spans="3:3" x14ac:dyDescent="0.25">
      <c r="C83" s="14"/>
    </row>
    <row r="84" spans="3:3" x14ac:dyDescent="0.25">
      <c r="C84" s="14"/>
    </row>
    <row r="85" spans="3:3" x14ac:dyDescent="0.25">
      <c r="C85" s="14"/>
    </row>
    <row r="86" spans="3:3" x14ac:dyDescent="0.25">
      <c r="C86" s="14"/>
    </row>
    <row r="87" spans="3:3" x14ac:dyDescent="0.25">
      <c r="C87" s="14"/>
    </row>
    <row r="88" spans="3:3" x14ac:dyDescent="0.25">
      <c r="C88" s="14"/>
    </row>
    <row r="89" spans="3:3" x14ac:dyDescent="0.25">
      <c r="C89" s="14"/>
    </row>
    <row r="90" spans="3:3" x14ac:dyDescent="0.25">
      <c r="C90" s="14"/>
    </row>
    <row r="91" spans="3:3" x14ac:dyDescent="0.25">
      <c r="C91" s="14"/>
    </row>
    <row r="92" spans="3:3" x14ac:dyDescent="0.25">
      <c r="C92" s="14"/>
    </row>
    <row r="93" spans="3:3" x14ac:dyDescent="0.25">
      <c r="C93" s="14"/>
    </row>
    <row r="94" spans="3:3" x14ac:dyDescent="0.25">
      <c r="C94" s="14"/>
    </row>
    <row r="95" spans="3:3" x14ac:dyDescent="0.25">
      <c r="C95" s="14"/>
    </row>
    <row r="96" spans="3:3" x14ac:dyDescent="0.25">
      <c r="C96" s="14"/>
    </row>
    <row r="97" spans="3:3" x14ac:dyDescent="0.25">
      <c r="C97" s="14"/>
    </row>
    <row r="98" spans="3:3" x14ac:dyDescent="0.25">
      <c r="C98" s="14"/>
    </row>
  </sheetData>
  <mergeCells count="67">
    <mergeCell ref="G59:H59"/>
    <mergeCell ref="G60:H60"/>
    <mergeCell ref="G61:H61"/>
    <mergeCell ref="G53:H53"/>
    <mergeCell ref="G54:H54"/>
    <mergeCell ref="G55:H55"/>
    <mergeCell ref="G56:H56"/>
    <mergeCell ref="G57:H57"/>
    <mergeCell ref="G58:H58"/>
    <mergeCell ref="G52:H52"/>
    <mergeCell ref="G41:H41"/>
    <mergeCell ref="G42:H42"/>
    <mergeCell ref="G43:H43"/>
    <mergeCell ref="G44:H44"/>
    <mergeCell ref="G45:H45"/>
    <mergeCell ref="G46:H46"/>
    <mergeCell ref="G47:H47"/>
    <mergeCell ref="G48:H48"/>
    <mergeCell ref="G49:H49"/>
    <mergeCell ref="G50:H50"/>
    <mergeCell ref="G51:H51"/>
    <mergeCell ref="G40:H40"/>
    <mergeCell ref="G29:H29"/>
    <mergeCell ref="G30:H30"/>
    <mergeCell ref="G31:H31"/>
    <mergeCell ref="G32:H32"/>
    <mergeCell ref="G33:H33"/>
    <mergeCell ref="G34:H34"/>
    <mergeCell ref="G35:H35"/>
    <mergeCell ref="G36:H36"/>
    <mergeCell ref="G37:H37"/>
    <mergeCell ref="G38:H38"/>
    <mergeCell ref="G39:H39"/>
    <mergeCell ref="G28:H28"/>
    <mergeCell ref="G17:H17"/>
    <mergeCell ref="G18:H18"/>
    <mergeCell ref="G19:H19"/>
    <mergeCell ref="G20:H20"/>
    <mergeCell ref="G21:H21"/>
    <mergeCell ref="G22:H22"/>
    <mergeCell ref="G23:H23"/>
    <mergeCell ref="G24:H24"/>
    <mergeCell ref="G25:H25"/>
    <mergeCell ref="G26:H26"/>
    <mergeCell ref="G27:H27"/>
    <mergeCell ref="M2:M4"/>
    <mergeCell ref="G16:H16"/>
    <mergeCell ref="I6:I7"/>
    <mergeCell ref="J6:J7"/>
    <mergeCell ref="K6:M6"/>
    <mergeCell ref="G8:H8"/>
    <mergeCell ref="G9:H9"/>
    <mergeCell ref="G10:H10"/>
    <mergeCell ref="G11:H11"/>
    <mergeCell ref="G12:H12"/>
    <mergeCell ref="G13:H13"/>
    <mergeCell ref="G14:H14"/>
    <mergeCell ref="G15:H15"/>
    <mergeCell ref="E1:F4"/>
    <mergeCell ref="L1:L2"/>
    <mergeCell ref="A6:A7"/>
    <mergeCell ref="B6:B7"/>
    <mergeCell ref="C6:C7"/>
    <mergeCell ref="D6:D7"/>
    <mergeCell ref="E6:E7"/>
    <mergeCell ref="F6:F7"/>
    <mergeCell ref="G6:H7"/>
  </mergeCells>
  <conditionalFormatting sqref="C16:C21 C23:C45">
    <cfRule type="expression" dxfId="137" priority="7" stopIfTrue="1">
      <formula>#REF!=1</formula>
    </cfRule>
    <cfRule type="expression" priority="8" stopIfTrue="1">
      <formula>#REF!=2</formula>
    </cfRule>
    <cfRule type="expression" dxfId="136" priority="9" stopIfTrue="1">
      <formula>#REF!=3</formula>
    </cfRule>
  </conditionalFormatting>
  <conditionalFormatting sqref="C22">
    <cfRule type="expression" dxfId="135" priority="4" stopIfTrue="1">
      <formula>#REF!=1</formula>
    </cfRule>
    <cfRule type="expression" priority="5" stopIfTrue="1">
      <formula>#REF!=2</formula>
    </cfRule>
    <cfRule type="expression" dxfId="134" priority="6" stopIfTrue="1">
      <formula>#REF!=3</formula>
    </cfRule>
  </conditionalFormatting>
  <conditionalFormatting sqref="C46:C61">
    <cfRule type="expression" dxfId="133" priority="1" stopIfTrue="1">
      <formula>#REF!=1</formula>
    </cfRule>
    <cfRule type="expression" priority="2" stopIfTrue="1">
      <formula>#REF!=2</formula>
    </cfRule>
    <cfRule type="expression" dxfId="132" priority="3" stopIfTrue="1">
      <formula>#REF!=3</formula>
    </cfRule>
  </conditionalFormatting>
  <dataValidations count="2">
    <dataValidation operator="greaterThan" allowBlank="1" showDropDown="1" showInputMessage="1" showErrorMessage="1" errorTitle="Saisie incorrecte" error="Re-Saisir le numéro de dossier sous le format_x000a_000-000000-000" promptTitle="Saisie du numéro d'événement" prompt="000-000000-000_x000a_Ex. : 071-030901-001" sqref="J8:J39" xr:uid="{00000000-0002-0000-0800-000000000000}"/>
    <dataValidation type="textLength" operator="greaterThanOrEqual" allowBlank="1" showInputMessage="1" showErrorMessage="1" errorTitle="Saisie incorrecte" error="Re-saisir le numéro d'entrée en utilisant 3 chiffres_x000a_Ex.: 001" promptTitle="Saisie du numéro d'entrée" prompt="Minimum 3 chiffres_x000a_Ex.: 001" sqref="C8:C39" xr:uid="{00000000-0002-0000-0800-000001000000}">
      <formula1>3</formula1>
    </dataValidation>
  </dataValidations>
  <printOptions horizontalCentered="1" verticalCentered="1"/>
  <pageMargins left="0" right="0" top="0.31496062992125984" bottom="0.39370078740157483" header="0.15748031496062992" footer="0.19685039370078741"/>
  <pageSetup paperSize="5" scale="90" orientation="landscape" r:id="rId1"/>
  <headerFooter alignWithMargins="0">
    <oddFooter>&amp;R&amp;8Page &amp;P de &amp;N</oddFooter>
  </headerFooter>
  <drawing r:id="rId2"/>
  <legacyDrawing r:id="rId3"/>
  <controls>
    <mc:AlternateContent xmlns:mc="http://schemas.openxmlformats.org/markup-compatibility/2006">
      <mc:Choice Requires="x14">
        <control shapeId="150531" r:id="rId4" name="ComboBox2">
          <controlPr defaultSize="0" autoLine="0" r:id="rId5">
            <anchor moveWithCells="1">
              <from>
                <xdr:col>4</xdr:col>
                <xdr:colOff>0</xdr:colOff>
                <xdr:row>10</xdr:row>
                <xdr:rowOff>0</xdr:rowOff>
              </from>
              <to>
                <xdr:col>4</xdr:col>
                <xdr:colOff>2965450</xdr:colOff>
                <xdr:row>11</xdr:row>
                <xdr:rowOff>38100</xdr:rowOff>
              </to>
            </anchor>
          </controlPr>
        </control>
      </mc:Choice>
      <mc:Fallback>
        <control shapeId="150531" r:id="rId4" name="ComboBox2"/>
      </mc:Fallback>
    </mc:AlternateContent>
    <mc:AlternateContent xmlns:mc="http://schemas.openxmlformats.org/markup-compatibility/2006">
      <mc:Choice Requires="x14">
        <control shapeId="150530" r:id="rId6" name="ComboBox1">
          <controlPr defaultSize="0" autoLine="0" r:id="rId7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11</xdr:col>
                <xdr:colOff>1803400</xdr:colOff>
                <xdr:row>9</xdr:row>
                <xdr:rowOff>38100</xdr:rowOff>
              </to>
            </anchor>
          </controlPr>
        </control>
      </mc:Choice>
      <mc:Fallback>
        <control shapeId="150530" r:id="rId6" name="ComboBox1"/>
      </mc:Fallback>
    </mc:AlternateContent>
    <mc:AlternateContent xmlns:mc="http://schemas.openxmlformats.org/markup-compatibility/2006">
      <mc:Choice Requires="x14">
        <control shapeId="150529" r:id="rId8" name="Button 1">
          <controlPr defaultSize="0" print="0" autoFill="0" autoPict="0" macro="[0]!test2">
            <anchor moveWithCells="1">
              <from>
                <xdr:col>5</xdr:col>
                <xdr:colOff>222250</xdr:colOff>
                <xdr:row>1</xdr:row>
                <xdr:rowOff>139700</xdr:rowOff>
              </from>
              <to>
                <xdr:col>9</xdr:col>
                <xdr:colOff>1143000</xdr:colOff>
                <xdr:row>4</xdr:row>
                <xdr:rowOff>107950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67"/>
  <dimension ref="A1:M98"/>
  <sheetViews>
    <sheetView showGridLines="0" zoomScaleNormal="100" workbookViewId="0">
      <pane xSplit="3" ySplit="7" topLeftCell="F8" activePane="bottomRight" state="frozen"/>
      <selection activeCell="C8" sqref="C8"/>
      <selection pane="topRight" activeCell="C8" sqref="C8"/>
      <selection pane="bottomLeft" activeCell="C8" sqref="C8"/>
      <selection pane="bottomRight" activeCell="L5" sqref="L5"/>
    </sheetView>
  </sheetViews>
  <sheetFormatPr baseColWidth="10" defaultColWidth="11.453125" defaultRowHeight="13" x14ac:dyDescent="0.25"/>
  <cols>
    <col min="1" max="2" width="5.6328125" style="1" customWidth="1"/>
    <col min="3" max="3" width="6.6328125" style="1" customWidth="1"/>
    <col min="4" max="4" width="7.54296875" style="1" customWidth="1"/>
    <col min="5" max="5" width="44.453125" style="21" customWidth="1"/>
    <col min="6" max="6" width="10.54296875" style="1" customWidth="1"/>
    <col min="7" max="7" width="13.90625" style="1" customWidth="1"/>
    <col min="8" max="8" width="4.6328125" style="1" hidden="1" customWidth="1"/>
    <col min="9" max="9" width="6.08984375" style="1" customWidth="1"/>
    <col min="10" max="10" width="26.54296875" style="1" customWidth="1"/>
    <col min="11" max="11" width="7.36328125" style="1" customWidth="1"/>
    <col min="12" max="12" width="27" style="24" customWidth="1"/>
    <col min="13" max="13" width="26" style="1" customWidth="1"/>
    <col min="14" max="16384" width="11.453125" style="1"/>
  </cols>
  <sheetData>
    <row r="1" spans="1:13" ht="12.75" customHeight="1" x14ac:dyDescent="0.25">
      <c r="E1" s="71" t="s">
        <v>1023</v>
      </c>
      <c r="F1" s="72"/>
      <c r="L1" s="73" t="s">
        <v>1021</v>
      </c>
      <c r="M1" s="51" t="s">
        <v>1022</v>
      </c>
    </row>
    <row r="2" spans="1:13" ht="12.75" customHeight="1" x14ac:dyDescent="0.25">
      <c r="E2" s="72"/>
      <c r="F2" s="72"/>
      <c r="L2" s="74"/>
      <c r="M2" s="70">
        <f>'09'!M2:M5+1</f>
        <v>42714</v>
      </c>
    </row>
    <row r="3" spans="1:13" ht="12.75" customHeight="1" x14ac:dyDescent="0.25">
      <c r="E3" s="72"/>
      <c r="F3" s="72"/>
      <c r="L3" s="52"/>
      <c r="M3" s="70"/>
    </row>
    <row r="4" spans="1:13" ht="15.75" customHeight="1" x14ac:dyDescent="0.25">
      <c r="E4" s="72"/>
      <c r="F4" s="72"/>
      <c r="L4" s="49" t="s">
        <v>140</v>
      </c>
      <c r="M4" s="70"/>
    </row>
    <row r="5" spans="1:13" ht="21.9" customHeight="1" thickBot="1" x14ac:dyDescent="0.3">
      <c r="L5" s="36"/>
      <c r="M5" s="69">
        <f>M2</f>
        <v>42714</v>
      </c>
    </row>
    <row r="6" spans="1:13" ht="24.9" customHeight="1" x14ac:dyDescent="0.25">
      <c r="A6" s="75" t="s">
        <v>2351</v>
      </c>
      <c r="B6" s="75" t="s">
        <v>2350</v>
      </c>
      <c r="C6" s="76" t="s">
        <v>1362</v>
      </c>
      <c r="D6" s="75" t="s">
        <v>1153</v>
      </c>
      <c r="E6" s="75" t="s">
        <v>1016</v>
      </c>
      <c r="F6" s="76" t="s">
        <v>2352</v>
      </c>
      <c r="G6" s="76" t="s">
        <v>1017</v>
      </c>
      <c r="H6" s="79"/>
      <c r="I6" s="76" t="s">
        <v>1364</v>
      </c>
      <c r="J6" s="76" t="s">
        <v>1363</v>
      </c>
      <c r="K6" s="83" t="s">
        <v>1018</v>
      </c>
      <c r="L6" s="84"/>
      <c r="M6" s="84"/>
    </row>
    <row r="7" spans="1:13" ht="12.5" x14ac:dyDescent="0.25">
      <c r="A7" s="75"/>
      <c r="B7" s="75"/>
      <c r="C7" s="77"/>
      <c r="D7" s="75"/>
      <c r="E7" s="75"/>
      <c r="F7" s="78"/>
      <c r="G7" s="80"/>
      <c r="H7" s="81"/>
      <c r="I7" s="77"/>
      <c r="J7" s="77"/>
      <c r="K7" s="50" t="s">
        <v>1015</v>
      </c>
      <c r="L7" s="50" t="s">
        <v>1019</v>
      </c>
      <c r="M7" s="32" t="s">
        <v>1020</v>
      </c>
    </row>
    <row r="8" spans="1:13" ht="30" customHeight="1" x14ac:dyDescent="0.25">
      <c r="A8" s="45"/>
      <c r="B8" s="45"/>
      <c r="C8" s="30"/>
      <c r="D8" s="46">
        <v>1150</v>
      </c>
      <c r="E8" s="27" t="s">
        <v>2573</v>
      </c>
      <c r="F8" s="31"/>
      <c r="G8" s="82" t="str">
        <f>IF(F8=0,"",VLOOKUP(F8,Employés!$A$2:$B$186,2,0))</f>
        <v/>
      </c>
      <c r="H8" s="82"/>
      <c r="I8" s="34"/>
      <c r="J8" s="33"/>
      <c r="K8" s="19"/>
      <c r="L8" s="20" t="s">
        <v>1420</v>
      </c>
      <c r="M8" s="37" t="str">
        <f>IF(I8=0,"",VLOOKUP(I8,Municipalités!$A$2:$B$1290,2,TRUE))</f>
        <v/>
      </c>
    </row>
    <row r="9" spans="1:13" ht="30" customHeight="1" x14ac:dyDescent="0.25">
      <c r="A9" s="45"/>
      <c r="B9" s="45"/>
      <c r="C9" s="39"/>
      <c r="D9" s="47"/>
      <c r="E9" s="27"/>
      <c r="F9" s="31"/>
      <c r="G9" s="82" t="str">
        <f>IF(F9=0,"",VLOOKUP(F9,Employés!$A$2:$B$186,2,0))</f>
        <v/>
      </c>
      <c r="H9" s="82"/>
      <c r="I9" s="35"/>
      <c r="J9" s="33"/>
      <c r="K9" s="19"/>
      <c r="L9" s="20"/>
      <c r="M9" s="37" t="str">
        <f>IF(I9=0,"",VLOOKUP(I9,Municipalités!$A$2:$B$1290,2,TRUE))</f>
        <v/>
      </c>
    </row>
    <row r="10" spans="1:13" ht="30" customHeight="1" x14ac:dyDescent="0.25">
      <c r="A10" s="45"/>
      <c r="B10" s="45"/>
      <c r="C10" s="39"/>
      <c r="D10" s="48"/>
      <c r="E10" s="28"/>
      <c r="F10" s="31"/>
      <c r="G10" s="82" t="str">
        <f>IF(F10=0,"",VLOOKUP(F10,Employés!$A$2:$B$186,2,0))</f>
        <v/>
      </c>
      <c r="H10" s="82"/>
      <c r="I10" s="35"/>
      <c r="J10" s="29"/>
      <c r="K10" s="19"/>
      <c r="L10" s="20"/>
      <c r="M10" s="37" t="str">
        <f>IF(I10=0,"",VLOOKUP(I10,Municipalités!$A$2:$B$1290,2,TRUE))</f>
        <v/>
      </c>
    </row>
    <row r="11" spans="1:13" ht="30" customHeight="1" x14ac:dyDescent="0.25">
      <c r="A11" s="45"/>
      <c r="B11" s="45"/>
      <c r="C11" s="39"/>
      <c r="D11" s="47"/>
      <c r="E11" s="28" t="s">
        <v>1420</v>
      </c>
      <c r="F11" s="31"/>
      <c r="G11" s="82" t="str">
        <f>IF(F11=0,"",VLOOKUP(F11,Employés!$A$2:$B$186,2,0))</f>
        <v/>
      </c>
      <c r="H11" s="82"/>
      <c r="I11" s="35"/>
      <c r="J11" s="29"/>
      <c r="K11" s="19"/>
      <c r="L11" s="20"/>
      <c r="M11" s="37" t="str">
        <f>IF(I11=0,"",VLOOKUP(I11,Municipalités!$A$2:$B$1290,2,TRUE))</f>
        <v/>
      </c>
    </row>
    <row r="12" spans="1:13" ht="30" customHeight="1" x14ac:dyDescent="0.25">
      <c r="A12" s="45"/>
      <c r="B12" s="45"/>
      <c r="C12" s="39"/>
      <c r="D12" s="46"/>
      <c r="E12" s="27"/>
      <c r="F12" s="31"/>
      <c r="G12" s="82" t="str">
        <f>IF(F12=0,"",VLOOKUP(F12,Employés!$A$2:$B$186,2,0))</f>
        <v/>
      </c>
      <c r="H12" s="82"/>
      <c r="I12" s="35"/>
      <c r="J12" s="29"/>
      <c r="K12" s="19"/>
      <c r="L12" s="20"/>
      <c r="M12" s="37" t="str">
        <f>IF(I12=0,"",VLOOKUP(I12,Municipalités!$A$2:$B$1290,2,TRUE))</f>
        <v/>
      </c>
    </row>
    <row r="13" spans="1:13" ht="30" customHeight="1" x14ac:dyDescent="0.25">
      <c r="A13" s="45"/>
      <c r="B13" s="45"/>
      <c r="C13" s="39"/>
      <c r="D13" s="46"/>
      <c r="E13" s="27"/>
      <c r="F13" s="31"/>
      <c r="G13" s="82" t="str">
        <f>IF(F13=0,"",VLOOKUP(F13,Employés!$A$2:$B$186,2,0))</f>
        <v/>
      </c>
      <c r="H13" s="82"/>
      <c r="I13" s="35"/>
      <c r="J13" s="29"/>
      <c r="K13" s="19"/>
      <c r="L13" s="20"/>
      <c r="M13" s="37" t="str">
        <f>IF(I13=0,"",VLOOKUP(I13,Municipalités!$A$2:$B$1290,2,TRUE))</f>
        <v/>
      </c>
    </row>
    <row r="14" spans="1:13" ht="30" customHeight="1" x14ac:dyDescent="0.25">
      <c r="A14" s="45"/>
      <c r="B14" s="45"/>
      <c r="C14" s="39"/>
      <c r="D14" s="47"/>
      <c r="E14" s="27"/>
      <c r="F14" s="31"/>
      <c r="G14" s="82" t="str">
        <f>IF(F14=0,"",VLOOKUP(F14,Employés!$A$2:$B$186,2,0))</f>
        <v/>
      </c>
      <c r="H14" s="82"/>
      <c r="I14" s="35"/>
      <c r="J14" s="29"/>
      <c r="K14" s="19"/>
      <c r="L14" s="20"/>
      <c r="M14" s="37" t="str">
        <f>IF(I14=0,"",VLOOKUP(I14,Municipalités!$A$2:$B$1290,2,TRUE))</f>
        <v/>
      </c>
    </row>
    <row r="15" spans="1:13" ht="30" customHeight="1" x14ac:dyDescent="0.25">
      <c r="A15" s="45"/>
      <c r="B15" s="45"/>
      <c r="C15" s="39"/>
      <c r="D15" s="47"/>
      <c r="E15" s="27"/>
      <c r="F15" s="31"/>
      <c r="G15" s="82" t="str">
        <f>IF(F15=0,"",VLOOKUP(F15,Employés!$A$2:$B$186,2,0))</f>
        <v/>
      </c>
      <c r="H15" s="82"/>
      <c r="I15" s="35"/>
      <c r="J15" s="29"/>
      <c r="K15" s="19"/>
      <c r="L15" s="20"/>
      <c r="M15" s="37" t="str">
        <f>IF(I15=0,"",VLOOKUP(I15,Municipalités!$A$2:$B$1290,2,TRUE))</f>
        <v/>
      </c>
    </row>
    <row r="16" spans="1:13" ht="30" customHeight="1" x14ac:dyDescent="0.25">
      <c r="A16" s="45"/>
      <c r="B16" s="45"/>
      <c r="C16" s="39"/>
      <c r="D16" s="46"/>
      <c r="E16" s="27"/>
      <c r="F16" s="31"/>
      <c r="G16" s="82" t="str">
        <f>IF(F16=0,"",VLOOKUP(F16,Employés!$A$2:$B$186,2,0))</f>
        <v/>
      </c>
      <c r="H16" s="82"/>
      <c r="I16" s="35"/>
      <c r="J16" s="29"/>
      <c r="K16" s="19"/>
      <c r="L16" s="20"/>
      <c r="M16" s="37" t="str">
        <f>IF(I16=0,"",VLOOKUP(I16,Municipalités!$A$2:$B$1290,2,TRUE))</f>
        <v/>
      </c>
    </row>
    <row r="17" spans="1:13" ht="30" customHeight="1" x14ac:dyDescent="0.25">
      <c r="A17" s="45"/>
      <c r="B17" s="45"/>
      <c r="C17" s="39"/>
      <c r="D17" s="46"/>
      <c r="E17" s="27"/>
      <c r="F17" s="31"/>
      <c r="G17" s="82" t="str">
        <f>IF(F17=0,"",VLOOKUP(F17,Employés!$A$2:$B$186,2,0))</f>
        <v/>
      </c>
      <c r="H17" s="82"/>
      <c r="I17" s="35"/>
      <c r="J17" s="29"/>
      <c r="K17" s="19"/>
      <c r="L17" s="20"/>
      <c r="M17" s="37" t="str">
        <f>IF(I17=0,"",VLOOKUP(I17,Municipalités!$A$2:$B$1290,2,TRUE))</f>
        <v/>
      </c>
    </row>
    <row r="18" spans="1:13" ht="30" customHeight="1" x14ac:dyDescent="0.25">
      <c r="A18" s="45"/>
      <c r="B18" s="45"/>
      <c r="C18" s="39"/>
      <c r="D18" s="46"/>
      <c r="E18" s="27"/>
      <c r="F18" s="31"/>
      <c r="G18" s="82" t="str">
        <f>IF(F18=0,"",VLOOKUP(F18,Employés!$A$2:$B$186,2,0))</f>
        <v/>
      </c>
      <c r="H18" s="82"/>
      <c r="I18" s="35"/>
      <c r="J18" s="29"/>
      <c r="K18" s="19"/>
      <c r="L18" s="20"/>
      <c r="M18" s="37" t="str">
        <f>IF(I18=0,"",VLOOKUP(I18,Municipalités!$A$2:$B$1290,2,TRUE))</f>
        <v/>
      </c>
    </row>
    <row r="19" spans="1:13" ht="30" customHeight="1" x14ac:dyDescent="0.25">
      <c r="A19" s="45"/>
      <c r="B19" s="45"/>
      <c r="C19" s="39"/>
      <c r="D19" s="46"/>
      <c r="E19" s="27"/>
      <c r="F19" s="31"/>
      <c r="G19" s="82" t="str">
        <f>IF(F19=0,"",VLOOKUP(F19,Employés!$A$2:$B$186,2,0))</f>
        <v/>
      </c>
      <c r="H19" s="82"/>
      <c r="I19" s="35"/>
      <c r="J19" s="29"/>
      <c r="K19" s="19"/>
      <c r="L19" s="20"/>
      <c r="M19" s="37" t="str">
        <f>IF(I19=0,"",VLOOKUP(I19,Municipalités!$A$2:$B$1290,2,TRUE))</f>
        <v/>
      </c>
    </row>
    <row r="20" spans="1:13" ht="30" customHeight="1" x14ac:dyDescent="0.25">
      <c r="A20" s="45"/>
      <c r="B20" s="45"/>
      <c r="C20" s="39"/>
      <c r="D20" s="47"/>
      <c r="E20" s="27"/>
      <c r="F20" s="31"/>
      <c r="G20" s="82" t="str">
        <f>IF(F20=0,"",VLOOKUP(F20,Employés!$A$2:$B$186,2,0))</f>
        <v/>
      </c>
      <c r="H20" s="82"/>
      <c r="I20" s="35"/>
      <c r="J20" s="29"/>
      <c r="K20" s="19"/>
      <c r="L20" s="20"/>
      <c r="M20" s="37" t="str">
        <f>IF(I20=0,"",VLOOKUP(I20,Municipalités!$A$2:$B$1290,2,TRUE))</f>
        <v/>
      </c>
    </row>
    <row r="21" spans="1:13" ht="30" customHeight="1" x14ac:dyDescent="0.25">
      <c r="A21" s="45"/>
      <c r="B21" s="45"/>
      <c r="C21" s="39"/>
      <c r="D21" s="47"/>
      <c r="E21" s="27"/>
      <c r="F21" s="31"/>
      <c r="G21" s="82" t="str">
        <f>IF(F21=0,"",VLOOKUP(F21,Employés!$A$2:$B$186,2,0))</f>
        <v/>
      </c>
      <c r="H21" s="82"/>
      <c r="I21" s="35"/>
      <c r="J21" s="29"/>
      <c r="K21" s="19"/>
      <c r="L21" s="20"/>
      <c r="M21" s="37" t="str">
        <f>IF(I21=0,"",VLOOKUP(I21,Municipalités!$A$2:$B$1290,2,TRUE))</f>
        <v/>
      </c>
    </row>
    <row r="22" spans="1:13" ht="30" customHeight="1" x14ac:dyDescent="0.25">
      <c r="A22" s="45"/>
      <c r="B22" s="45"/>
      <c r="C22" s="39"/>
      <c r="D22" s="46"/>
      <c r="E22" s="27"/>
      <c r="F22" s="31"/>
      <c r="G22" s="82" t="str">
        <f>IF(F22=0,"",VLOOKUP(F22,Employés!$A$2:$B$186,2,0))</f>
        <v/>
      </c>
      <c r="H22" s="82"/>
      <c r="I22" s="35"/>
      <c r="J22" s="29"/>
      <c r="K22" s="19"/>
      <c r="L22" s="20"/>
      <c r="M22" s="37" t="str">
        <f>IF(I22=0,"",VLOOKUP(I22,Municipalités!$A$2:$B$1290,2,TRUE))</f>
        <v/>
      </c>
    </row>
    <row r="23" spans="1:13" ht="30" customHeight="1" x14ac:dyDescent="0.25">
      <c r="A23" s="45"/>
      <c r="B23" s="45"/>
      <c r="C23" s="39"/>
      <c r="D23" s="46"/>
      <c r="E23" s="27"/>
      <c r="F23" s="31"/>
      <c r="G23" s="82" t="str">
        <f>IF(F23=0,"",VLOOKUP(F23,Employés!$A$2:$B$186,2,0))</f>
        <v/>
      </c>
      <c r="H23" s="82"/>
      <c r="I23" s="35"/>
      <c r="J23" s="29"/>
      <c r="K23" s="19"/>
      <c r="L23" s="20"/>
      <c r="M23" s="37" t="str">
        <f>IF(I23=0,"",VLOOKUP(I23,Municipalités!$A$2:$B$1290,2,TRUE))</f>
        <v/>
      </c>
    </row>
    <row r="24" spans="1:13" ht="30" customHeight="1" x14ac:dyDescent="0.25">
      <c r="A24" s="45"/>
      <c r="B24" s="45"/>
      <c r="C24" s="39"/>
      <c r="D24" s="46"/>
      <c r="E24" s="27"/>
      <c r="F24" s="31"/>
      <c r="G24" s="82" t="str">
        <f>IF(F24=0,"",VLOOKUP(F24,Employés!$A$2:$B$186,2,0))</f>
        <v/>
      </c>
      <c r="H24" s="82"/>
      <c r="I24" s="35"/>
      <c r="J24" s="29"/>
      <c r="K24" s="19"/>
      <c r="L24" s="20"/>
      <c r="M24" s="37" t="str">
        <f>IF(I24=0,"",VLOOKUP(I24,Municipalités!$A$2:$B$1290,2,TRUE))</f>
        <v/>
      </c>
    </row>
    <row r="25" spans="1:13" ht="30" customHeight="1" x14ac:dyDescent="0.25">
      <c r="A25" s="45"/>
      <c r="B25" s="45"/>
      <c r="C25" s="39"/>
      <c r="D25" s="46"/>
      <c r="E25" s="27"/>
      <c r="F25" s="31"/>
      <c r="G25" s="82" t="str">
        <f>IF(F25=0,"",VLOOKUP(F25,Employés!$A$2:$B$186,2,0))</f>
        <v/>
      </c>
      <c r="H25" s="82"/>
      <c r="I25" s="35"/>
      <c r="J25" s="29"/>
      <c r="K25" s="19"/>
      <c r="L25" s="20"/>
      <c r="M25" s="37" t="str">
        <f>IF(I25=0,"",VLOOKUP(I25,Municipalités!$A$2:$B$1290,2,TRUE))</f>
        <v/>
      </c>
    </row>
    <row r="26" spans="1:13" ht="30" customHeight="1" x14ac:dyDescent="0.25">
      <c r="A26" s="45"/>
      <c r="B26" s="45"/>
      <c r="C26" s="39"/>
      <c r="D26" s="46"/>
      <c r="E26" s="27"/>
      <c r="F26" s="31"/>
      <c r="G26" s="82" t="str">
        <f>IF(F26=0,"",VLOOKUP(F26,Employés!$A$2:$B$186,2,0))</f>
        <v/>
      </c>
      <c r="H26" s="82"/>
      <c r="I26" s="35"/>
      <c r="J26" s="29"/>
      <c r="K26" s="19"/>
      <c r="L26" s="20"/>
      <c r="M26" s="37" t="str">
        <f>IF(I26=0,"",VLOOKUP(I26,Municipalités!$A$2:$B$1290,2,TRUE))</f>
        <v/>
      </c>
    </row>
    <row r="27" spans="1:13" ht="30" customHeight="1" x14ac:dyDescent="0.25">
      <c r="A27" s="45"/>
      <c r="B27" s="45"/>
      <c r="C27" s="39"/>
      <c r="D27" s="46"/>
      <c r="E27" s="27"/>
      <c r="F27" s="31"/>
      <c r="G27" s="82" t="str">
        <f>IF(F27=0,"",VLOOKUP(F27,Employés!$A$2:$B$186,2,0))</f>
        <v/>
      </c>
      <c r="H27" s="82"/>
      <c r="I27" s="35"/>
      <c r="J27" s="29"/>
      <c r="K27" s="19"/>
      <c r="L27" s="20"/>
      <c r="M27" s="37" t="str">
        <f>IF(I27=0,"",VLOOKUP(I27,Municipalités!$A$2:$B$1290,2,TRUE))</f>
        <v/>
      </c>
    </row>
    <row r="28" spans="1:13" ht="30" customHeight="1" x14ac:dyDescent="0.25">
      <c r="A28" s="45"/>
      <c r="B28" s="45"/>
      <c r="C28" s="39"/>
      <c r="D28" s="46"/>
      <c r="E28" s="27"/>
      <c r="F28" s="31"/>
      <c r="G28" s="82" t="str">
        <f>IF(F28=0,"",VLOOKUP(F28,Employés!$A$2:$B$186,2,0))</f>
        <v/>
      </c>
      <c r="H28" s="82"/>
      <c r="I28" s="35"/>
      <c r="J28" s="29"/>
      <c r="K28" s="19"/>
      <c r="L28" s="20"/>
      <c r="M28" s="37" t="str">
        <f>IF(I28=0,"",VLOOKUP(I28,Municipalités!$A$2:$B$1290,2,TRUE))</f>
        <v/>
      </c>
    </row>
    <row r="29" spans="1:13" ht="30" customHeight="1" x14ac:dyDescent="0.25">
      <c r="A29" s="45"/>
      <c r="B29" s="45"/>
      <c r="C29" s="39"/>
      <c r="D29" s="46"/>
      <c r="E29" s="27"/>
      <c r="F29" s="31"/>
      <c r="G29" s="82" t="str">
        <f>IF(F29=0,"",VLOOKUP(F29,Employés!$A$2:$B$186,2,0))</f>
        <v/>
      </c>
      <c r="H29" s="82"/>
      <c r="I29" s="35"/>
      <c r="J29" s="29"/>
      <c r="K29" s="19"/>
      <c r="L29" s="20"/>
      <c r="M29" s="37" t="str">
        <f>IF(I29=0,"",VLOOKUP(I29,Municipalités!$A$2:$B$1290,2,TRUE))</f>
        <v/>
      </c>
    </row>
    <row r="30" spans="1:13" ht="30" customHeight="1" x14ac:dyDescent="0.25">
      <c r="A30" s="45"/>
      <c r="B30" s="45"/>
      <c r="C30" s="39"/>
      <c r="D30" s="46"/>
      <c r="E30" s="27"/>
      <c r="F30" s="31"/>
      <c r="G30" s="82" t="str">
        <f>IF(F30=0,"",VLOOKUP(F30,Employés!$A$2:$B$186,2,0))</f>
        <v/>
      </c>
      <c r="H30" s="82"/>
      <c r="I30" s="35"/>
      <c r="J30" s="29"/>
      <c r="K30" s="19"/>
      <c r="L30" s="20"/>
      <c r="M30" s="37" t="str">
        <f>IF(I30=0,"",VLOOKUP(I30,Municipalités!$A$2:$B$1290,2,TRUE))</f>
        <v/>
      </c>
    </row>
    <row r="31" spans="1:13" ht="30" customHeight="1" x14ac:dyDescent="0.25">
      <c r="A31" s="45"/>
      <c r="B31" s="45"/>
      <c r="C31" s="39"/>
      <c r="D31" s="47"/>
      <c r="E31" s="27"/>
      <c r="F31" s="31"/>
      <c r="G31" s="82" t="str">
        <f>IF(F31=0,"",VLOOKUP(F31,Employés!$A$2:$B$186,2,0))</f>
        <v/>
      </c>
      <c r="H31" s="82"/>
      <c r="I31" s="35"/>
      <c r="J31" s="29"/>
      <c r="K31" s="19"/>
      <c r="L31" s="20"/>
      <c r="M31" s="37" t="str">
        <f>IF(I31=0,"",VLOOKUP(I31,Municipalités!$A$2:$B$1290,2,TRUE))</f>
        <v/>
      </c>
    </row>
    <row r="32" spans="1:13" ht="30" customHeight="1" x14ac:dyDescent="0.25">
      <c r="A32" s="45"/>
      <c r="B32" s="45"/>
      <c r="C32" s="39"/>
      <c r="D32" s="46"/>
      <c r="E32" s="27"/>
      <c r="F32" s="31"/>
      <c r="G32" s="82" t="str">
        <f>IF(F32=0,"",VLOOKUP(F32,Employés!$A$2:$B$186,2,0))</f>
        <v/>
      </c>
      <c r="H32" s="82"/>
      <c r="I32" s="35"/>
      <c r="J32" s="29"/>
      <c r="K32" s="19"/>
      <c r="L32" s="20"/>
      <c r="M32" s="37" t="str">
        <f>IF(I32=0,"",VLOOKUP(I32,Municipalités!$A$2:$B$1290,2,TRUE))</f>
        <v/>
      </c>
    </row>
    <row r="33" spans="1:13" ht="30" customHeight="1" x14ac:dyDescent="0.25">
      <c r="A33" s="45"/>
      <c r="B33" s="45"/>
      <c r="C33" s="39"/>
      <c r="D33" s="46"/>
      <c r="E33" s="27"/>
      <c r="F33" s="31"/>
      <c r="G33" s="82" t="str">
        <f>IF(F33=0,"",VLOOKUP(F33,Employés!$A$2:$B$186,2,0))</f>
        <v/>
      </c>
      <c r="H33" s="82"/>
      <c r="I33" s="35"/>
      <c r="J33" s="29"/>
      <c r="K33" s="19"/>
      <c r="L33" s="20"/>
      <c r="M33" s="37" t="str">
        <f>IF(I33=0,"",VLOOKUP(I33,Municipalités!$A$2:$B$1290,2,TRUE))</f>
        <v/>
      </c>
    </row>
    <row r="34" spans="1:13" ht="30" customHeight="1" x14ac:dyDescent="0.25">
      <c r="A34" s="45"/>
      <c r="B34" s="45"/>
      <c r="C34" s="39"/>
      <c r="D34" s="46"/>
      <c r="E34" s="27"/>
      <c r="F34" s="31"/>
      <c r="G34" s="82" t="str">
        <f>IF(F34=0,"",VLOOKUP(F34,Employés!$A$2:$B$186,2,0))</f>
        <v/>
      </c>
      <c r="H34" s="82"/>
      <c r="I34" s="35"/>
      <c r="J34" s="29"/>
      <c r="K34" s="19"/>
      <c r="L34" s="20"/>
      <c r="M34" s="37" t="str">
        <f>IF(I34=0,"",VLOOKUP(I34,Municipalités!$A$2:$B$1290,2,TRUE))</f>
        <v/>
      </c>
    </row>
    <row r="35" spans="1:13" ht="30" customHeight="1" x14ac:dyDescent="0.25">
      <c r="A35" s="45"/>
      <c r="B35" s="45"/>
      <c r="C35" s="30"/>
      <c r="D35" s="46"/>
      <c r="E35" s="27"/>
      <c r="F35" s="31"/>
      <c r="G35" s="82" t="str">
        <f>IF(F35=0,"",VLOOKUP(F35,Employés!$A$2:$B$186,2,0))</f>
        <v/>
      </c>
      <c r="H35" s="82"/>
      <c r="I35" s="35"/>
      <c r="J35" s="29"/>
      <c r="K35" s="19"/>
      <c r="L35" s="20"/>
      <c r="M35" s="37" t="str">
        <f>IF(I35=0,"",VLOOKUP(I35,Municipalités!$A$2:$B$1290,2,TRUE))</f>
        <v/>
      </c>
    </row>
    <row r="36" spans="1:13" ht="30" customHeight="1" x14ac:dyDescent="0.25">
      <c r="A36" s="45"/>
      <c r="B36" s="45"/>
      <c r="C36" s="30"/>
      <c r="D36" s="46"/>
      <c r="E36" s="27"/>
      <c r="F36" s="31"/>
      <c r="G36" s="82" t="str">
        <f>IF(F36=0,"",VLOOKUP(F36,Employés!$A$2:$B$186,2,0))</f>
        <v/>
      </c>
      <c r="H36" s="82"/>
      <c r="I36" s="35"/>
      <c r="J36" s="29"/>
      <c r="K36" s="19"/>
      <c r="L36" s="20"/>
      <c r="M36" s="37" t="str">
        <f>IF(I36=0,"",VLOOKUP(I36,Municipalités!$A$2:$B$1290,2,TRUE))</f>
        <v/>
      </c>
    </row>
    <row r="37" spans="1:13" ht="30" customHeight="1" x14ac:dyDescent="0.25">
      <c r="A37" s="45"/>
      <c r="B37" s="45"/>
      <c r="C37" s="39"/>
      <c r="D37" s="46"/>
      <c r="E37" s="27"/>
      <c r="F37" s="31"/>
      <c r="G37" s="82" t="str">
        <f>IF(F37=0,"",VLOOKUP(F37,Employés!$A$2:$B$186,2,0))</f>
        <v/>
      </c>
      <c r="H37" s="82"/>
      <c r="I37" s="35"/>
      <c r="J37" s="29"/>
      <c r="K37" s="19"/>
      <c r="L37" s="20"/>
      <c r="M37" s="37" t="str">
        <f>IF(I37=0,"",VLOOKUP(I37,Municipalités!$A$2:$B$1290,2,TRUE))</f>
        <v/>
      </c>
    </row>
    <row r="38" spans="1:13" ht="30" customHeight="1" x14ac:dyDescent="0.25">
      <c r="A38" s="45"/>
      <c r="B38" s="45"/>
      <c r="C38" s="39"/>
      <c r="D38" s="47"/>
      <c r="E38" s="27"/>
      <c r="F38" s="31"/>
      <c r="G38" s="82" t="str">
        <f>IF(F38=0,"",VLOOKUP(F38,Employés!$A$2:$B$186,2,0))</f>
        <v/>
      </c>
      <c r="H38" s="82"/>
      <c r="I38" s="35"/>
      <c r="J38" s="29"/>
      <c r="K38" s="19"/>
      <c r="L38" s="20"/>
      <c r="M38" s="37" t="str">
        <f>IF(I38=0,"",VLOOKUP(I38,Municipalités!$A$2:$B$1290,2,TRUE))</f>
        <v/>
      </c>
    </row>
    <row r="39" spans="1:13" ht="30" customHeight="1" x14ac:dyDescent="0.25">
      <c r="A39" s="45"/>
      <c r="B39" s="45"/>
      <c r="C39" s="39"/>
      <c r="D39" s="45"/>
      <c r="E39" s="27"/>
      <c r="F39" s="31"/>
      <c r="G39" s="82" t="str">
        <f>IF(F39=0,"",VLOOKUP(F39,Employés!$A$2:$B$186,2,0))</f>
        <v/>
      </c>
      <c r="H39" s="82"/>
      <c r="I39" s="35"/>
      <c r="J39" s="29"/>
      <c r="K39" s="26"/>
      <c r="L39" s="25"/>
      <c r="M39" s="37" t="str">
        <f>IF(I39=0,"",VLOOKUP(I39,Municipalités!$A$2:$B$1290,2,TRUE))</f>
        <v/>
      </c>
    </row>
    <row r="40" spans="1:13" ht="30" customHeight="1" x14ac:dyDescent="0.25">
      <c r="A40" s="8"/>
      <c r="B40" s="8"/>
      <c r="C40" s="30"/>
      <c r="D40" s="8"/>
      <c r="E40" s="27"/>
      <c r="F40" s="31"/>
      <c r="G40" s="82" t="str">
        <f>IF(F40=0,"",VLOOKUP(F40,Employés!$A$2:$B$186,2,0))</f>
        <v/>
      </c>
      <c r="H40" s="82"/>
      <c r="I40" s="35"/>
      <c r="J40" s="29"/>
      <c r="K40" s="26"/>
      <c r="L40" s="25"/>
      <c r="M40" s="37" t="str">
        <f>IF(I40=0,"",VLOOKUP(I40,Municipalités!$A$2:$B$1290,2,TRUE))</f>
        <v/>
      </c>
    </row>
    <row r="41" spans="1:13" ht="30" customHeight="1" x14ac:dyDescent="0.25">
      <c r="A41" s="8"/>
      <c r="B41" s="8"/>
      <c r="C41" s="30"/>
      <c r="D41" s="8"/>
      <c r="E41" s="27"/>
      <c r="F41" s="31"/>
      <c r="G41" s="82" t="str">
        <f>IF(F41=0,"",VLOOKUP(F41,Employés!$A$2:$B$186,2,0))</f>
        <v/>
      </c>
      <c r="H41" s="82"/>
      <c r="I41" s="35"/>
      <c r="J41" s="29"/>
      <c r="K41" s="26"/>
      <c r="L41" s="25"/>
      <c r="M41" s="37" t="str">
        <f>IF(I41=0,"",VLOOKUP(I41,Municipalités!$A$2:$B$1290,2,TRUE))</f>
        <v/>
      </c>
    </row>
    <row r="42" spans="1:13" ht="30" customHeight="1" x14ac:dyDescent="0.25">
      <c r="A42" s="8"/>
      <c r="B42" s="8"/>
      <c r="C42" s="30"/>
      <c r="D42" s="8"/>
      <c r="E42" s="27"/>
      <c r="F42" s="31"/>
      <c r="G42" s="82" t="str">
        <f>IF(F42=0,"",VLOOKUP(F42,Employés!$A$2:$B$186,2,0))</f>
        <v/>
      </c>
      <c r="H42" s="82"/>
      <c r="I42" s="35"/>
      <c r="J42" s="29"/>
      <c r="K42" s="26"/>
      <c r="L42" s="25"/>
      <c r="M42" s="37" t="str">
        <f>IF(I42=0,"",VLOOKUP(I42,Municipalités!$A$2:$B$1290,2,TRUE))</f>
        <v/>
      </c>
    </row>
    <row r="43" spans="1:13" ht="30" customHeight="1" x14ac:dyDescent="0.25">
      <c r="A43" s="8"/>
      <c r="B43" s="8"/>
      <c r="C43" s="30"/>
      <c r="D43" s="8"/>
      <c r="E43" s="27" t="s">
        <v>1420</v>
      </c>
      <c r="F43" s="31"/>
      <c r="G43" s="82" t="str">
        <f>IF(F43=0,"",VLOOKUP(F43,Employés!$A$2:$B$186,2,0))</f>
        <v/>
      </c>
      <c r="H43" s="82"/>
      <c r="I43" s="35"/>
      <c r="J43" s="29"/>
      <c r="K43" s="26"/>
      <c r="L43" s="25" t="s">
        <v>1420</v>
      </c>
      <c r="M43" s="37" t="str">
        <f>IF(I43=0,"",VLOOKUP(I43,Municipalités!$A$2:$B$1290,2,TRUE))</f>
        <v/>
      </c>
    </row>
    <row r="44" spans="1:13" ht="30" customHeight="1" x14ac:dyDescent="0.25">
      <c r="A44" s="8"/>
      <c r="B44" s="8"/>
      <c r="C44" s="30"/>
      <c r="D44" s="8"/>
      <c r="E44" s="27"/>
      <c r="F44" s="31"/>
      <c r="G44" s="82" t="str">
        <f>IF(F44=0,"",VLOOKUP(F44,Employés!$A$2:$B$186,2,0))</f>
        <v/>
      </c>
      <c r="H44" s="82"/>
      <c r="I44" s="35"/>
      <c r="J44" s="29"/>
      <c r="K44" s="26"/>
      <c r="L44" s="25"/>
      <c r="M44" s="37" t="str">
        <f>IF(I44=0,"",VLOOKUP(I44,Municipalités!$A$2:$B$1290,2,TRUE))</f>
        <v/>
      </c>
    </row>
    <row r="45" spans="1:13" ht="30" customHeight="1" x14ac:dyDescent="0.25">
      <c r="A45" s="8"/>
      <c r="B45" s="8"/>
      <c r="C45" s="30"/>
      <c r="D45" s="8"/>
      <c r="E45" s="27"/>
      <c r="F45" s="31"/>
      <c r="G45" s="82" t="str">
        <f>IF(F45=0,"",VLOOKUP(F45,Employés!$A$2:$B$186,2,0))</f>
        <v/>
      </c>
      <c r="H45" s="82"/>
      <c r="I45" s="35"/>
      <c r="J45" s="29"/>
      <c r="K45" s="26"/>
      <c r="L45" s="25"/>
      <c r="M45" s="37" t="str">
        <f>IF(I45=0,"",VLOOKUP(I45,Municipalités!$A$2:$B$1290,2,TRUE))</f>
        <v/>
      </c>
    </row>
    <row r="46" spans="1:13" ht="30" customHeight="1" x14ac:dyDescent="0.25">
      <c r="A46" s="8"/>
      <c r="B46" s="8"/>
      <c r="C46" s="30"/>
      <c r="D46" s="8"/>
      <c r="E46" s="27"/>
      <c r="F46" s="31"/>
      <c r="G46" s="82" t="str">
        <f>IF(F46=0,"",VLOOKUP(F46,Employés!$A$2:$B$186,2,0))</f>
        <v/>
      </c>
      <c r="H46" s="82"/>
      <c r="I46" s="35"/>
      <c r="J46" s="29"/>
      <c r="K46" s="26"/>
      <c r="L46" s="25"/>
      <c r="M46" s="37" t="str">
        <f>IF(I46=0,"",VLOOKUP(I46,Municipalités!$A$2:$B$1290,2,TRUE))</f>
        <v/>
      </c>
    </row>
    <row r="47" spans="1:13" ht="30" customHeight="1" x14ac:dyDescent="0.25">
      <c r="A47" s="8"/>
      <c r="B47" s="8"/>
      <c r="C47" s="30"/>
      <c r="D47" s="8"/>
      <c r="E47" s="27"/>
      <c r="F47" s="31"/>
      <c r="G47" s="82" t="str">
        <f>IF(F47=0,"",VLOOKUP(F47,Employés!$A$2:$B$186,2,0))</f>
        <v/>
      </c>
      <c r="H47" s="82"/>
      <c r="I47" s="35"/>
      <c r="J47" s="29"/>
      <c r="K47" s="26"/>
      <c r="L47" s="25"/>
      <c r="M47" s="37" t="str">
        <f>IF(I47=0,"",VLOOKUP(I47,Municipalités!$A$2:$B$1290,2,TRUE))</f>
        <v/>
      </c>
    </row>
    <row r="48" spans="1:13" ht="30" customHeight="1" x14ac:dyDescent="0.25">
      <c r="A48" s="8"/>
      <c r="B48" s="8"/>
      <c r="C48" s="30"/>
      <c r="D48" s="8"/>
      <c r="E48" s="27"/>
      <c r="F48" s="31"/>
      <c r="G48" s="82" t="str">
        <f>IF(F48=0,"",VLOOKUP(F48,Employés!$A$2:$B$186,2,0))</f>
        <v/>
      </c>
      <c r="H48" s="82"/>
      <c r="I48" s="35"/>
      <c r="J48" s="29"/>
      <c r="K48" s="26"/>
      <c r="L48" s="25"/>
      <c r="M48" s="37" t="str">
        <f>IF(I48=0,"",VLOOKUP(I48,Municipalités!$A$2:$B$1290,2,TRUE))</f>
        <v/>
      </c>
    </row>
    <row r="49" spans="1:13" ht="30" customHeight="1" x14ac:dyDescent="0.25">
      <c r="A49" s="8"/>
      <c r="B49" s="8"/>
      <c r="C49" s="30"/>
      <c r="D49" s="8"/>
      <c r="E49" s="27"/>
      <c r="F49" s="31"/>
      <c r="G49" s="82" t="str">
        <f>IF(F49=0,"",VLOOKUP(F49,Employés!$A$2:$B$186,2,0))</f>
        <v/>
      </c>
      <c r="H49" s="82"/>
      <c r="I49" s="35"/>
      <c r="J49" s="29"/>
      <c r="K49" s="26"/>
      <c r="L49" s="25"/>
      <c r="M49" s="37" t="str">
        <f>IF(I49=0,"",VLOOKUP(I49,Municipalités!$A$2:$B$1290,2,TRUE))</f>
        <v/>
      </c>
    </row>
    <row r="50" spans="1:13" ht="30" customHeight="1" x14ac:dyDescent="0.25">
      <c r="A50" s="8"/>
      <c r="B50" s="8"/>
      <c r="C50" s="30"/>
      <c r="D50" s="8"/>
      <c r="E50" s="27"/>
      <c r="F50" s="31"/>
      <c r="G50" s="82" t="str">
        <f>IF(F50=0,"",VLOOKUP(F50,Employés!$A$2:$B$186,2,0))</f>
        <v/>
      </c>
      <c r="H50" s="82"/>
      <c r="I50" s="35"/>
      <c r="J50" s="29"/>
      <c r="K50" s="26"/>
      <c r="L50" s="25"/>
      <c r="M50" s="37" t="str">
        <f>IF(I50=0,"",VLOOKUP(I50,Municipalités!$A$2:$B$1290,2,TRUE))</f>
        <v/>
      </c>
    </row>
    <row r="51" spans="1:13" ht="30" customHeight="1" x14ac:dyDescent="0.25">
      <c r="A51" s="8"/>
      <c r="B51" s="8"/>
      <c r="C51" s="30"/>
      <c r="D51" s="8"/>
      <c r="E51" s="27"/>
      <c r="F51" s="31"/>
      <c r="G51" s="82" t="str">
        <f>IF(F51=0,"",VLOOKUP(F51,Employés!$A$2:$B$186,2,0))</f>
        <v/>
      </c>
      <c r="H51" s="82"/>
      <c r="I51" s="35"/>
      <c r="J51" s="29"/>
      <c r="K51" s="26"/>
      <c r="L51" s="25"/>
      <c r="M51" s="37" t="str">
        <f>IF(I51=0,"",VLOOKUP(I51,Municipalités!$A$2:$B$1290,2,TRUE))</f>
        <v/>
      </c>
    </row>
    <row r="52" spans="1:13" ht="30" customHeight="1" x14ac:dyDescent="0.25">
      <c r="A52" s="8"/>
      <c r="B52" s="8"/>
      <c r="C52" s="30"/>
      <c r="D52" s="8"/>
      <c r="E52" s="27"/>
      <c r="F52" s="31"/>
      <c r="G52" s="82" t="str">
        <f>IF(F52=0,"",VLOOKUP(F52,Employés!$A$2:$B$186,2,0))</f>
        <v/>
      </c>
      <c r="H52" s="82"/>
      <c r="I52" s="35"/>
      <c r="J52" s="29"/>
      <c r="K52" s="26"/>
      <c r="L52" s="25"/>
      <c r="M52" s="37" t="str">
        <f>IF(I52=0,"",VLOOKUP(I52,Municipalités!$A$2:$B$1290,2,TRUE))</f>
        <v/>
      </c>
    </row>
    <row r="53" spans="1:13" ht="30" customHeight="1" x14ac:dyDescent="0.25">
      <c r="A53" s="8"/>
      <c r="B53" s="8"/>
      <c r="C53" s="30"/>
      <c r="D53" s="8"/>
      <c r="E53" s="27"/>
      <c r="F53" s="31"/>
      <c r="G53" s="82" t="str">
        <f>IF(F53=0,"",VLOOKUP(F53,Employés!$A$2:$B$186,2,0))</f>
        <v/>
      </c>
      <c r="H53" s="82"/>
      <c r="I53" s="35"/>
      <c r="J53" s="29"/>
      <c r="K53" s="26"/>
      <c r="L53" s="25"/>
      <c r="M53" s="37" t="str">
        <f>IF(I53=0,"",VLOOKUP(I53,Municipalités!$A$2:$B$1290,2,TRUE))</f>
        <v/>
      </c>
    </row>
    <row r="54" spans="1:13" ht="30" customHeight="1" x14ac:dyDescent="0.25">
      <c r="A54" s="8"/>
      <c r="B54" s="8"/>
      <c r="C54" s="30"/>
      <c r="D54" s="8"/>
      <c r="E54" s="27"/>
      <c r="F54" s="31"/>
      <c r="G54" s="82" t="str">
        <f>IF(F54=0,"",VLOOKUP(F54,Employés!$A$2:$B$186,2,0))</f>
        <v/>
      </c>
      <c r="H54" s="82"/>
      <c r="I54" s="35"/>
      <c r="J54" s="29"/>
      <c r="K54" s="26"/>
      <c r="L54" s="25"/>
      <c r="M54" s="37" t="str">
        <f>IF(I54=0,"",VLOOKUP(I54,Municipalités!$A$2:$B$1290,2,TRUE))</f>
        <v/>
      </c>
    </row>
    <row r="55" spans="1:13" ht="30" customHeight="1" x14ac:dyDescent="0.25">
      <c r="A55" s="8"/>
      <c r="B55" s="8"/>
      <c r="C55" s="30"/>
      <c r="D55" s="8"/>
      <c r="E55" s="27"/>
      <c r="F55" s="31"/>
      <c r="G55" s="82" t="str">
        <f>IF(F55=0,"",VLOOKUP(F55,Employés!$A$2:$B$186,2,0))</f>
        <v/>
      </c>
      <c r="H55" s="82"/>
      <c r="I55" s="35"/>
      <c r="J55" s="29"/>
      <c r="K55" s="26"/>
      <c r="L55" s="25"/>
      <c r="M55" s="37" t="str">
        <f>IF(I55=0,"",VLOOKUP(I55,Municipalités!$A$2:$B$1290,2,TRUE))</f>
        <v/>
      </c>
    </row>
    <row r="56" spans="1:13" ht="30" customHeight="1" x14ac:dyDescent="0.25">
      <c r="A56" s="8"/>
      <c r="B56" s="8"/>
      <c r="C56" s="30"/>
      <c r="D56" s="8"/>
      <c r="E56" s="27"/>
      <c r="F56" s="31"/>
      <c r="G56" s="82" t="str">
        <f>IF(F56=0,"",VLOOKUP(F56,Employés!$A$2:$B$186,2,0))</f>
        <v/>
      </c>
      <c r="H56" s="82"/>
      <c r="I56" s="35"/>
      <c r="J56" s="29"/>
      <c r="K56" s="26"/>
      <c r="L56" s="25"/>
      <c r="M56" s="37" t="str">
        <f>IF(I56=0,"",VLOOKUP(I56,Municipalités!$A$2:$B$1290,2,TRUE))</f>
        <v/>
      </c>
    </row>
    <row r="57" spans="1:13" ht="30" customHeight="1" x14ac:dyDescent="0.25">
      <c r="A57" s="8"/>
      <c r="B57" s="8"/>
      <c r="C57" s="30"/>
      <c r="D57" s="8"/>
      <c r="E57" s="27"/>
      <c r="F57" s="31"/>
      <c r="G57" s="82" t="str">
        <f>IF(F57=0,"",VLOOKUP(F57,Employés!$A$2:$B$186,2,0))</f>
        <v/>
      </c>
      <c r="H57" s="82"/>
      <c r="I57" s="35"/>
      <c r="J57" s="29"/>
      <c r="K57" s="26"/>
      <c r="L57" s="25"/>
      <c r="M57" s="37" t="str">
        <f>IF(I57=0,"",VLOOKUP(I57,Municipalités!$A$2:$B$1290,2,TRUE))</f>
        <v/>
      </c>
    </row>
    <row r="58" spans="1:13" ht="30" customHeight="1" x14ac:dyDescent="0.25">
      <c r="A58" s="8"/>
      <c r="B58" s="8"/>
      <c r="C58" s="30"/>
      <c r="D58" s="8"/>
      <c r="E58" s="27"/>
      <c r="F58" s="31"/>
      <c r="G58" s="82" t="str">
        <f>IF(F58=0,"",VLOOKUP(F58,Employés!$A$2:$B$186,2,0))</f>
        <v/>
      </c>
      <c r="H58" s="82"/>
      <c r="I58" s="35"/>
      <c r="J58" s="29"/>
      <c r="K58" s="26"/>
      <c r="L58" s="25"/>
      <c r="M58" s="37" t="str">
        <f>IF(I58=0,"",VLOOKUP(I58,Municipalités!$A$2:$B$1290,2,TRUE))</f>
        <v/>
      </c>
    </row>
    <row r="59" spans="1:13" ht="30" customHeight="1" x14ac:dyDescent="0.25">
      <c r="A59" s="8"/>
      <c r="B59" s="8"/>
      <c r="C59" s="30"/>
      <c r="D59" s="8"/>
      <c r="E59" s="27"/>
      <c r="F59" s="31"/>
      <c r="G59" s="82" t="str">
        <f>IF(F59=0,"",VLOOKUP(F59,Employés!$A$2:$B$186,2,0))</f>
        <v/>
      </c>
      <c r="H59" s="82"/>
      <c r="I59" s="35"/>
      <c r="J59" s="29"/>
      <c r="K59" s="26"/>
      <c r="L59" s="25"/>
      <c r="M59" s="37" t="str">
        <f>IF(I59=0,"",VLOOKUP(I59,Municipalités!$A$2:$B$1290,2,TRUE))</f>
        <v/>
      </c>
    </row>
    <row r="60" spans="1:13" ht="30" customHeight="1" x14ac:dyDescent="0.25">
      <c r="A60" s="8"/>
      <c r="B60" s="8"/>
      <c r="C60" s="30"/>
      <c r="D60" s="8"/>
      <c r="E60" s="27"/>
      <c r="F60" s="31"/>
      <c r="G60" s="82" t="str">
        <f>IF(F60=0,"",VLOOKUP(F60,Employés!$A$2:$B$186,2,0))</f>
        <v/>
      </c>
      <c r="H60" s="82"/>
      <c r="I60" s="35"/>
      <c r="J60" s="29"/>
      <c r="K60" s="26"/>
      <c r="L60" s="25"/>
      <c r="M60" s="37" t="str">
        <f>IF(I60=0,"",VLOOKUP(I60,Municipalités!$A$2:$B$1290,2,TRUE))</f>
        <v/>
      </c>
    </row>
    <row r="61" spans="1:13" ht="30" customHeight="1" x14ac:dyDescent="0.25">
      <c r="A61" s="8"/>
      <c r="B61" s="8"/>
      <c r="C61" s="30"/>
      <c r="D61" s="8"/>
      <c r="E61" s="27"/>
      <c r="F61" s="31"/>
      <c r="G61" s="82" t="str">
        <f>IF(F61=0,"",VLOOKUP(F61,Employés!$A$2:$B$186,2,0))</f>
        <v/>
      </c>
      <c r="H61" s="82"/>
      <c r="I61" s="35"/>
      <c r="J61" s="29"/>
      <c r="K61" s="26"/>
      <c r="L61" s="25"/>
      <c r="M61" s="37" t="str">
        <f>IF(I61=0,"",VLOOKUP(I61,Municipalités!$A$2:$B$1290,2,TRUE))</f>
        <v/>
      </c>
    </row>
    <row r="62" spans="1:13" x14ac:dyDescent="0.25">
      <c r="C62" s="14"/>
    </row>
    <row r="63" spans="1:13" x14ac:dyDescent="0.25">
      <c r="C63" s="14"/>
    </row>
    <row r="64" spans="1:13" x14ac:dyDescent="0.25">
      <c r="C64" s="14"/>
    </row>
    <row r="65" spans="3:5" x14ac:dyDescent="0.25">
      <c r="C65" s="14"/>
    </row>
    <row r="66" spans="3:5" x14ac:dyDescent="0.25">
      <c r="C66" s="14"/>
    </row>
    <row r="67" spans="3:5" x14ac:dyDescent="0.25">
      <c r="C67" s="14"/>
    </row>
    <row r="68" spans="3:5" x14ac:dyDescent="0.25">
      <c r="C68" s="14"/>
    </row>
    <row r="69" spans="3:5" x14ac:dyDescent="0.25">
      <c r="C69" s="14"/>
    </row>
    <row r="70" spans="3:5" x14ac:dyDescent="0.25">
      <c r="C70" s="14"/>
    </row>
    <row r="71" spans="3:5" x14ac:dyDescent="0.25">
      <c r="C71" s="14"/>
    </row>
    <row r="72" spans="3:5" x14ac:dyDescent="0.25">
      <c r="C72" s="14"/>
    </row>
    <row r="73" spans="3:5" x14ac:dyDescent="0.25">
      <c r="C73" s="14"/>
    </row>
    <row r="74" spans="3:5" x14ac:dyDescent="0.25">
      <c r="C74" s="14"/>
    </row>
    <row r="75" spans="3:5" x14ac:dyDescent="0.25">
      <c r="C75" s="14"/>
    </row>
    <row r="76" spans="3:5" x14ac:dyDescent="0.25">
      <c r="C76" s="14"/>
    </row>
    <row r="77" spans="3:5" x14ac:dyDescent="0.25">
      <c r="C77" s="14"/>
    </row>
    <row r="78" spans="3:5" x14ac:dyDescent="0.25">
      <c r="C78" s="14"/>
      <c r="E78" s="21" t="s">
        <v>1420</v>
      </c>
    </row>
    <row r="79" spans="3:5" x14ac:dyDescent="0.25">
      <c r="C79" s="14"/>
    </row>
    <row r="80" spans="3:5" x14ac:dyDescent="0.25">
      <c r="C80" s="14"/>
    </row>
    <row r="81" spans="3:3" x14ac:dyDescent="0.25">
      <c r="C81" s="14"/>
    </row>
    <row r="82" spans="3:3" x14ac:dyDescent="0.25">
      <c r="C82" s="14"/>
    </row>
    <row r="83" spans="3:3" x14ac:dyDescent="0.25">
      <c r="C83" s="14"/>
    </row>
    <row r="84" spans="3:3" x14ac:dyDescent="0.25">
      <c r="C84" s="14"/>
    </row>
    <row r="85" spans="3:3" x14ac:dyDescent="0.25">
      <c r="C85" s="14"/>
    </row>
    <row r="86" spans="3:3" x14ac:dyDescent="0.25">
      <c r="C86" s="14"/>
    </row>
    <row r="87" spans="3:3" x14ac:dyDescent="0.25">
      <c r="C87" s="14"/>
    </row>
    <row r="88" spans="3:3" x14ac:dyDescent="0.25">
      <c r="C88" s="14"/>
    </row>
    <row r="89" spans="3:3" x14ac:dyDescent="0.25">
      <c r="C89" s="14"/>
    </row>
    <row r="90" spans="3:3" x14ac:dyDescent="0.25">
      <c r="C90" s="14"/>
    </row>
    <row r="91" spans="3:3" x14ac:dyDescent="0.25">
      <c r="C91" s="14"/>
    </row>
    <row r="92" spans="3:3" x14ac:dyDescent="0.25">
      <c r="C92" s="14"/>
    </row>
    <row r="93" spans="3:3" x14ac:dyDescent="0.25">
      <c r="C93" s="14"/>
    </row>
    <row r="94" spans="3:3" x14ac:dyDescent="0.25">
      <c r="C94" s="14"/>
    </row>
    <row r="95" spans="3:3" x14ac:dyDescent="0.25">
      <c r="C95" s="14"/>
    </row>
    <row r="96" spans="3:3" x14ac:dyDescent="0.25">
      <c r="C96" s="14"/>
    </row>
    <row r="97" spans="3:3" x14ac:dyDescent="0.25">
      <c r="C97" s="14"/>
    </row>
    <row r="98" spans="3:3" x14ac:dyDescent="0.25">
      <c r="C98" s="14"/>
    </row>
  </sheetData>
  <mergeCells count="67">
    <mergeCell ref="G59:H59"/>
    <mergeCell ref="G60:H60"/>
    <mergeCell ref="G61:H61"/>
    <mergeCell ref="G53:H53"/>
    <mergeCell ref="G54:H54"/>
    <mergeCell ref="G55:H55"/>
    <mergeCell ref="G56:H56"/>
    <mergeCell ref="G57:H57"/>
    <mergeCell ref="G58:H58"/>
    <mergeCell ref="G52:H52"/>
    <mergeCell ref="G41:H41"/>
    <mergeCell ref="G42:H42"/>
    <mergeCell ref="G43:H43"/>
    <mergeCell ref="G44:H44"/>
    <mergeCell ref="G45:H45"/>
    <mergeCell ref="G46:H46"/>
    <mergeCell ref="G47:H47"/>
    <mergeCell ref="G48:H48"/>
    <mergeCell ref="G49:H49"/>
    <mergeCell ref="G50:H50"/>
    <mergeCell ref="G51:H51"/>
    <mergeCell ref="G40:H40"/>
    <mergeCell ref="G29:H29"/>
    <mergeCell ref="G30:H30"/>
    <mergeCell ref="G31:H31"/>
    <mergeCell ref="G32:H32"/>
    <mergeCell ref="G33:H33"/>
    <mergeCell ref="G34:H34"/>
    <mergeCell ref="G35:H35"/>
    <mergeCell ref="G36:H36"/>
    <mergeCell ref="G37:H37"/>
    <mergeCell ref="G38:H38"/>
    <mergeCell ref="G39:H39"/>
    <mergeCell ref="G28:H28"/>
    <mergeCell ref="G17:H17"/>
    <mergeCell ref="G18:H18"/>
    <mergeCell ref="G19:H19"/>
    <mergeCell ref="G20:H20"/>
    <mergeCell ref="G21:H21"/>
    <mergeCell ref="G22:H22"/>
    <mergeCell ref="G23:H23"/>
    <mergeCell ref="G24:H24"/>
    <mergeCell ref="G25:H25"/>
    <mergeCell ref="G26:H26"/>
    <mergeCell ref="G27:H27"/>
    <mergeCell ref="M2:M4"/>
    <mergeCell ref="G16:H16"/>
    <mergeCell ref="I6:I7"/>
    <mergeCell ref="J6:J7"/>
    <mergeCell ref="K6:M6"/>
    <mergeCell ref="G8:H8"/>
    <mergeCell ref="G9:H9"/>
    <mergeCell ref="G10:H10"/>
    <mergeCell ref="G11:H11"/>
    <mergeCell ref="G12:H12"/>
    <mergeCell ref="G13:H13"/>
    <mergeCell ref="G14:H14"/>
    <mergeCell ref="G15:H15"/>
    <mergeCell ref="E1:F4"/>
    <mergeCell ref="L1:L2"/>
    <mergeCell ref="A6:A7"/>
    <mergeCell ref="B6:B7"/>
    <mergeCell ref="C6:C7"/>
    <mergeCell ref="D6:D7"/>
    <mergeCell ref="E6:E7"/>
    <mergeCell ref="F6:F7"/>
    <mergeCell ref="G6:H7"/>
  </mergeCells>
  <conditionalFormatting sqref="C16:C21 C23:C45">
    <cfRule type="expression" dxfId="131" priority="7" stopIfTrue="1">
      <formula>#REF!=1</formula>
    </cfRule>
    <cfRule type="expression" priority="8" stopIfTrue="1">
      <formula>#REF!=2</formula>
    </cfRule>
    <cfRule type="expression" dxfId="130" priority="9" stopIfTrue="1">
      <formula>#REF!=3</formula>
    </cfRule>
  </conditionalFormatting>
  <conditionalFormatting sqref="C22">
    <cfRule type="expression" dxfId="129" priority="4" stopIfTrue="1">
      <formula>#REF!=1</formula>
    </cfRule>
    <cfRule type="expression" priority="5" stopIfTrue="1">
      <formula>#REF!=2</formula>
    </cfRule>
    <cfRule type="expression" dxfId="128" priority="6" stopIfTrue="1">
      <formula>#REF!=3</formula>
    </cfRule>
  </conditionalFormatting>
  <conditionalFormatting sqref="C46:C61">
    <cfRule type="expression" dxfId="127" priority="1" stopIfTrue="1">
      <formula>#REF!=1</formula>
    </cfRule>
    <cfRule type="expression" priority="2" stopIfTrue="1">
      <formula>#REF!=2</formula>
    </cfRule>
    <cfRule type="expression" dxfId="126" priority="3" stopIfTrue="1">
      <formula>#REF!=3</formula>
    </cfRule>
  </conditionalFormatting>
  <dataValidations count="2">
    <dataValidation type="textLength" operator="greaterThanOrEqual" allowBlank="1" showInputMessage="1" showErrorMessage="1" errorTitle="Saisie incorrecte" error="Re-saisir le numéro d'entrée en utilisant 3 chiffres_x000a_Ex.: 001" promptTitle="Saisie du numéro d'entrée" prompt="Minimum 3 chiffres_x000a_Ex.: 001" sqref="C8:C39" xr:uid="{00000000-0002-0000-0900-000000000000}">
      <formula1>3</formula1>
    </dataValidation>
    <dataValidation operator="greaterThan" allowBlank="1" showDropDown="1" showInputMessage="1" showErrorMessage="1" errorTitle="Saisie incorrecte" error="Re-Saisir le numéro de dossier sous le format_x000a_000-000000-000" promptTitle="Saisie du numéro d'événement" prompt="000-000000-000_x000a_Ex. : 071-030901-001" sqref="J8:J39" xr:uid="{00000000-0002-0000-0900-000001000000}"/>
  </dataValidations>
  <printOptions horizontalCentered="1" verticalCentered="1"/>
  <pageMargins left="0" right="0" top="0.31496062992125984" bottom="0.39370078740157483" header="0.15748031496062992" footer="0.19685039370078741"/>
  <pageSetup paperSize="5" scale="90" orientation="landscape" r:id="rId1"/>
  <headerFooter alignWithMargins="0">
    <oddFooter>&amp;R&amp;8Page &amp;P de &amp;N</oddFooter>
  </headerFooter>
  <drawing r:id="rId2"/>
  <legacyDrawing r:id="rId3"/>
  <controls>
    <mc:AlternateContent xmlns:mc="http://schemas.openxmlformats.org/markup-compatibility/2006">
      <mc:Choice Requires="x14">
        <control shapeId="151555" r:id="rId4" name="ComboBox2">
          <controlPr defaultSize="0" autoLine="0" r:id="rId5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4</xdr:col>
                <xdr:colOff>3048000</xdr:colOff>
                <xdr:row>8</xdr:row>
                <xdr:rowOff>38100</xdr:rowOff>
              </to>
            </anchor>
          </controlPr>
        </control>
      </mc:Choice>
      <mc:Fallback>
        <control shapeId="151555" r:id="rId4" name="ComboBox2"/>
      </mc:Fallback>
    </mc:AlternateContent>
    <mc:AlternateContent xmlns:mc="http://schemas.openxmlformats.org/markup-compatibility/2006">
      <mc:Choice Requires="x14">
        <control shapeId="151554" r:id="rId6" name="ComboBox1">
          <controlPr defaultSize="0" autoLine="0" r:id="rId7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11</xdr:col>
                <xdr:colOff>1803400</xdr:colOff>
                <xdr:row>9</xdr:row>
                <xdr:rowOff>38100</xdr:rowOff>
              </to>
            </anchor>
          </controlPr>
        </control>
      </mc:Choice>
      <mc:Fallback>
        <control shapeId="151554" r:id="rId6" name="ComboBox1"/>
      </mc:Fallback>
    </mc:AlternateContent>
    <mc:AlternateContent xmlns:mc="http://schemas.openxmlformats.org/markup-compatibility/2006">
      <mc:Choice Requires="x14">
        <control shapeId="151553" r:id="rId8" name="Button 1">
          <controlPr defaultSize="0" print="0" autoFill="0" autoPict="0" macro="[0]!test2">
            <anchor moveWithCells="1">
              <from>
                <xdr:col>5</xdr:col>
                <xdr:colOff>222250</xdr:colOff>
                <xdr:row>1</xdr:row>
                <xdr:rowOff>139700</xdr:rowOff>
              </from>
              <to>
                <xdr:col>9</xdr:col>
                <xdr:colOff>1143000</xdr:colOff>
                <xdr:row>4</xdr:row>
                <xdr:rowOff>107950</xdr:rowOff>
              </to>
            </anchor>
          </controlPr>
        </control>
      </mc:Choice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68"/>
  <dimension ref="A1:M98"/>
  <sheetViews>
    <sheetView showGridLines="0" zoomScaleNormal="100" workbookViewId="0">
      <pane xSplit="3" ySplit="7" topLeftCell="F8" activePane="bottomRight" state="frozen"/>
      <selection activeCell="C8" sqref="C8"/>
      <selection pane="topRight" activeCell="C8" sqref="C8"/>
      <selection pane="bottomLeft" activeCell="C8" sqref="C8"/>
      <selection pane="bottomRight" activeCell="G15" sqref="G15:H15"/>
    </sheetView>
  </sheetViews>
  <sheetFormatPr baseColWidth="10" defaultColWidth="11.453125" defaultRowHeight="13" x14ac:dyDescent="0.25"/>
  <cols>
    <col min="1" max="2" width="5.6328125" style="1" customWidth="1"/>
    <col min="3" max="3" width="6.6328125" style="1" customWidth="1"/>
    <col min="4" max="4" width="7.54296875" style="1" customWidth="1"/>
    <col min="5" max="5" width="44.453125" style="21" customWidth="1"/>
    <col min="6" max="6" width="10.54296875" style="1" customWidth="1"/>
    <col min="7" max="7" width="13.90625" style="1" customWidth="1"/>
    <col min="8" max="8" width="4.6328125" style="1" hidden="1" customWidth="1"/>
    <col min="9" max="9" width="6.08984375" style="1" customWidth="1"/>
    <col min="10" max="10" width="26.54296875" style="1" customWidth="1"/>
    <col min="11" max="11" width="7.36328125" style="1" customWidth="1"/>
    <col min="12" max="12" width="27" style="24" customWidth="1"/>
    <col min="13" max="13" width="26" style="1" customWidth="1"/>
    <col min="14" max="16384" width="11.453125" style="1"/>
  </cols>
  <sheetData>
    <row r="1" spans="1:13" ht="12.75" customHeight="1" x14ac:dyDescent="0.25">
      <c r="E1" s="71" t="s">
        <v>1023</v>
      </c>
      <c r="F1" s="72"/>
      <c r="L1" s="73" t="s">
        <v>1021</v>
      </c>
      <c r="M1" s="51" t="s">
        <v>1022</v>
      </c>
    </row>
    <row r="2" spans="1:13" ht="12.75" customHeight="1" x14ac:dyDescent="0.25">
      <c r="E2" s="72"/>
      <c r="F2" s="72"/>
      <c r="L2" s="74"/>
      <c r="M2" s="70">
        <f>'10'!M2:M5+1</f>
        <v>42715</v>
      </c>
    </row>
    <row r="3" spans="1:13" ht="12.75" customHeight="1" x14ac:dyDescent="0.25">
      <c r="E3" s="72"/>
      <c r="F3" s="72"/>
      <c r="L3" s="52"/>
      <c r="M3" s="70"/>
    </row>
    <row r="4" spans="1:13" ht="15.75" customHeight="1" x14ac:dyDescent="0.25">
      <c r="E4" s="72"/>
      <c r="F4" s="72"/>
      <c r="L4" s="49" t="s">
        <v>140</v>
      </c>
      <c r="M4" s="70"/>
    </row>
    <row r="5" spans="1:13" ht="21.9" customHeight="1" thickBot="1" x14ac:dyDescent="0.3">
      <c r="L5" s="36"/>
      <c r="M5" s="69">
        <f>M2</f>
        <v>42715</v>
      </c>
    </row>
    <row r="6" spans="1:13" ht="24.9" customHeight="1" x14ac:dyDescent="0.25">
      <c r="A6" s="75" t="s">
        <v>2351</v>
      </c>
      <c r="B6" s="75" t="s">
        <v>2350</v>
      </c>
      <c r="C6" s="76" t="s">
        <v>1362</v>
      </c>
      <c r="D6" s="75" t="s">
        <v>1153</v>
      </c>
      <c r="E6" s="75" t="s">
        <v>1016</v>
      </c>
      <c r="F6" s="76" t="s">
        <v>2352</v>
      </c>
      <c r="G6" s="76" t="s">
        <v>1017</v>
      </c>
      <c r="H6" s="79"/>
      <c r="I6" s="76" t="s">
        <v>1364</v>
      </c>
      <c r="J6" s="76" t="s">
        <v>1363</v>
      </c>
      <c r="K6" s="83" t="s">
        <v>1018</v>
      </c>
      <c r="L6" s="84"/>
      <c r="M6" s="84"/>
    </row>
    <row r="7" spans="1:13" ht="12.5" x14ac:dyDescent="0.25">
      <c r="A7" s="75"/>
      <c r="B7" s="75"/>
      <c r="C7" s="77"/>
      <c r="D7" s="75"/>
      <c r="E7" s="75"/>
      <c r="F7" s="78"/>
      <c r="G7" s="80"/>
      <c r="H7" s="81"/>
      <c r="I7" s="77"/>
      <c r="J7" s="77"/>
      <c r="K7" s="50" t="s">
        <v>1015</v>
      </c>
      <c r="L7" s="50" t="s">
        <v>1019</v>
      </c>
      <c r="M7" s="32" t="s">
        <v>1020</v>
      </c>
    </row>
    <row r="8" spans="1:13" ht="30" customHeight="1" x14ac:dyDescent="0.25">
      <c r="A8" s="45"/>
      <c r="B8" s="45"/>
      <c r="C8" s="30"/>
      <c r="D8" s="46"/>
      <c r="E8" s="27"/>
      <c r="F8" s="31"/>
      <c r="G8" s="82" t="str">
        <f>IF(F8=0,"",VLOOKUP(F8,Employés!$A$2:$B$186,2,0))</f>
        <v/>
      </c>
      <c r="H8" s="82"/>
      <c r="I8" s="34"/>
      <c r="J8" s="33"/>
      <c r="K8" s="19"/>
      <c r="L8" s="20" t="s">
        <v>1420</v>
      </c>
      <c r="M8" s="37" t="str">
        <f>IF(I8=0,"",VLOOKUP(I8,Municipalités!$A$2:$B$1290,2,TRUE))</f>
        <v/>
      </c>
    </row>
    <row r="9" spans="1:13" ht="30" customHeight="1" x14ac:dyDescent="0.25">
      <c r="A9" s="45"/>
      <c r="B9" s="45"/>
      <c r="C9" s="39"/>
      <c r="D9" s="47"/>
      <c r="E9" s="27"/>
      <c r="F9" s="31"/>
      <c r="G9" s="82" t="str">
        <f>IF(F9=0,"",VLOOKUP(F9,Employés!$A$2:$B$186,2,0))</f>
        <v/>
      </c>
      <c r="H9" s="82"/>
      <c r="I9" s="35"/>
      <c r="J9" s="33"/>
      <c r="K9" s="19"/>
      <c r="L9" s="20"/>
      <c r="M9" s="37" t="str">
        <f>IF(I9=0,"",VLOOKUP(I9,Municipalités!$A$2:$B$1290,2,TRUE))</f>
        <v/>
      </c>
    </row>
    <row r="10" spans="1:13" ht="30" customHeight="1" x14ac:dyDescent="0.25">
      <c r="A10" s="45"/>
      <c r="B10" s="45"/>
      <c r="C10" s="39"/>
      <c r="D10" s="48"/>
      <c r="E10" s="28"/>
      <c r="F10" s="31"/>
      <c r="G10" s="82" t="str">
        <f>IF(F10=0,"",VLOOKUP(F10,Employés!$A$2:$B$186,2,0))</f>
        <v/>
      </c>
      <c r="H10" s="82"/>
      <c r="I10" s="35"/>
      <c r="J10" s="29"/>
      <c r="K10" s="19"/>
      <c r="L10" s="20"/>
      <c r="M10" s="37" t="str">
        <f>IF(I10=0,"",VLOOKUP(I10,Municipalités!$A$2:$B$1290,2,TRUE))</f>
        <v/>
      </c>
    </row>
    <row r="11" spans="1:13" ht="30" customHeight="1" x14ac:dyDescent="0.25">
      <c r="A11" s="45"/>
      <c r="B11" s="45"/>
      <c r="C11" s="39"/>
      <c r="D11" s="47"/>
      <c r="E11" s="28" t="s">
        <v>1420</v>
      </c>
      <c r="F11" s="31"/>
      <c r="G11" s="82" t="str">
        <f>IF(F11=0,"",VLOOKUP(F11,Employés!$A$2:$B$186,2,0))</f>
        <v/>
      </c>
      <c r="H11" s="82"/>
      <c r="I11" s="35"/>
      <c r="J11" s="29"/>
      <c r="K11" s="19"/>
      <c r="L11" s="20"/>
      <c r="M11" s="37" t="str">
        <f>IF(I11=0,"",VLOOKUP(I11,Municipalités!$A$2:$B$1290,2,TRUE))</f>
        <v/>
      </c>
    </row>
    <row r="12" spans="1:13" ht="30" customHeight="1" x14ac:dyDescent="0.25">
      <c r="A12" s="45"/>
      <c r="B12" s="45"/>
      <c r="C12" s="39"/>
      <c r="D12" s="46"/>
      <c r="E12" s="27"/>
      <c r="F12" s="31"/>
      <c r="G12" s="82" t="str">
        <f>IF(F12=0,"",VLOOKUP(F12,Employés!$A$2:$B$186,2,0))</f>
        <v/>
      </c>
      <c r="H12" s="82"/>
      <c r="I12" s="35"/>
      <c r="J12" s="29"/>
      <c r="K12" s="19"/>
      <c r="L12" s="20"/>
      <c r="M12" s="37" t="str">
        <f>IF(I12=0,"",VLOOKUP(I12,Municipalités!$A$2:$B$1290,2,TRUE))</f>
        <v/>
      </c>
    </row>
    <row r="13" spans="1:13" ht="30" customHeight="1" x14ac:dyDescent="0.25">
      <c r="A13" s="45"/>
      <c r="B13" s="45"/>
      <c r="C13" s="39"/>
      <c r="D13" s="46"/>
      <c r="E13" s="27"/>
      <c r="F13" s="31"/>
      <c r="G13" s="82" t="str">
        <f>IF(F13=0,"",VLOOKUP(F13,Employés!$A$2:$B$186,2,0))</f>
        <v/>
      </c>
      <c r="H13" s="82"/>
      <c r="I13" s="35"/>
      <c r="J13" s="29"/>
      <c r="K13" s="19"/>
      <c r="L13" s="20"/>
      <c r="M13" s="37" t="str">
        <f>IF(I13=0,"",VLOOKUP(I13,Municipalités!$A$2:$B$1290,2,TRUE))</f>
        <v/>
      </c>
    </row>
    <row r="14" spans="1:13" ht="30" customHeight="1" x14ac:dyDescent="0.25">
      <c r="A14" s="45"/>
      <c r="B14" s="45"/>
      <c r="C14" s="39"/>
      <c r="D14" s="47"/>
      <c r="E14" s="27"/>
      <c r="F14" s="31"/>
      <c r="G14" s="82" t="str">
        <f>IF(F14=0,"",VLOOKUP(F14,Employés!$A$2:$B$186,2,0))</f>
        <v/>
      </c>
      <c r="H14" s="82"/>
      <c r="I14" s="35"/>
      <c r="J14" s="29"/>
      <c r="K14" s="19"/>
      <c r="L14" s="20"/>
      <c r="M14" s="37" t="str">
        <f>IF(I14=0,"",VLOOKUP(I14,Municipalités!$A$2:$B$1290,2,TRUE))</f>
        <v/>
      </c>
    </row>
    <row r="15" spans="1:13" ht="30" customHeight="1" x14ac:dyDescent="0.25">
      <c r="A15" s="45"/>
      <c r="B15" s="45"/>
      <c r="C15" s="39"/>
      <c r="D15" s="47"/>
      <c r="E15" s="27"/>
      <c r="F15" s="31"/>
      <c r="G15" s="82" t="str">
        <f>IF(F15=0,"",VLOOKUP(F15,Employés!$A$2:$B$186,2,0))</f>
        <v/>
      </c>
      <c r="H15" s="82"/>
      <c r="I15" s="35"/>
      <c r="J15" s="29"/>
      <c r="K15" s="19"/>
      <c r="L15" s="20"/>
      <c r="M15" s="37" t="str">
        <f>IF(I15=0,"",VLOOKUP(I15,Municipalités!$A$2:$B$1290,2,TRUE))</f>
        <v/>
      </c>
    </row>
    <row r="16" spans="1:13" ht="30" customHeight="1" x14ac:dyDescent="0.25">
      <c r="A16" s="45"/>
      <c r="B16" s="45"/>
      <c r="C16" s="39"/>
      <c r="D16" s="46"/>
      <c r="E16" s="27"/>
      <c r="F16" s="31"/>
      <c r="G16" s="82" t="str">
        <f>IF(F16=0,"",VLOOKUP(F16,Employés!$A$2:$B$186,2,0))</f>
        <v/>
      </c>
      <c r="H16" s="82"/>
      <c r="I16" s="35"/>
      <c r="J16" s="29"/>
      <c r="K16" s="19"/>
      <c r="L16" s="20"/>
      <c r="M16" s="37" t="str">
        <f>IF(I16=0,"",VLOOKUP(I16,Municipalités!$A$2:$B$1290,2,TRUE))</f>
        <v/>
      </c>
    </row>
    <row r="17" spans="1:13" ht="30" customHeight="1" x14ac:dyDescent="0.25">
      <c r="A17" s="45"/>
      <c r="B17" s="45"/>
      <c r="C17" s="39"/>
      <c r="D17" s="46"/>
      <c r="E17" s="27"/>
      <c r="F17" s="31"/>
      <c r="G17" s="82" t="str">
        <f>IF(F17=0,"",VLOOKUP(F17,Employés!$A$2:$B$186,2,0))</f>
        <v/>
      </c>
      <c r="H17" s="82"/>
      <c r="I17" s="35"/>
      <c r="J17" s="29"/>
      <c r="K17" s="19"/>
      <c r="L17" s="20"/>
      <c r="M17" s="37" t="str">
        <f>IF(I17=0,"",VLOOKUP(I17,Municipalités!$A$2:$B$1290,2,TRUE))</f>
        <v/>
      </c>
    </row>
    <row r="18" spans="1:13" ht="30" customHeight="1" x14ac:dyDescent="0.25">
      <c r="A18" s="45"/>
      <c r="B18" s="45"/>
      <c r="C18" s="39"/>
      <c r="D18" s="46"/>
      <c r="E18" s="27"/>
      <c r="F18" s="31"/>
      <c r="G18" s="82" t="str">
        <f>IF(F18=0,"",VLOOKUP(F18,Employés!$A$2:$B$186,2,0))</f>
        <v/>
      </c>
      <c r="H18" s="82"/>
      <c r="I18" s="35"/>
      <c r="J18" s="29"/>
      <c r="K18" s="19"/>
      <c r="L18" s="20"/>
      <c r="M18" s="37" t="str">
        <f>IF(I18=0,"",VLOOKUP(I18,Municipalités!$A$2:$B$1290,2,TRUE))</f>
        <v/>
      </c>
    </row>
    <row r="19" spans="1:13" ht="30" customHeight="1" x14ac:dyDescent="0.25">
      <c r="A19" s="45"/>
      <c r="B19" s="45"/>
      <c r="C19" s="39"/>
      <c r="D19" s="46"/>
      <c r="E19" s="27"/>
      <c r="F19" s="31"/>
      <c r="G19" s="82" t="str">
        <f>IF(F19=0,"",VLOOKUP(F19,Employés!$A$2:$B$186,2,0))</f>
        <v/>
      </c>
      <c r="H19" s="82"/>
      <c r="I19" s="35"/>
      <c r="J19" s="29"/>
      <c r="K19" s="19"/>
      <c r="L19" s="20"/>
      <c r="M19" s="37" t="str">
        <f>IF(I19=0,"",VLOOKUP(I19,Municipalités!$A$2:$B$1290,2,TRUE))</f>
        <v/>
      </c>
    </row>
    <row r="20" spans="1:13" ht="30" customHeight="1" x14ac:dyDescent="0.25">
      <c r="A20" s="45"/>
      <c r="B20" s="45"/>
      <c r="C20" s="39"/>
      <c r="D20" s="47"/>
      <c r="E20" s="27"/>
      <c r="F20" s="31"/>
      <c r="G20" s="82" t="str">
        <f>IF(F20=0,"",VLOOKUP(F20,Employés!$A$2:$B$186,2,0))</f>
        <v/>
      </c>
      <c r="H20" s="82"/>
      <c r="I20" s="35"/>
      <c r="J20" s="29"/>
      <c r="K20" s="19"/>
      <c r="L20" s="20"/>
      <c r="M20" s="37" t="str">
        <f>IF(I20=0,"",VLOOKUP(I20,Municipalités!$A$2:$B$1290,2,TRUE))</f>
        <v/>
      </c>
    </row>
    <row r="21" spans="1:13" ht="30" customHeight="1" x14ac:dyDescent="0.25">
      <c r="A21" s="45"/>
      <c r="B21" s="45"/>
      <c r="C21" s="39"/>
      <c r="D21" s="47"/>
      <c r="E21" s="27"/>
      <c r="F21" s="31"/>
      <c r="G21" s="82" t="str">
        <f>IF(F21=0,"",VLOOKUP(F21,Employés!$A$2:$B$186,2,0))</f>
        <v/>
      </c>
      <c r="H21" s="82"/>
      <c r="I21" s="35"/>
      <c r="J21" s="29"/>
      <c r="K21" s="19"/>
      <c r="L21" s="20"/>
      <c r="M21" s="37" t="str">
        <f>IF(I21=0,"",VLOOKUP(I21,Municipalités!$A$2:$B$1290,2,TRUE))</f>
        <v/>
      </c>
    </row>
    <row r="22" spans="1:13" ht="30" customHeight="1" x14ac:dyDescent="0.25">
      <c r="A22" s="45"/>
      <c r="B22" s="45"/>
      <c r="C22" s="39"/>
      <c r="D22" s="46"/>
      <c r="E22" s="27"/>
      <c r="F22" s="31"/>
      <c r="G22" s="82" t="str">
        <f>IF(F22=0,"",VLOOKUP(F22,Employés!$A$2:$B$186,2,0))</f>
        <v/>
      </c>
      <c r="H22" s="82"/>
      <c r="I22" s="35"/>
      <c r="J22" s="29"/>
      <c r="K22" s="19"/>
      <c r="L22" s="20"/>
      <c r="M22" s="37" t="str">
        <f>IF(I22=0,"",VLOOKUP(I22,Municipalités!$A$2:$B$1290,2,TRUE))</f>
        <v/>
      </c>
    </row>
    <row r="23" spans="1:13" ht="30" customHeight="1" x14ac:dyDescent="0.25">
      <c r="A23" s="45"/>
      <c r="B23" s="45"/>
      <c r="C23" s="39"/>
      <c r="D23" s="46"/>
      <c r="E23" s="27"/>
      <c r="F23" s="31"/>
      <c r="G23" s="82" t="str">
        <f>IF(F23=0,"",VLOOKUP(F23,Employés!$A$2:$B$186,2,0))</f>
        <v/>
      </c>
      <c r="H23" s="82"/>
      <c r="I23" s="35"/>
      <c r="J23" s="29"/>
      <c r="K23" s="19"/>
      <c r="L23" s="20"/>
      <c r="M23" s="37" t="str">
        <f>IF(I23=0,"",VLOOKUP(I23,Municipalités!$A$2:$B$1290,2,TRUE))</f>
        <v/>
      </c>
    </row>
    <row r="24" spans="1:13" ht="30" customHeight="1" x14ac:dyDescent="0.25">
      <c r="A24" s="45"/>
      <c r="B24" s="45"/>
      <c r="C24" s="39"/>
      <c r="D24" s="46"/>
      <c r="E24" s="27"/>
      <c r="F24" s="31"/>
      <c r="G24" s="82" t="str">
        <f>IF(F24=0,"",VLOOKUP(F24,Employés!$A$2:$B$186,2,0))</f>
        <v/>
      </c>
      <c r="H24" s="82"/>
      <c r="I24" s="35"/>
      <c r="J24" s="29"/>
      <c r="K24" s="19"/>
      <c r="L24" s="20"/>
      <c r="M24" s="37" t="str">
        <f>IF(I24=0,"",VLOOKUP(I24,Municipalités!$A$2:$B$1290,2,TRUE))</f>
        <v/>
      </c>
    </row>
    <row r="25" spans="1:13" ht="30" customHeight="1" x14ac:dyDescent="0.25">
      <c r="A25" s="45"/>
      <c r="B25" s="45"/>
      <c r="C25" s="39"/>
      <c r="D25" s="46"/>
      <c r="E25" s="27"/>
      <c r="F25" s="31"/>
      <c r="G25" s="82" t="str">
        <f>IF(F25=0,"",VLOOKUP(F25,Employés!$A$2:$B$186,2,0))</f>
        <v/>
      </c>
      <c r="H25" s="82"/>
      <c r="I25" s="35"/>
      <c r="J25" s="29"/>
      <c r="K25" s="19"/>
      <c r="L25" s="20"/>
      <c r="M25" s="37" t="str">
        <f>IF(I25=0,"",VLOOKUP(I25,Municipalités!$A$2:$B$1290,2,TRUE))</f>
        <v/>
      </c>
    </row>
    <row r="26" spans="1:13" ht="30" customHeight="1" x14ac:dyDescent="0.25">
      <c r="A26" s="45"/>
      <c r="B26" s="45"/>
      <c r="C26" s="39"/>
      <c r="D26" s="46"/>
      <c r="E26" s="27"/>
      <c r="F26" s="31"/>
      <c r="G26" s="82" t="str">
        <f>IF(F26=0,"",VLOOKUP(F26,Employés!$A$2:$B$186,2,0))</f>
        <v/>
      </c>
      <c r="H26" s="82"/>
      <c r="I26" s="35"/>
      <c r="J26" s="29"/>
      <c r="K26" s="19"/>
      <c r="L26" s="20"/>
      <c r="M26" s="37" t="str">
        <f>IF(I26=0,"",VLOOKUP(I26,Municipalités!$A$2:$B$1290,2,TRUE))</f>
        <v/>
      </c>
    </row>
    <row r="27" spans="1:13" ht="30" customHeight="1" x14ac:dyDescent="0.25">
      <c r="A27" s="45"/>
      <c r="B27" s="45"/>
      <c r="C27" s="39"/>
      <c r="D27" s="46"/>
      <c r="E27" s="27"/>
      <c r="F27" s="31"/>
      <c r="G27" s="82" t="str">
        <f>IF(F27=0,"",VLOOKUP(F27,Employés!$A$2:$B$186,2,0))</f>
        <v/>
      </c>
      <c r="H27" s="82"/>
      <c r="I27" s="35"/>
      <c r="J27" s="29"/>
      <c r="K27" s="19"/>
      <c r="L27" s="20"/>
      <c r="M27" s="37" t="str">
        <f>IF(I27=0,"",VLOOKUP(I27,Municipalités!$A$2:$B$1290,2,TRUE))</f>
        <v/>
      </c>
    </row>
    <row r="28" spans="1:13" ht="30" customHeight="1" x14ac:dyDescent="0.25">
      <c r="A28" s="45"/>
      <c r="B28" s="45"/>
      <c r="C28" s="39"/>
      <c r="D28" s="46"/>
      <c r="E28" s="27"/>
      <c r="F28" s="31"/>
      <c r="G28" s="82" t="str">
        <f>IF(F28=0,"",VLOOKUP(F28,Employés!$A$2:$B$186,2,0))</f>
        <v/>
      </c>
      <c r="H28" s="82"/>
      <c r="I28" s="35"/>
      <c r="J28" s="29"/>
      <c r="K28" s="19"/>
      <c r="L28" s="20"/>
      <c r="M28" s="37" t="str">
        <f>IF(I28=0,"",VLOOKUP(I28,Municipalités!$A$2:$B$1290,2,TRUE))</f>
        <v/>
      </c>
    </row>
    <row r="29" spans="1:13" ht="30" customHeight="1" x14ac:dyDescent="0.25">
      <c r="A29" s="45"/>
      <c r="B29" s="45"/>
      <c r="C29" s="39"/>
      <c r="D29" s="46"/>
      <c r="E29" s="27"/>
      <c r="F29" s="31"/>
      <c r="G29" s="82" t="str">
        <f>IF(F29=0,"",VLOOKUP(F29,Employés!$A$2:$B$186,2,0))</f>
        <v/>
      </c>
      <c r="H29" s="82"/>
      <c r="I29" s="35"/>
      <c r="J29" s="29"/>
      <c r="K29" s="19"/>
      <c r="L29" s="20"/>
      <c r="M29" s="37" t="str">
        <f>IF(I29=0,"",VLOOKUP(I29,Municipalités!$A$2:$B$1290,2,TRUE))</f>
        <v/>
      </c>
    </row>
    <row r="30" spans="1:13" ht="30" customHeight="1" x14ac:dyDescent="0.25">
      <c r="A30" s="45"/>
      <c r="B30" s="45"/>
      <c r="C30" s="39"/>
      <c r="D30" s="46"/>
      <c r="E30" s="27"/>
      <c r="F30" s="31"/>
      <c r="G30" s="82" t="str">
        <f>IF(F30=0,"",VLOOKUP(F30,Employés!$A$2:$B$186,2,0))</f>
        <v/>
      </c>
      <c r="H30" s="82"/>
      <c r="I30" s="35"/>
      <c r="J30" s="29"/>
      <c r="K30" s="19"/>
      <c r="L30" s="20"/>
      <c r="M30" s="37" t="str">
        <f>IF(I30=0,"",VLOOKUP(I30,Municipalités!$A$2:$B$1290,2,TRUE))</f>
        <v/>
      </c>
    </row>
    <row r="31" spans="1:13" ht="30" customHeight="1" x14ac:dyDescent="0.25">
      <c r="A31" s="45"/>
      <c r="B31" s="45"/>
      <c r="C31" s="39"/>
      <c r="D31" s="47"/>
      <c r="E31" s="27"/>
      <c r="F31" s="31"/>
      <c r="G31" s="82" t="str">
        <f>IF(F31=0,"",VLOOKUP(F31,Employés!$A$2:$B$186,2,0))</f>
        <v/>
      </c>
      <c r="H31" s="82"/>
      <c r="I31" s="35"/>
      <c r="J31" s="29"/>
      <c r="K31" s="19"/>
      <c r="L31" s="20"/>
      <c r="M31" s="37" t="str">
        <f>IF(I31=0,"",VLOOKUP(I31,Municipalités!$A$2:$B$1290,2,TRUE))</f>
        <v/>
      </c>
    </row>
    <row r="32" spans="1:13" ht="30" customHeight="1" x14ac:dyDescent="0.25">
      <c r="A32" s="45"/>
      <c r="B32" s="45"/>
      <c r="C32" s="39"/>
      <c r="D32" s="46"/>
      <c r="E32" s="27"/>
      <c r="F32" s="31"/>
      <c r="G32" s="82" t="str">
        <f>IF(F32=0,"",VLOOKUP(F32,Employés!$A$2:$B$186,2,0))</f>
        <v/>
      </c>
      <c r="H32" s="82"/>
      <c r="I32" s="35"/>
      <c r="J32" s="29"/>
      <c r="K32" s="19"/>
      <c r="L32" s="20"/>
      <c r="M32" s="37" t="str">
        <f>IF(I32=0,"",VLOOKUP(I32,Municipalités!$A$2:$B$1290,2,TRUE))</f>
        <v/>
      </c>
    </row>
    <row r="33" spans="1:13" ht="30" customHeight="1" x14ac:dyDescent="0.25">
      <c r="A33" s="45"/>
      <c r="B33" s="45"/>
      <c r="C33" s="39"/>
      <c r="D33" s="46"/>
      <c r="E33" s="27"/>
      <c r="F33" s="31"/>
      <c r="G33" s="82" t="str">
        <f>IF(F33=0,"",VLOOKUP(F33,Employés!$A$2:$B$186,2,0))</f>
        <v/>
      </c>
      <c r="H33" s="82"/>
      <c r="I33" s="35"/>
      <c r="J33" s="29"/>
      <c r="K33" s="19"/>
      <c r="L33" s="20"/>
      <c r="M33" s="37" t="str">
        <f>IF(I33=0,"",VLOOKUP(I33,Municipalités!$A$2:$B$1290,2,TRUE))</f>
        <v/>
      </c>
    </row>
    <row r="34" spans="1:13" ht="30" customHeight="1" x14ac:dyDescent="0.25">
      <c r="A34" s="45"/>
      <c r="B34" s="45"/>
      <c r="C34" s="39"/>
      <c r="D34" s="46"/>
      <c r="E34" s="27"/>
      <c r="F34" s="31"/>
      <c r="G34" s="82" t="str">
        <f>IF(F34=0,"",VLOOKUP(F34,Employés!$A$2:$B$186,2,0))</f>
        <v/>
      </c>
      <c r="H34" s="82"/>
      <c r="I34" s="35"/>
      <c r="J34" s="29"/>
      <c r="K34" s="19"/>
      <c r="L34" s="20"/>
      <c r="M34" s="37" t="str">
        <f>IF(I34=0,"",VLOOKUP(I34,Municipalités!$A$2:$B$1290,2,TRUE))</f>
        <v/>
      </c>
    </row>
    <row r="35" spans="1:13" ht="30" customHeight="1" x14ac:dyDescent="0.25">
      <c r="A35" s="45"/>
      <c r="B35" s="45"/>
      <c r="C35" s="30"/>
      <c r="D35" s="46"/>
      <c r="E35" s="27"/>
      <c r="F35" s="31"/>
      <c r="G35" s="82" t="str">
        <f>IF(F35=0,"",VLOOKUP(F35,Employés!$A$2:$B$186,2,0))</f>
        <v/>
      </c>
      <c r="H35" s="82"/>
      <c r="I35" s="35"/>
      <c r="J35" s="29"/>
      <c r="K35" s="19"/>
      <c r="L35" s="20"/>
      <c r="M35" s="37" t="str">
        <f>IF(I35=0,"",VLOOKUP(I35,Municipalités!$A$2:$B$1290,2,TRUE))</f>
        <v/>
      </c>
    </row>
    <row r="36" spans="1:13" ht="30" customHeight="1" x14ac:dyDescent="0.25">
      <c r="A36" s="45"/>
      <c r="B36" s="45"/>
      <c r="C36" s="30"/>
      <c r="D36" s="46"/>
      <c r="E36" s="27"/>
      <c r="F36" s="31"/>
      <c r="G36" s="82" t="str">
        <f>IF(F36=0,"",VLOOKUP(F36,Employés!$A$2:$B$186,2,0))</f>
        <v/>
      </c>
      <c r="H36" s="82"/>
      <c r="I36" s="35"/>
      <c r="J36" s="29"/>
      <c r="K36" s="19"/>
      <c r="L36" s="20"/>
      <c r="M36" s="37" t="str">
        <f>IF(I36=0,"",VLOOKUP(I36,Municipalités!$A$2:$B$1290,2,TRUE))</f>
        <v/>
      </c>
    </row>
    <row r="37" spans="1:13" ht="30" customHeight="1" x14ac:dyDescent="0.25">
      <c r="A37" s="45"/>
      <c r="B37" s="45"/>
      <c r="C37" s="39"/>
      <c r="D37" s="46"/>
      <c r="E37" s="27"/>
      <c r="F37" s="31"/>
      <c r="G37" s="82" t="str">
        <f>IF(F37=0,"",VLOOKUP(F37,Employés!$A$2:$B$186,2,0))</f>
        <v/>
      </c>
      <c r="H37" s="82"/>
      <c r="I37" s="35"/>
      <c r="J37" s="29"/>
      <c r="K37" s="19"/>
      <c r="L37" s="20"/>
      <c r="M37" s="37" t="str">
        <f>IF(I37=0,"",VLOOKUP(I37,Municipalités!$A$2:$B$1290,2,TRUE))</f>
        <v/>
      </c>
    </row>
    <row r="38" spans="1:13" ht="30" customHeight="1" x14ac:dyDescent="0.25">
      <c r="A38" s="45"/>
      <c r="B38" s="45"/>
      <c r="C38" s="39"/>
      <c r="D38" s="47"/>
      <c r="E38" s="27"/>
      <c r="F38" s="31"/>
      <c r="G38" s="82" t="str">
        <f>IF(F38=0,"",VLOOKUP(F38,Employés!$A$2:$B$186,2,0))</f>
        <v/>
      </c>
      <c r="H38" s="82"/>
      <c r="I38" s="35"/>
      <c r="J38" s="29"/>
      <c r="K38" s="19"/>
      <c r="L38" s="20"/>
      <c r="M38" s="37" t="str">
        <f>IF(I38=0,"",VLOOKUP(I38,Municipalités!$A$2:$B$1290,2,TRUE))</f>
        <v/>
      </c>
    </row>
    <row r="39" spans="1:13" ht="30" customHeight="1" x14ac:dyDescent="0.25">
      <c r="A39" s="45"/>
      <c r="B39" s="45"/>
      <c r="C39" s="39"/>
      <c r="D39" s="45"/>
      <c r="E39" s="27"/>
      <c r="F39" s="31"/>
      <c r="G39" s="82" t="str">
        <f>IF(F39=0,"",VLOOKUP(F39,Employés!$A$2:$B$186,2,0))</f>
        <v/>
      </c>
      <c r="H39" s="82"/>
      <c r="I39" s="35"/>
      <c r="J39" s="29"/>
      <c r="K39" s="26"/>
      <c r="L39" s="25"/>
      <c r="M39" s="37" t="str">
        <f>IF(I39=0,"",VLOOKUP(I39,Municipalités!$A$2:$B$1290,2,TRUE))</f>
        <v/>
      </c>
    </row>
    <row r="40" spans="1:13" ht="30" customHeight="1" x14ac:dyDescent="0.25">
      <c r="A40" s="8"/>
      <c r="B40" s="8"/>
      <c r="C40" s="30"/>
      <c r="D40" s="8"/>
      <c r="E40" s="27"/>
      <c r="F40" s="31"/>
      <c r="G40" s="82" t="str">
        <f>IF(F40=0,"",VLOOKUP(F40,Employés!$A$2:$B$186,2,0))</f>
        <v/>
      </c>
      <c r="H40" s="82"/>
      <c r="I40" s="35"/>
      <c r="J40" s="29"/>
      <c r="K40" s="26"/>
      <c r="L40" s="25"/>
      <c r="M40" s="37" t="str">
        <f>IF(I40=0,"",VLOOKUP(I40,Municipalités!$A$2:$B$1290,2,TRUE))</f>
        <v/>
      </c>
    </row>
    <row r="41" spans="1:13" ht="30" customHeight="1" x14ac:dyDescent="0.25">
      <c r="A41" s="8"/>
      <c r="B41" s="8"/>
      <c r="C41" s="30"/>
      <c r="D41" s="8"/>
      <c r="E41" s="27"/>
      <c r="F41" s="31"/>
      <c r="G41" s="82" t="str">
        <f>IF(F41=0,"",VLOOKUP(F41,Employés!$A$2:$B$186,2,0))</f>
        <v/>
      </c>
      <c r="H41" s="82"/>
      <c r="I41" s="35"/>
      <c r="J41" s="29"/>
      <c r="K41" s="26"/>
      <c r="L41" s="25"/>
      <c r="M41" s="37" t="str">
        <f>IF(I41=0,"",VLOOKUP(I41,Municipalités!$A$2:$B$1290,2,TRUE))</f>
        <v/>
      </c>
    </row>
    <row r="42" spans="1:13" ht="30" customHeight="1" x14ac:dyDescent="0.25">
      <c r="A42" s="8"/>
      <c r="B42" s="8"/>
      <c r="C42" s="30"/>
      <c r="D42" s="8"/>
      <c r="E42" s="27"/>
      <c r="F42" s="31"/>
      <c r="G42" s="82" t="str">
        <f>IF(F42=0,"",VLOOKUP(F42,Employés!$A$2:$B$186,2,0))</f>
        <v/>
      </c>
      <c r="H42" s="82"/>
      <c r="I42" s="35"/>
      <c r="J42" s="29"/>
      <c r="K42" s="26"/>
      <c r="L42" s="25"/>
      <c r="M42" s="37" t="str">
        <f>IF(I42=0,"",VLOOKUP(I42,Municipalités!$A$2:$B$1290,2,TRUE))</f>
        <v/>
      </c>
    </row>
    <row r="43" spans="1:13" ht="30" customHeight="1" x14ac:dyDescent="0.25">
      <c r="A43" s="8"/>
      <c r="B43" s="8"/>
      <c r="C43" s="30"/>
      <c r="D43" s="8"/>
      <c r="E43" s="27" t="s">
        <v>1420</v>
      </c>
      <c r="F43" s="31"/>
      <c r="G43" s="82" t="str">
        <f>IF(F43=0,"",VLOOKUP(F43,Employés!$A$2:$B$186,2,0))</f>
        <v/>
      </c>
      <c r="H43" s="82"/>
      <c r="I43" s="35"/>
      <c r="J43" s="29"/>
      <c r="K43" s="26"/>
      <c r="L43" s="25" t="s">
        <v>1420</v>
      </c>
      <c r="M43" s="37" t="str">
        <f>IF(I43=0,"",VLOOKUP(I43,Municipalités!$A$2:$B$1290,2,TRUE))</f>
        <v/>
      </c>
    </row>
    <row r="44" spans="1:13" ht="30" customHeight="1" x14ac:dyDescent="0.25">
      <c r="A44" s="8"/>
      <c r="B44" s="8"/>
      <c r="C44" s="30"/>
      <c r="D44" s="8"/>
      <c r="E44" s="27"/>
      <c r="F44" s="31"/>
      <c r="G44" s="82" t="str">
        <f>IF(F44=0,"",VLOOKUP(F44,Employés!$A$2:$B$186,2,0))</f>
        <v/>
      </c>
      <c r="H44" s="82"/>
      <c r="I44" s="35"/>
      <c r="J44" s="29"/>
      <c r="K44" s="26"/>
      <c r="L44" s="25"/>
      <c r="M44" s="37" t="str">
        <f>IF(I44=0,"",VLOOKUP(I44,Municipalités!$A$2:$B$1290,2,TRUE))</f>
        <v/>
      </c>
    </row>
    <row r="45" spans="1:13" ht="30" customHeight="1" x14ac:dyDescent="0.25">
      <c r="A45" s="8"/>
      <c r="B45" s="8"/>
      <c r="C45" s="30"/>
      <c r="D45" s="8"/>
      <c r="E45" s="27"/>
      <c r="F45" s="31"/>
      <c r="G45" s="82" t="str">
        <f>IF(F45=0,"",VLOOKUP(F45,Employés!$A$2:$B$186,2,0))</f>
        <v/>
      </c>
      <c r="H45" s="82"/>
      <c r="I45" s="35"/>
      <c r="J45" s="29"/>
      <c r="K45" s="26"/>
      <c r="L45" s="25"/>
      <c r="M45" s="37" t="str">
        <f>IF(I45=0,"",VLOOKUP(I45,Municipalités!$A$2:$B$1290,2,TRUE))</f>
        <v/>
      </c>
    </row>
    <row r="46" spans="1:13" ht="30" customHeight="1" x14ac:dyDescent="0.25">
      <c r="A46" s="8"/>
      <c r="B46" s="8"/>
      <c r="C46" s="30"/>
      <c r="D46" s="8"/>
      <c r="E46" s="27"/>
      <c r="F46" s="31"/>
      <c r="G46" s="82" t="str">
        <f>IF(F46=0,"",VLOOKUP(F46,Employés!$A$2:$B$186,2,0))</f>
        <v/>
      </c>
      <c r="H46" s="82"/>
      <c r="I46" s="35"/>
      <c r="J46" s="29"/>
      <c r="K46" s="26"/>
      <c r="L46" s="25"/>
      <c r="M46" s="37" t="str">
        <f>IF(I46=0,"",VLOOKUP(I46,Municipalités!$A$2:$B$1290,2,TRUE))</f>
        <v/>
      </c>
    </row>
    <row r="47" spans="1:13" ht="30" customHeight="1" x14ac:dyDescent="0.25">
      <c r="A47" s="8"/>
      <c r="B47" s="8"/>
      <c r="C47" s="30"/>
      <c r="D47" s="8"/>
      <c r="E47" s="27"/>
      <c r="F47" s="31"/>
      <c r="G47" s="82" t="str">
        <f>IF(F47=0,"",VLOOKUP(F47,Employés!$A$2:$B$186,2,0))</f>
        <v/>
      </c>
      <c r="H47" s="82"/>
      <c r="I47" s="35"/>
      <c r="J47" s="29"/>
      <c r="K47" s="26"/>
      <c r="L47" s="25"/>
      <c r="M47" s="37" t="str">
        <f>IF(I47=0,"",VLOOKUP(I47,Municipalités!$A$2:$B$1290,2,TRUE))</f>
        <v/>
      </c>
    </row>
    <row r="48" spans="1:13" ht="30" customHeight="1" x14ac:dyDescent="0.25">
      <c r="A48" s="8"/>
      <c r="B48" s="8"/>
      <c r="C48" s="30"/>
      <c r="D48" s="8"/>
      <c r="E48" s="27"/>
      <c r="F48" s="31"/>
      <c r="G48" s="82" t="str">
        <f>IF(F48=0,"",VLOOKUP(F48,Employés!$A$2:$B$186,2,0))</f>
        <v/>
      </c>
      <c r="H48" s="82"/>
      <c r="I48" s="35"/>
      <c r="J48" s="29"/>
      <c r="K48" s="26"/>
      <c r="L48" s="25"/>
      <c r="M48" s="37" t="str">
        <f>IF(I48=0,"",VLOOKUP(I48,Municipalités!$A$2:$B$1290,2,TRUE))</f>
        <v/>
      </c>
    </row>
    <row r="49" spans="1:13" ht="30" customHeight="1" x14ac:dyDescent="0.25">
      <c r="A49" s="8"/>
      <c r="B49" s="8"/>
      <c r="C49" s="30"/>
      <c r="D49" s="8"/>
      <c r="E49" s="27"/>
      <c r="F49" s="31"/>
      <c r="G49" s="82" t="str">
        <f>IF(F49=0,"",VLOOKUP(F49,Employés!$A$2:$B$186,2,0))</f>
        <v/>
      </c>
      <c r="H49" s="82"/>
      <c r="I49" s="35"/>
      <c r="J49" s="29"/>
      <c r="K49" s="26"/>
      <c r="L49" s="25"/>
      <c r="M49" s="37" t="str">
        <f>IF(I49=0,"",VLOOKUP(I49,Municipalités!$A$2:$B$1290,2,TRUE))</f>
        <v/>
      </c>
    </row>
    <row r="50" spans="1:13" ht="30" customHeight="1" x14ac:dyDescent="0.25">
      <c r="A50" s="8"/>
      <c r="B50" s="8"/>
      <c r="C50" s="30"/>
      <c r="D50" s="8"/>
      <c r="E50" s="27"/>
      <c r="F50" s="31"/>
      <c r="G50" s="82" t="str">
        <f>IF(F50=0,"",VLOOKUP(F50,Employés!$A$2:$B$186,2,0))</f>
        <v/>
      </c>
      <c r="H50" s="82"/>
      <c r="I50" s="35"/>
      <c r="J50" s="29"/>
      <c r="K50" s="26"/>
      <c r="L50" s="25"/>
      <c r="M50" s="37" t="str">
        <f>IF(I50=0,"",VLOOKUP(I50,Municipalités!$A$2:$B$1290,2,TRUE))</f>
        <v/>
      </c>
    </row>
    <row r="51" spans="1:13" ht="30" customHeight="1" x14ac:dyDescent="0.25">
      <c r="A51" s="8"/>
      <c r="B51" s="8"/>
      <c r="C51" s="30"/>
      <c r="D51" s="8"/>
      <c r="E51" s="27"/>
      <c r="F51" s="31"/>
      <c r="G51" s="82" t="str">
        <f>IF(F51=0,"",VLOOKUP(F51,Employés!$A$2:$B$186,2,0))</f>
        <v/>
      </c>
      <c r="H51" s="82"/>
      <c r="I51" s="35"/>
      <c r="J51" s="29"/>
      <c r="K51" s="26"/>
      <c r="L51" s="25"/>
      <c r="M51" s="37" t="str">
        <f>IF(I51=0,"",VLOOKUP(I51,Municipalités!$A$2:$B$1290,2,TRUE))</f>
        <v/>
      </c>
    </row>
    <row r="52" spans="1:13" ht="30" customHeight="1" x14ac:dyDescent="0.25">
      <c r="A52" s="8"/>
      <c r="B52" s="8"/>
      <c r="C52" s="30"/>
      <c r="D52" s="8"/>
      <c r="E52" s="27"/>
      <c r="F52" s="31"/>
      <c r="G52" s="82" t="str">
        <f>IF(F52=0,"",VLOOKUP(F52,Employés!$A$2:$B$186,2,0))</f>
        <v/>
      </c>
      <c r="H52" s="82"/>
      <c r="I52" s="35"/>
      <c r="J52" s="29"/>
      <c r="K52" s="26"/>
      <c r="L52" s="25"/>
      <c r="M52" s="37" t="str">
        <f>IF(I52=0,"",VLOOKUP(I52,Municipalités!$A$2:$B$1290,2,TRUE))</f>
        <v/>
      </c>
    </row>
    <row r="53" spans="1:13" ht="30" customHeight="1" x14ac:dyDescent="0.25">
      <c r="A53" s="8"/>
      <c r="B53" s="8"/>
      <c r="C53" s="30"/>
      <c r="D53" s="8"/>
      <c r="E53" s="27"/>
      <c r="F53" s="31"/>
      <c r="G53" s="82" t="str">
        <f>IF(F53=0,"",VLOOKUP(F53,Employés!$A$2:$B$186,2,0))</f>
        <v/>
      </c>
      <c r="H53" s="82"/>
      <c r="I53" s="35"/>
      <c r="J53" s="29"/>
      <c r="K53" s="26"/>
      <c r="L53" s="25"/>
      <c r="M53" s="37" t="str">
        <f>IF(I53=0,"",VLOOKUP(I53,Municipalités!$A$2:$B$1290,2,TRUE))</f>
        <v/>
      </c>
    </row>
    <row r="54" spans="1:13" ht="30" customHeight="1" x14ac:dyDescent="0.25">
      <c r="A54" s="8"/>
      <c r="B54" s="8"/>
      <c r="C54" s="30"/>
      <c r="D54" s="8"/>
      <c r="E54" s="27"/>
      <c r="F54" s="31"/>
      <c r="G54" s="82" t="str">
        <f>IF(F54=0,"",VLOOKUP(F54,Employés!$A$2:$B$186,2,0))</f>
        <v/>
      </c>
      <c r="H54" s="82"/>
      <c r="I54" s="35"/>
      <c r="J54" s="29"/>
      <c r="K54" s="26"/>
      <c r="L54" s="25"/>
      <c r="M54" s="37" t="str">
        <f>IF(I54=0,"",VLOOKUP(I54,Municipalités!$A$2:$B$1290,2,TRUE))</f>
        <v/>
      </c>
    </row>
    <row r="55" spans="1:13" ht="30" customHeight="1" x14ac:dyDescent="0.25">
      <c r="A55" s="8"/>
      <c r="B55" s="8"/>
      <c r="C55" s="30"/>
      <c r="D55" s="8"/>
      <c r="E55" s="27"/>
      <c r="F55" s="31"/>
      <c r="G55" s="82" t="str">
        <f>IF(F55=0,"",VLOOKUP(F55,Employés!$A$2:$B$186,2,0))</f>
        <v/>
      </c>
      <c r="H55" s="82"/>
      <c r="I55" s="35"/>
      <c r="J55" s="29"/>
      <c r="K55" s="26"/>
      <c r="L55" s="25"/>
      <c r="M55" s="37" t="str">
        <f>IF(I55=0,"",VLOOKUP(I55,Municipalités!$A$2:$B$1290,2,TRUE))</f>
        <v/>
      </c>
    </row>
    <row r="56" spans="1:13" ht="30" customHeight="1" x14ac:dyDescent="0.25">
      <c r="A56" s="8"/>
      <c r="B56" s="8"/>
      <c r="C56" s="30"/>
      <c r="D56" s="8"/>
      <c r="E56" s="27"/>
      <c r="F56" s="31"/>
      <c r="G56" s="82" t="str">
        <f>IF(F56=0,"",VLOOKUP(F56,Employés!$A$2:$B$186,2,0))</f>
        <v/>
      </c>
      <c r="H56" s="82"/>
      <c r="I56" s="35"/>
      <c r="J56" s="29"/>
      <c r="K56" s="26"/>
      <c r="L56" s="25"/>
      <c r="M56" s="37" t="str">
        <f>IF(I56=0,"",VLOOKUP(I56,Municipalités!$A$2:$B$1290,2,TRUE))</f>
        <v/>
      </c>
    </row>
    <row r="57" spans="1:13" ht="30" customHeight="1" x14ac:dyDescent="0.25">
      <c r="A57" s="8"/>
      <c r="B57" s="8"/>
      <c r="C57" s="30"/>
      <c r="D57" s="8"/>
      <c r="E57" s="27"/>
      <c r="F57" s="31"/>
      <c r="G57" s="82" t="str">
        <f>IF(F57=0,"",VLOOKUP(F57,Employés!$A$2:$B$186,2,0))</f>
        <v/>
      </c>
      <c r="H57" s="82"/>
      <c r="I57" s="35"/>
      <c r="J57" s="29"/>
      <c r="K57" s="26"/>
      <c r="L57" s="25"/>
      <c r="M57" s="37" t="str">
        <f>IF(I57=0,"",VLOOKUP(I57,Municipalités!$A$2:$B$1290,2,TRUE))</f>
        <v/>
      </c>
    </row>
    <row r="58" spans="1:13" ht="30" customHeight="1" x14ac:dyDescent="0.25">
      <c r="A58" s="8"/>
      <c r="B58" s="8"/>
      <c r="C58" s="30"/>
      <c r="D58" s="8"/>
      <c r="E58" s="27"/>
      <c r="F58" s="31"/>
      <c r="G58" s="82" t="str">
        <f>IF(F58=0,"",VLOOKUP(F58,Employés!$A$2:$B$186,2,0))</f>
        <v/>
      </c>
      <c r="H58" s="82"/>
      <c r="I58" s="35"/>
      <c r="J58" s="29"/>
      <c r="K58" s="26"/>
      <c r="L58" s="25"/>
      <c r="M58" s="37" t="str">
        <f>IF(I58=0,"",VLOOKUP(I58,Municipalités!$A$2:$B$1290,2,TRUE))</f>
        <v/>
      </c>
    </row>
    <row r="59" spans="1:13" ht="30" customHeight="1" x14ac:dyDescent="0.25">
      <c r="A59" s="8"/>
      <c r="B59" s="8"/>
      <c r="C59" s="30"/>
      <c r="D59" s="8"/>
      <c r="E59" s="27"/>
      <c r="F59" s="31"/>
      <c r="G59" s="82" t="str">
        <f>IF(F59=0,"",VLOOKUP(F59,Employés!$A$2:$B$186,2,0))</f>
        <v/>
      </c>
      <c r="H59" s="82"/>
      <c r="I59" s="35"/>
      <c r="J59" s="29"/>
      <c r="K59" s="26"/>
      <c r="L59" s="25"/>
      <c r="M59" s="37" t="str">
        <f>IF(I59=0,"",VLOOKUP(I59,Municipalités!$A$2:$B$1290,2,TRUE))</f>
        <v/>
      </c>
    </row>
    <row r="60" spans="1:13" ht="30" customHeight="1" x14ac:dyDescent="0.25">
      <c r="A60" s="8"/>
      <c r="B60" s="8"/>
      <c r="C60" s="30"/>
      <c r="D60" s="8"/>
      <c r="E60" s="27"/>
      <c r="F60" s="31"/>
      <c r="G60" s="82" t="str">
        <f>IF(F60=0,"",VLOOKUP(F60,Employés!$A$2:$B$186,2,0))</f>
        <v/>
      </c>
      <c r="H60" s="82"/>
      <c r="I60" s="35"/>
      <c r="J60" s="29"/>
      <c r="K60" s="26"/>
      <c r="L60" s="25"/>
      <c r="M60" s="37" t="str">
        <f>IF(I60=0,"",VLOOKUP(I60,Municipalités!$A$2:$B$1290,2,TRUE))</f>
        <v/>
      </c>
    </row>
    <row r="61" spans="1:13" ht="30" customHeight="1" x14ac:dyDescent="0.25">
      <c r="A61" s="8"/>
      <c r="B61" s="8"/>
      <c r="C61" s="30"/>
      <c r="D61" s="8"/>
      <c r="E61" s="27"/>
      <c r="F61" s="31"/>
      <c r="G61" s="82" t="str">
        <f>IF(F61=0,"",VLOOKUP(F61,Employés!$A$2:$B$186,2,0))</f>
        <v/>
      </c>
      <c r="H61" s="82"/>
      <c r="I61" s="35"/>
      <c r="J61" s="29"/>
      <c r="K61" s="26"/>
      <c r="L61" s="25"/>
      <c r="M61" s="37" t="str">
        <f>IF(I61=0,"",VLOOKUP(I61,Municipalités!$A$2:$B$1290,2,TRUE))</f>
        <v/>
      </c>
    </row>
    <row r="62" spans="1:13" x14ac:dyDescent="0.25">
      <c r="C62" s="14"/>
    </row>
    <row r="63" spans="1:13" x14ac:dyDescent="0.25">
      <c r="C63" s="14"/>
    </row>
    <row r="64" spans="1:13" x14ac:dyDescent="0.25">
      <c r="C64" s="14"/>
    </row>
    <row r="65" spans="3:5" x14ac:dyDescent="0.25">
      <c r="C65" s="14"/>
    </row>
    <row r="66" spans="3:5" x14ac:dyDescent="0.25">
      <c r="C66" s="14"/>
    </row>
    <row r="67" spans="3:5" x14ac:dyDescent="0.25">
      <c r="C67" s="14"/>
    </row>
    <row r="68" spans="3:5" x14ac:dyDescent="0.25">
      <c r="C68" s="14"/>
    </row>
    <row r="69" spans="3:5" x14ac:dyDescent="0.25">
      <c r="C69" s="14"/>
    </row>
    <row r="70" spans="3:5" x14ac:dyDescent="0.25">
      <c r="C70" s="14"/>
    </row>
    <row r="71" spans="3:5" x14ac:dyDescent="0.25">
      <c r="C71" s="14"/>
    </row>
    <row r="72" spans="3:5" x14ac:dyDescent="0.25">
      <c r="C72" s="14"/>
    </row>
    <row r="73" spans="3:5" x14ac:dyDescent="0.25">
      <c r="C73" s="14"/>
    </row>
    <row r="74" spans="3:5" x14ac:dyDescent="0.25">
      <c r="C74" s="14"/>
    </row>
    <row r="75" spans="3:5" x14ac:dyDescent="0.25">
      <c r="C75" s="14"/>
    </row>
    <row r="76" spans="3:5" x14ac:dyDescent="0.25">
      <c r="C76" s="14"/>
    </row>
    <row r="77" spans="3:5" x14ac:dyDescent="0.25">
      <c r="C77" s="14"/>
    </row>
    <row r="78" spans="3:5" x14ac:dyDescent="0.25">
      <c r="C78" s="14"/>
      <c r="E78" s="21" t="s">
        <v>1420</v>
      </c>
    </row>
    <row r="79" spans="3:5" x14ac:dyDescent="0.25">
      <c r="C79" s="14"/>
    </row>
    <row r="80" spans="3:5" x14ac:dyDescent="0.25">
      <c r="C80" s="14"/>
    </row>
    <row r="81" spans="3:3" x14ac:dyDescent="0.25">
      <c r="C81" s="14"/>
    </row>
    <row r="82" spans="3:3" x14ac:dyDescent="0.25">
      <c r="C82" s="14"/>
    </row>
    <row r="83" spans="3:3" x14ac:dyDescent="0.25">
      <c r="C83" s="14"/>
    </row>
    <row r="84" spans="3:3" x14ac:dyDescent="0.25">
      <c r="C84" s="14"/>
    </row>
    <row r="85" spans="3:3" x14ac:dyDescent="0.25">
      <c r="C85" s="14"/>
    </row>
    <row r="86" spans="3:3" x14ac:dyDescent="0.25">
      <c r="C86" s="14"/>
    </row>
    <row r="87" spans="3:3" x14ac:dyDescent="0.25">
      <c r="C87" s="14"/>
    </row>
    <row r="88" spans="3:3" x14ac:dyDescent="0.25">
      <c r="C88" s="14"/>
    </row>
    <row r="89" spans="3:3" x14ac:dyDescent="0.25">
      <c r="C89" s="14"/>
    </row>
    <row r="90" spans="3:3" x14ac:dyDescent="0.25">
      <c r="C90" s="14"/>
    </row>
    <row r="91" spans="3:3" x14ac:dyDescent="0.25">
      <c r="C91" s="14"/>
    </row>
    <row r="92" spans="3:3" x14ac:dyDescent="0.25">
      <c r="C92" s="14"/>
    </row>
    <row r="93" spans="3:3" x14ac:dyDescent="0.25">
      <c r="C93" s="14"/>
    </row>
    <row r="94" spans="3:3" x14ac:dyDescent="0.25">
      <c r="C94" s="14"/>
    </row>
    <row r="95" spans="3:3" x14ac:dyDescent="0.25">
      <c r="C95" s="14"/>
    </row>
    <row r="96" spans="3:3" x14ac:dyDescent="0.25">
      <c r="C96" s="14"/>
    </row>
    <row r="97" spans="3:3" x14ac:dyDescent="0.25">
      <c r="C97" s="14"/>
    </row>
    <row r="98" spans="3:3" x14ac:dyDescent="0.25">
      <c r="C98" s="14"/>
    </row>
  </sheetData>
  <mergeCells count="67">
    <mergeCell ref="G59:H59"/>
    <mergeCell ref="G60:H60"/>
    <mergeCell ref="G61:H61"/>
    <mergeCell ref="G53:H53"/>
    <mergeCell ref="G54:H54"/>
    <mergeCell ref="G55:H55"/>
    <mergeCell ref="G56:H56"/>
    <mergeCell ref="G57:H57"/>
    <mergeCell ref="G58:H58"/>
    <mergeCell ref="G52:H52"/>
    <mergeCell ref="G41:H41"/>
    <mergeCell ref="G42:H42"/>
    <mergeCell ref="G43:H43"/>
    <mergeCell ref="G44:H44"/>
    <mergeCell ref="G45:H45"/>
    <mergeCell ref="G46:H46"/>
    <mergeCell ref="G47:H47"/>
    <mergeCell ref="G48:H48"/>
    <mergeCell ref="G49:H49"/>
    <mergeCell ref="G50:H50"/>
    <mergeCell ref="G51:H51"/>
    <mergeCell ref="G40:H40"/>
    <mergeCell ref="G29:H29"/>
    <mergeCell ref="G30:H30"/>
    <mergeCell ref="G31:H31"/>
    <mergeCell ref="G32:H32"/>
    <mergeCell ref="G33:H33"/>
    <mergeCell ref="G34:H34"/>
    <mergeCell ref="G35:H35"/>
    <mergeCell ref="G36:H36"/>
    <mergeCell ref="G37:H37"/>
    <mergeCell ref="G38:H38"/>
    <mergeCell ref="G39:H39"/>
    <mergeCell ref="G28:H28"/>
    <mergeCell ref="G17:H17"/>
    <mergeCell ref="G18:H18"/>
    <mergeCell ref="G19:H19"/>
    <mergeCell ref="G20:H20"/>
    <mergeCell ref="G21:H21"/>
    <mergeCell ref="G22:H22"/>
    <mergeCell ref="G23:H23"/>
    <mergeCell ref="G24:H24"/>
    <mergeCell ref="G25:H25"/>
    <mergeCell ref="G26:H26"/>
    <mergeCell ref="G27:H27"/>
    <mergeCell ref="M2:M4"/>
    <mergeCell ref="G16:H16"/>
    <mergeCell ref="I6:I7"/>
    <mergeCell ref="J6:J7"/>
    <mergeCell ref="K6:M6"/>
    <mergeCell ref="G8:H8"/>
    <mergeCell ref="G9:H9"/>
    <mergeCell ref="G10:H10"/>
    <mergeCell ref="G11:H11"/>
    <mergeCell ref="G12:H12"/>
    <mergeCell ref="G13:H13"/>
    <mergeCell ref="G14:H14"/>
    <mergeCell ref="G15:H15"/>
    <mergeCell ref="E1:F4"/>
    <mergeCell ref="L1:L2"/>
    <mergeCell ref="A6:A7"/>
    <mergeCell ref="B6:B7"/>
    <mergeCell ref="C6:C7"/>
    <mergeCell ref="D6:D7"/>
    <mergeCell ref="E6:E7"/>
    <mergeCell ref="F6:F7"/>
    <mergeCell ref="G6:H7"/>
  </mergeCells>
  <conditionalFormatting sqref="C16:C21 C23:C45">
    <cfRule type="expression" dxfId="125" priority="7" stopIfTrue="1">
      <formula>#REF!=1</formula>
    </cfRule>
    <cfRule type="expression" priority="8" stopIfTrue="1">
      <formula>#REF!=2</formula>
    </cfRule>
    <cfRule type="expression" dxfId="124" priority="9" stopIfTrue="1">
      <formula>#REF!=3</formula>
    </cfRule>
  </conditionalFormatting>
  <conditionalFormatting sqref="C22">
    <cfRule type="expression" dxfId="123" priority="4" stopIfTrue="1">
      <formula>#REF!=1</formula>
    </cfRule>
    <cfRule type="expression" priority="5" stopIfTrue="1">
      <formula>#REF!=2</formula>
    </cfRule>
    <cfRule type="expression" dxfId="122" priority="6" stopIfTrue="1">
      <formula>#REF!=3</formula>
    </cfRule>
  </conditionalFormatting>
  <conditionalFormatting sqref="C46:C61">
    <cfRule type="expression" dxfId="121" priority="1" stopIfTrue="1">
      <formula>#REF!=1</formula>
    </cfRule>
    <cfRule type="expression" priority="2" stopIfTrue="1">
      <formula>#REF!=2</formula>
    </cfRule>
    <cfRule type="expression" dxfId="120" priority="3" stopIfTrue="1">
      <formula>#REF!=3</formula>
    </cfRule>
  </conditionalFormatting>
  <dataValidations count="2">
    <dataValidation type="textLength" operator="greaterThanOrEqual" allowBlank="1" showInputMessage="1" showErrorMessage="1" errorTitle="Saisie incorrecte" error="Re-saisir le numéro d'entrée en utilisant 3 chiffres_x000a_Ex.: 001" promptTitle="Saisie du numéro d'entrée" prompt="Minimum 3 chiffres_x000a_Ex.: 001" sqref="C8:C39" xr:uid="{00000000-0002-0000-0A00-000000000000}">
      <formula1>3</formula1>
    </dataValidation>
    <dataValidation operator="greaterThan" allowBlank="1" showDropDown="1" showInputMessage="1" showErrorMessage="1" errorTitle="Saisie incorrecte" error="Re-Saisir le numéro de dossier sous le format_x000a_000-000000-000" promptTitle="Saisie du numéro d'événement" prompt="000-000000-000_x000a_Ex. : 071-030901-001" sqref="J8:J39" xr:uid="{00000000-0002-0000-0A00-000001000000}"/>
  </dataValidations>
  <printOptions horizontalCentered="1" verticalCentered="1"/>
  <pageMargins left="0" right="0" top="0.31496062992125984" bottom="0.39370078740157483" header="0.15748031496062992" footer="0.19685039370078741"/>
  <pageSetup paperSize="5" scale="90" orientation="landscape" r:id="rId1"/>
  <headerFooter alignWithMargins="0">
    <oddFooter>&amp;R&amp;8Page &amp;P de &amp;N</oddFooter>
  </headerFooter>
  <drawing r:id="rId2"/>
  <legacyDrawing r:id="rId3"/>
  <controls>
    <mc:AlternateContent xmlns:mc="http://schemas.openxmlformats.org/markup-compatibility/2006">
      <mc:Choice Requires="x14">
        <control shapeId="152579" r:id="rId4" name="ComboBox2">
          <controlPr defaultSize="0" autoLine="0" r:id="rId5">
            <anchor moveWithCells="1">
              <from>
                <xdr:col>4</xdr:col>
                <xdr:colOff>0</xdr:colOff>
                <xdr:row>10</xdr:row>
                <xdr:rowOff>0</xdr:rowOff>
              </from>
              <to>
                <xdr:col>4</xdr:col>
                <xdr:colOff>2965450</xdr:colOff>
                <xdr:row>11</xdr:row>
                <xdr:rowOff>38100</xdr:rowOff>
              </to>
            </anchor>
          </controlPr>
        </control>
      </mc:Choice>
      <mc:Fallback>
        <control shapeId="152579" r:id="rId4" name="ComboBox2"/>
      </mc:Fallback>
    </mc:AlternateContent>
    <mc:AlternateContent xmlns:mc="http://schemas.openxmlformats.org/markup-compatibility/2006">
      <mc:Choice Requires="x14">
        <control shapeId="152578" r:id="rId6" name="ComboBox1">
          <controlPr defaultSize="0" autoLine="0" r:id="rId7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11</xdr:col>
                <xdr:colOff>1803400</xdr:colOff>
                <xdr:row>9</xdr:row>
                <xdr:rowOff>38100</xdr:rowOff>
              </to>
            </anchor>
          </controlPr>
        </control>
      </mc:Choice>
      <mc:Fallback>
        <control shapeId="152578" r:id="rId6" name="ComboBox1"/>
      </mc:Fallback>
    </mc:AlternateContent>
    <mc:AlternateContent xmlns:mc="http://schemas.openxmlformats.org/markup-compatibility/2006">
      <mc:Choice Requires="x14">
        <control shapeId="152577" r:id="rId8" name="Button 1">
          <controlPr defaultSize="0" print="0" autoFill="0" autoPict="0" macro="[0]!test2">
            <anchor moveWithCells="1">
              <from>
                <xdr:col>5</xdr:col>
                <xdr:colOff>222250</xdr:colOff>
                <xdr:row>1</xdr:row>
                <xdr:rowOff>139700</xdr:rowOff>
              </from>
              <to>
                <xdr:col>9</xdr:col>
                <xdr:colOff>1143000</xdr:colOff>
                <xdr:row>4</xdr:row>
                <xdr:rowOff>107950</xdr:rowOff>
              </to>
            </anchor>
          </controlPr>
        </control>
      </mc:Choice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69"/>
  <dimension ref="A1:M98"/>
  <sheetViews>
    <sheetView showGridLines="0" zoomScaleNormal="100" workbookViewId="0">
      <pane xSplit="3" ySplit="7" topLeftCell="D8" activePane="bottomRight" state="frozen"/>
      <selection activeCell="C8" sqref="C8"/>
      <selection pane="topRight" activeCell="C8" sqref="C8"/>
      <selection pane="bottomLeft" activeCell="C8" sqref="C8"/>
      <selection pane="bottomRight" activeCell="M2" sqref="M2:M5"/>
    </sheetView>
  </sheetViews>
  <sheetFormatPr baseColWidth="10" defaultColWidth="11.453125" defaultRowHeight="13" x14ac:dyDescent="0.25"/>
  <cols>
    <col min="1" max="2" width="5.6328125" style="1" customWidth="1"/>
    <col min="3" max="3" width="6.6328125" style="1" customWidth="1"/>
    <col min="4" max="4" width="7.54296875" style="1" customWidth="1"/>
    <col min="5" max="5" width="44.453125" style="21" customWidth="1"/>
    <col min="6" max="6" width="10.54296875" style="1" customWidth="1"/>
    <col min="7" max="7" width="13.90625" style="1" customWidth="1"/>
    <col min="8" max="8" width="4.6328125" style="1" hidden="1" customWidth="1"/>
    <col min="9" max="9" width="6.08984375" style="1" customWidth="1"/>
    <col min="10" max="10" width="26.54296875" style="1" customWidth="1"/>
    <col min="11" max="11" width="7.36328125" style="1" customWidth="1"/>
    <col min="12" max="12" width="27" style="24" customWidth="1"/>
    <col min="13" max="13" width="26" style="1" customWidth="1"/>
    <col min="14" max="16384" width="11.453125" style="1"/>
  </cols>
  <sheetData>
    <row r="1" spans="1:13" ht="12.75" customHeight="1" x14ac:dyDescent="0.25">
      <c r="E1" s="71" t="s">
        <v>1023</v>
      </c>
      <c r="F1" s="72"/>
      <c r="L1" s="73" t="s">
        <v>1021</v>
      </c>
      <c r="M1" s="51" t="s">
        <v>1022</v>
      </c>
    </row>
    <row r="2" spans="1:13" ht="12.75" customHeight="1" x14ac:dyDescent="0.25">
      <c r="E2" s="72"/>
      <c r="F2" s="72"/>
      <c r="L2" s="74"/>
      <c r="M2" s="70">
        <f>'11'!M2:M5+1</f>
        <v>42716</v>
      </c>
    </row>
    <row r="3" spans="1:13" ht="12.75" customHeight="1" x14ac:dyDescent="0.25">
      <c r="E3" s="72"/>
      <c r="F3" s="72"/>
      <c r="L3" s="52"/>
      <c r="M3" s="70"/>
    </row>
    <row r="4" spans="1:13" ht="15.75" customHeight="1" x14ac:dyDescent="0.25">
      <c r="E4" s="72"/>
      <c r="F4" s="72"/>
      <c r="L4" s="49" t="s">
        <v>140</v>
      </c>
      <c r="M4" s="70"/>
    </row>
    <row r="5" spans="1:13" ht="21.9" customHeight="1" thickBot="1" x14ac:dyDescent="0.3">
      <c r="L5" s="36"/>
      <c r="M5" s="69">
        <f>M2</f>
        <v>42716</v>
      </c>
    </row>
    <row r="6" spans="1:13" ht="24.9" customHeight="1" x14ac:dyDescent="0.25">
      <c r="A6" s="75" t="s">
        <v>2351</v>
      </c>
      <c r="B6" s="75" t="s">
        <v>2350</v>
      </c>
      <c r="C6" s="76" t="s">
        <v>1362</v>
      </c>
      <c r="D6" s="75" t="s">
        <v>1153</v>
      </c>
      <c r="E6" s="75" t="s">
        <v>1016</v>
      </c>
      <c r="F6" s="76" t="s">
        <v>2352</v>
      </c>
      <c r="G6" s="76" t="s">
        <v>1017</v>
      </c>
      <c r="H6" s="79"/>
      <c r="I6" s="76" t="s">
        <v>1364</v>
      </c>
      <c r="J6" s="76" t="s">
        <v>1363</v>
      </c>
      <c r="K6" s="83" t="s">
        <v>1018</v>
      </c>
      <c r="L6" s="84"/>
      <c r="M6" s="84"/>
    </row>
    <row r="7" spans="1:13" ht="12.5" x14ac:dyDescent="0.25">
      <c r="A7" s="75"/>
      <c r="B7" s="75"/>
      <c r="C7" s="77"/>
      <c r="D7" s="75"/>
      <c r="E7" s="75"/>
      <c r="F7" s="78"/>
      <c r="G7" s="80"/>
      <c r="H7" s="81"/>
      <c r="I7" s="77"/>
      <c r="J7" s="77"/>
      <c r="K7" s="50" t="s">
        <v>1015</v>
      </c>
      <c r="L7" s="50" t="s">
        <v>1019</v>
      </c>
      <c r="M7" s="32" t="s">
        <v>1020</v>
      </c>
    </row>
    <row r="8" spans="1:13" ht="30" customHeight="1" x14ac:dyDescent="0.25">
      <c r="A8" s="45"/>
      <c r="B8" s="45"/>
      <c r="C8" s="30"/>
      <c r="D8" s="46"/>
      <c r="E8" s="27"/>
      <c r="F8" s="31"/>
      <c r="G8" s="82" t="str">
        <f>IF(F8=0,"",VLOOKUP(F8,Employés!$A$2:$B$186,2,0))</f>
        <v/>
      </c>
      <c r="H8" s="82"/>
      <c r="I8" s="34"/>
      <c r="J8" s="33"/>
      <c r="K8" s="19"/>
      <c r="L8" s="20" t="s">
        <v>1420</v>
      </c>
      <c r="M8" s="37" t="str">
        <f>IF(I8=0,"",VLOOKUP(I8,Municipalités!$A$2:$B$1290,2,TRUE))</f>
        <v/>
      </c>
    </row>
    <row r="9" spans="1:13" ht="30" customHeight="1" x14ac:dyDescent="0.25">
      <c r="A9" s="45"/>
      <c r="B9" s="45"/>
      <c r="C9" s="39"/>
      <c r="D9" s="47"/>
      <c r="E9" s="27"/>
      <c r="F9" s="31"/>
      <c r="G9" s="82" t="str">
        <f>IF(F9=0,"",VLOOKUP(F9,Employés!$A$2:$B$186,2,0))</f>
        <v/>
      </c>
      <c r="H9" s="82"/>
      <c r="I9" s="35"/>
      <c r="J9" s="33"/>
      <c r="K9" s="19"/>
      <c r="L9" s="20"/>
      <c r="M9" s="37" t="str">
        <f>IF(I9=0,"",VLOOKUP(I9,Municipalités!$A$2:$B$1290,2,TRUE))</f>
        <v/>
      </c>
    </row>
    <row r="10" spans="1:13" ht="30" customHeight="1" x14ac:dyDescent="0.25">
      <c r="A10" s="45"/>
      <c r="B10" s="45"/>
      <c r="C10" s="39"/>
      <c r="D10" s="48"/>
      <c r="E10" s="28"/>
      <c r="F10" s="31"/>
      <c r="G10" s="82" t="str">
        <f>IF(F10=0,"",VLOOKUP(F10,Employés!$A$2:$B$186,2,0))</f>
        <v/>
      </c>
      <c r="H10" s="82"/>
      <c r="I10" s="35"/>
      <c r="J10" s="29"/>
      <c r="K10" s="19"/>
      <c r="L10" s="20"/>
      <c r="M10" s="37" t="str">
        <f>IF(I10=0,"",VLOOKUP(I10,Municipalités!$A$2:$B$1290,2,TRUE))</f>
        <v/>
      </c>
    </row>
    <row r="11" spans="1:13" ht="30" customHeight="1" x14ac:dyDescent="0.25">
      <c r="A11" s="45"/>
      <c r="B11" s="45"/>
      <c r="C11" s="39"/>
      <c r="D11" s="47"/>
      <c r="E11" s="28" t="s">
        <v>1420</v>
      </c>
      <c r="F11" s="31"/>
      <c r="G11" s="82" t="str">
        <f>IF(F11=0,"",VLOOKUP(F11,Employés!$A$2:$B$186,2,0))</f>
        <v/>
      </c>
      <c r="H11" s="82"/>
      <c r="I11" s="35"/>
      <c r="J11" s="29"/>
      <c r="K11" s="19"/>
      <c r="L11" s="20"/>
      <c r="M11" s="37" t="str">
        <f>IF(I11=0,"",VLOOKUP(I11,Municipalités!$A$2:$B$1290,2,TRUE))</f>
        <v/>
      </c>
    </row>
    <row r="12" spans="1:13" ht="30" customHeight="1" x14ac:dyDescent="0.25">
      <c r="A12" s="45"/>
      <c r="B12" s="45"/>
      <c r="C12" s="39"/>
      <c r="D12" s="46"/>
      <c r="E12" s="27"/>
      <c r="F12" s="31"/>
      <c r="G12" s="82" t="str">
        <f>IF(F12=0,"",VLOOKUP(F12,Employés!$A$2:$B$186,2,0))</f>
        <v/>
      </c>
      <c r="H12" s="82"/>
      <c r="I12" s="35"/>
      <c r="J12" s="29"/>
      <c r="K12" s="19"/>
      <c r="L12" s="20"/>
      <c r="M12" s="37" t="str">
        <f>IF(I12=0,"",VLOOKUP(I12,Municipalités!$A$2:$B$1290,2,TRUE))</f>
        <v/>
      </c>
    </row>
    <row r="13" spans="1:13" ht="30" customHeight="1" x14ac:dyDescent="0.25">
      <c r="A13" s="45"/>
      <c r="B13" s="45"/>
      <c r="C13" s="39"/>
      <c r="D13" s="46"/>
      <c r="E13" s="27"/>
      <c r="F13" s="31"/>
      <c r="G13" s="82" t="str">
        <f>IF(F13=0,"",VLOOKUP(F13,Employés!$A$2:$B$186,2,0))</f>
        <v/>
      </c>
      <c r="H13" s="82"/>
      <c r="I13" s="35"/>
      <c r="J13" s="29"/>
      <c r="K13" s="19"/>
      <c r="L13" s="20"/>
      <c r="M13" s="37" t="str">
        <f>IF(I13=0,"",VLOOKUP(I13,Municipalités!$A$2:$B$1290,2,TRUE))</f>
        <v/>
      </c>
    </row>
    <row r="14" spans="1:13" ht="30" customHeight="1" x14ac:dyDescent="0.25">
      <c r="A14" s="45"/>
      <c r="B14" s="45"/>
      <c r="C14" s="39"/>
      <c r="D14" s="47"/>
      <c r="E14" s="27"/>
      <c r="F14" s="31"/>
      <c r="G14" s="82" t="str">
        <f>IF(F14=0,"",VLOOKUP(F14,Employés!$A$2:$B$186,2,0))</f>
        <v/>
      </c>
      <c r="H14" s="82"/>
      <c r="I14" s="35"/>
      <c r="J14" s="29"/>
      <c r="K14" s="19"/>
      <c r="L14" s="20"/>
      <c r="M14" s="37" t="str">
        <f>IF(I14=0,"",VLOOKUP(I14,Municipalités!$A$2:$B$1290,2,TRUE))</f>
        <v/>
      </c>
    </row>
    <row r="15" spans="1:13" ht="30" customHeight="1" x14ac:dyDescent="0.25">
      <c r="A15" s="45"/>
      <c r="B15" s="45"/>
      <c r="C15" s="39"/>
      <c r="D15" s="47"/>
      <c r="E15" s="27"/>
      <c r="F15" s="31"/>
      <c r="G15" s="82" t="str">
        <f>IF(F15=0,"",VLOOKUP(F15,Employés!$A$2:$B$186,2,0))</f>
        <v/>
      </c>
      <c r="H15" s="82"/>
      <c r="I15" s="35"/>
      <c r="J15" s="29"/>
      <c r="K15" s="19"/>
      <c r="L15" s="20"/>
      <c r="M15" s="37" t="str">
        <f>IF(I15=0,"",VLOOKUP(I15,Municipalités!$A$2:$B$1290,2,TRUE))</f>
        <v/>
      </c>
    </row>
    <row r="16" spans="1:13" ht="30" customHeight="1" x14ac:dyDescent="0.25">
      <c r="A16" s="45"/>
      <c r="B16" s="45"/>
      <c r="C16" s="39"/>
      <c r="D16" s="46"/>
      <c r="E16" s="27"/>
      <c r="F16" s="31"/>
      <c r="G16" s="82" t="str">
        <f>IF(F16=0,"",VLOOKUP(F16,Employés!$A$2:$B$186,2,0))</f>
        <v/>
      </c>
      <c r="H16" s="82"/>
      <c r="I16" s="35"/>
      <c r="J16" s="29"/>
      <c r="K16" s="19"/>
      <c r="L16" s="20"/>
      <c r="M16" s="37" t="str">
        <f>IF(I16=0,"",VLOOKUP(I16,Municipalités!$A$2:$B$1290,2,TRUE))</f>
        <v/>
      </c>
    </row>
    <row r="17" spans="1:13" ht="30" customHeight="1" x14ac:dyDescent="0.25">
      <c r="A17" s="45"/>
      <c r="B17" s="45"/>
      <c r="C17" s="39"/>
      <c r="D17" s="46"/>
      <c r="E17" s="27"/>
      <c r="F17" s="31"/>
      <c r="G17" s="82" t="str">
        <f>IF(F17=0,"",VLOOKUP(F17,Employés!$A$2:$B$186,2,0))</f>
        <v/>
      </c>
      <c r="H17" s="82"/>
      <c r="I17" s="35"/>
      <c r="J17" s="29"/>
      <c r="K17" s="19"/>
      <c r="L17" s="20"/>
      <c r="M17" s="37" t="str">
        <f>IF(I17=0,"",VLOOKUP(I17,Municipalités!$A$2:$B$1290,2,TRUE))</f>
        <v/>
      </c>
    </row>
    <row r="18" spans="1:13" ht="30" customHeight="1" x14ac:dyDescent="0.25">
      <c r="A18" s="45"/>
      <c r="B18" s="45"/>
      <c r="C18" s="39"/>
      <c r="D18" s="46"/>
      <c r="E18" s="27"/>
      <c r="F18" s="31"/>
      <c r="G18" s="82" t="str">
        <f>IF(F18=0,"",VLOOKUP(F18,Employés!$A$2:$B$186,2,0))</f>
        <v/>
      </c>
      <c r="H18" s="82"/>
      <c r="I18" s="35"/>
      <c r="J18" s="29"/>
      <c r="K18" s="19"/>
      <c r="L18" s="20"/>
      <c r="M18" s="37" t="str">
        <f>IF(I18=0,"",VLOOKUP(I18,Municipalités!$A$2:$B$1290,2,TRUE))</f>
        <v/>
      </c>
    </row>
    <row r="19" spans="1:13" ht="30" customHeight="1" x14ac:dyDescent="0.25">
      <c r="A19" s="45"/>
      <c r="B19" s="45"/>
      <c r="C19" s="39"/>
      <c r="D19" s="46"/>
      <c r="E19" s="27"/>
      <c r="F19" s="31"/>
      <c r="G19" s="82" t="str">
        <f>IF(F19=0,"",VLOOKUP(F19,Employés!$A$2:$B$186,2,0))</f>
        <v/>
      </c>
      <c r="H19" s="82"/>
      <c r="I19" s="35"/>
      <c r="J19" s="29"/>
      <c r="K19" s="19"/>
      <c r="L19" s="20"/>
      <c r="M19" s="37" t="str">
        <f>IF(I19=0,"",VLOOKUP(I19,Municipalités!$A$2:$B$1290,2,TRUE))</f>
        <v/>
      </c>
    </row>
    <row r="20" spans="1:13" ht="30" customHeight="1" x14ac:dyDescent="0.25">
      <c r="A20" s="45"/>
      <c r="B20" s="45"/>
      <c r="C20" s="39"/>
      <c r="D20" s="47"/>
      <c r="E20" s="27"/>
      <c r="F20" s="31"/>
      <c r="G20" s="82" t="str">
        <f>IF(F20=0,"",VLOOKUP(F20,Employés!$A$2:$B$186,2,0))</f>
        <v/>
      </c>
      <c r="H20" s="82"/>
      <c r="I20" s="35"/>
      <c r="J20" s="29"/>
      <c r="K20" s="19"/>
      <c r="L20" s="20"/>
      <c r="M20" s="37" t="str">
        <f>IF(I20=0,"",VLOOKUP(I20,Municipalités!$A$2:$B$1290,2,TRUE))</f>
        <v/>
      </c>
    </row>
    <row r="21" spans="1:13" ht="30" customHeight="1" x14ac:dyDescent="0.25">
      <c r="A21" s="45"/>
      <c r="B21" s="45"/>
      <c r="C21" s="39"/>
      <c r="D21" s="47"/>
      <c r="E21" s="27"/>
      <c r="F21" s="31"/>
      <c r="G21" s="82" t="str">
        <f>IF(F21=0,"",VLOOKUP(F21,Employés!$A$2:$B$186,2,0))</f>
        <v/>
      </c>
      <c r="H21" s="82"/>
      <c r="I21" s="35"/>
      <c r="J21" s="29"/>
      <c r="K21" s="19"/>
      <c r="L21" s="20"/>
      <c r="M21" s="37" t="str">
        <f>IF(I21=0,"",VLOOKUP(I21,Municipalités!$A$2:$B$1290,2,TRUE))</f>
        <v/>
      </c>
    </row>
    <row r="22" spans="1:13" ht="30" customHeight="1" x14ac:dyDescent="0.25">
      <c r="A22" s="45"/>
      <c r="B22" s="45"/>
      <c r="C22" s="39"/>
      <c r="D22" s="46"/>
      <c r="E22" s="27"/>
      <c r="F22" s="31"/>
      <c r="G22" s="82" t="str">
        <f>IF(F22=0,"",VLOOKUP(F22,Employés!$A$2:$B$186,2,0))</f>
        <v/>
      </c>
      <c r="H22" s="82"/>
      <c r="I22" s="35"/>
      <c r="J22" s="29"/>
      <c r="K22" s="19"/>
      <c r="L22" s="20"/>
      <c r="M22" s="37" t="str">
        <f>IF(I22=0,"",VLOOKUP(I22,Municipalités!$A$2:$B$1290,2,TRUE))</f>
        <v/>
      </c>
    </row>
    <row r="23" spans="1:13" ht="30" customHeight="1" x14ac:dyDescent="0.25">
      <c r="A23" s="45"/>
      <c r="B23" s="45"/>
      <c r="C23" s="39"/>
      <c r="D23" s="46"/>
      <c r="E23" s="27"/>
      <c r="F23" s="31"/>
      <c r="G23" s="82" t="str">
        <f>IF(F23=0,"",VLOOKUP(F23,Employés!$A$2:$B$186,2,0))</f>
        <v/>
      </c>
      <c r="H23" s="82"/>
      <c r="I23" s="35"/>
      <c r="J23" s="29"/>
      <c r="K23" s="19"/>
      <c r="L23" s="20"/>
      <c r="M23" s="37" t="str">
        <f>IF(I23=0,"",VLOOKUP(I23,Municipalités!$A$2:$B$1290,2,TRUE))</f>
        <v/>
      </c>
    </row>
    <row r="24" spans="1:13" ht="30" customHeight="1" x14ac:dyDescent="0.25">
      <c r="A24" s="45"/>
      <c r="B24" s="45"/>
      <c r="C24" s="39"/>
      <c r="D24" s="46"/>
      <c r="E24" s="27"/>
      <c r="F24" s="31"/>
      <c r="G24" s="82" t="str">
        <f>IF(F24=0,"",VLOOKUP(F24,Employés!$A$2:$B$186,2,0))</f>
        <v/>
      </c>
      <c r="H24" s="82"/>
      <c r="I24" s="35"/>
      <c r="J24" s="29"/>
      <c r="K24" s="19"/>
      <c r="L24" s="20"/>
      <c r="M24" s="37" t="str">
        <f>IF(I24=0,"",VLOOKUP(I24,Municipalités!$A$2:$B$1290,2,TRUE))</f>
        <v/>
      </c>
    </row>
    <row r="25" spans="1:13" ht="30" customHeight="1" x14ac:dyDescent="0.25">
      <c r="A25" s="45"/>
      <c r="B25" s="45"/>
      <c r="C25" s="39"/>
      <c r="D25" s="46"/>
      <c r="E25" s="27"/>
      <c r="F25" s="31"/>
      <c r="G25" s="82" t="str">
        <f>IF(F25=0,"",VLOOKUP(F25,Employés!$A$2:$B$186,2,0))</f>
        <v/>
      </c>
      <c r="H25" s="82"/>
      <c r="I25" s="35"/>
      <c r="J25" s="29"/>
      <c r="K25" s="19"/>
      <c r="L25" s="20"/>
      <c r="M25" s="37" t="str">
        <f>IF(I25=0,"",VLOOKUP(I25,Municipalités!$A$2:$B$1290,2,TRUE))</f>
        <v/>
      </c>
    </row>
    <row r="26" spans="1:13" ht="30" customHeight="1" x14ac:dyDescent="0.25">
      <c r="A26" s="45"/>
      <c r="B26" s="45"/>
      <c r="C26" s="39"/>
      <c r="D26" s="46"/>
      <c r="E26" s="27"/>
      <c r="F26" s="31"/>
      <c r="G26" s="82" t="str">
        <f>IF(F26=0,"",VLOOKUP(F26,Employés!$A$2:$B$186,2,0))</f>
        <v/>
      </c>
      <c r="H26" s="82"/>
      <c r="I26" s="35"/>
      <c r="J26" s="29"/>
      <c r="K26" s="19"/>
      <c r="L26" s="20"/>
      <c r="M26" s="37" t="str">
        <f>IF(I26=0,"",VLOOKUP(I26,Municipalités!$A$2:$B$1290,2,TRUE))</f>
        <v/>
      </c>
    </row>
    <row r="27" spans="1:13" ht="30" customHeight="1" x14ac:dyDescent="0.25">
      <c r="A27" s="45"/>
      <c r="B27" s="45"/>
      <c r="C27" s="39"/>
      <c r="D27" s="46"/>
      <c r="E27" s="27"/>
      <c r="F27" s="31"/>
      <c r="G27" s="82" t="str">
        <f>IF(F27=0,"",VLOOKUP(F27,Employés!$A$2:$B$186,2,0))</f>
        <v/>
      </c>
      <c r="H27" s="82"/>
      <c r="I27" s="35"/>
      <c r="J27" s="29"/>
      <c r="K27" s="19"/>
      <c r="L27" s="20"/>
      <c r="M27" s="37" t="str">
        <f>IF(I27=0,"",VLOOKUP(I27,Municipalités!$A$2:$B$1290,2,TRUE))</f>
        <v/>
      </c>
    </row>
    <row r="28" spans="1:13" ht="30" customHeight="1" x14ac:dyDescent="0.25">
      <c r="A28" s="45"/>
      <c r="B28" s="45"/>
      <c r="C28" s="39"/>
      <c r="D28" s="46"/>
      <c r="E28" s="27"/>
      <c r="F28" s="31"/>
      <c r="G28" s="82" t="str">
        <f>IF(F28=0,"",VLOOKUP(F28,Employés!$A$2:$B$186,2,0))</f>
        <v/>
      </c>
      <c r="H28" s="82"/>
      <c r="I28" s="35"/>
      <c r="J28" s="29"/>
      <c r="K28" s="19"/>
      <c r="L28" s="20"/>
      <c r="M28" s="37" t="str">
        <f>IF(I28=0,"",VLOOKUP(I28,Municipalités!$A$2:$B$1290,2,TRUE))</f>
        <v/>
      </c>
    </row>
    <row r="29" spans="1:13" ht="30" customHeight="1" x14ac:dyDescent="0.25">
      <c r="A29" s="45"/>
      <c r="B29" s="45"/>
      <c r="C29" s="39"/>
      <c r="D29" s="46"/>
      <c r="E29" s="27"/>
      <c r="F29" s="31"/>
      <c r="G29" s="82" t="str">
        <f>IF(F29=0,"",VLOOKUP(F29,Employés!$A$2:$B$186,2,0))</f>
        <v/>
      </c>
      <c r="H29" s="82"/>
      <c r="I29" s="35"/>
      <c r="J29" s="29"/>
      <c r="K29" s="19"/>
      <c r="L29" s="20"/>
      <c r="M29" s="37" t="str">
        <f>IF(I29=0,"",VLOOKUP(I29,Municipalités!$A$2:$B$1290,2,TRUE))</f>
        <v/>
      </c>
    </row>
    <row r="30" spans="1:13" ht="30" customHeight="1" x14ac:dyDescent="0.25">
      <c r="A30" s="45"/>
      <c r="B30" s="45"/>
      <c r="C30" s="39"/>
      <c r="D30" s="46"/>
      <c r="E30" s="27"/>
      <c r="F30" s="31"/>
      <c r="G30" s="82" t="str">
        <f>IF(F30=0,"",VLOOKUP(F30,Employés!$A$2:$B$186,2,0))</f>
        <v/>
      </c>
      <c r="H30" s="82"/>
      <c r="I30" s="35"/>
      <c r="J30" s="29"/>
      <c r="K30" s="19"/>
      <c r="L30" s="20"/>
      <c r="M30" s="37" t="str">
        <f>IF(I30=0,"",VLOOKUP(I30,Municipalités!$A$2:$B$1290,2,TRUE))</f>
        <v/>
      </c>
    </row>
    <row r="31" spans="1:13" ht="30" customHeight="1" x14ac:dyDescent="0.25">
      <c r="A31" s="45"/>
      <c r="B31" s="45"/>
      <c r="C31" s="39"/>
      <c r="D31" s="47"/>
      <c r="E31" s="27"/>
      <c r="F31" s="31"/>
      <c r="G31" s="82" t="str">
        <f>IF(F31=0,"",VLOOKUP(F31,Employés!$A$2:$B$186,2,0))</f>
        <v/>
      </c>
      <c r="H31" s="82"/>
      <c r="I31" s="35"/>
      <c r="J31" s="29"/>
      <c r="K31" s="19"/>
      <c r="L31" s="20"/>
      <c r="M31" s="37" t="str">
        <f>IF(I31=0,"",VLOOKUP(I31,Municipalités!$A$2:$B$1290,2,TRUE))</f>
        <v/>
      </c>
    </row>
    <row r="32" spans="1:13" ht="30" customHeight="1" x14ac:dyDescent="0.25">
      <c r="A32" s="45"/>
      <c r="B32" s="45"/>
      <c r="C32" s="39"/>
      <c r="D32" s="46"/>
      <c r="E32" s="27"/>
      <c r="F32" s="31"/>
      <c r="G32" s="82" t="str">
        <f>IF(F32=0,"",VLOOKUP(F32,Employés!$A$2:$B$186,2,0))</f>
        <v/>
      </c>
      <c r="H32" s="82"/>
      <c r="I32" s="35"/>
      <c r="J32" s="29"/>
      <c r="K32" s="19"/>
      <c r="L32" s="20"/>
      <c r="M32" s="37" t="str">
        <f>IF(I32=0,"",VLOOKUP(I32,Municipalités!$A$2:$B$1290,2,TRUE))</f>
        <v/>
      </c>
    </row>
    <row r="33" spans="1:13" ht="30" customHeight="1" x14ac:dyDescent="0.25">
      <c r="A33" s="45"/>
      <c r="B33" s="45"/>
      <c r="C33" s="39"/>
      <c r="D33" s="46"/>
      <c r="E33" s="27"/>
      <c r="F33" s="31"/>
      <c r="G33" s="82" t="str">
        <f>IF(F33=0,"",VLOOKUP(F33,Employés!$A$2:$B$186,2,0))</f>
        <v/>
      </c>
      <c r="H33" s="82"/>
      <c r="I33" s="35"/>
      <c r="J33" s="29"/>
      <c r="K33" s="19"/>
      <c r="L33" s="20"/>
      <c r="M33" s="37" t="str">
        <f>IF(I33=0,"",VLOOKUP(I33,Municipalités!$A$2:$B$1290,2,TRUE))</f>
        <v/>
      </c>
    </row>
    <row r="34" spans="1:13" ht="30" customHeight="1" x14ac:dyDescent="0.25">
      <c r="A34" s="45"/>
      <c r="B34" s="45"/>
      <c r="C34" s="39"/>
      <c r="D34" s="46"/>
      <c r="E34" s="27"/>
      <c r="F34" s="31"/>
      <c r="G34" s="82" t="str">
        <f>IF(F34=0,"",VLOOKUP(F34,Employés!$A$2:$B$186,2,0))</f>
        <v/>
      </c>
      <c r="H34" s="82"/>
      <c r="I34" s="35"/>
      <c r="J34" s="29"/>
      <c r="K34" s="19"/>
      <c r="L34" s="20"/>
      <c r="M34" s="37" t="str">
        <f>IF(I34=0,"",VLOOKUP(I34,Municipalités!$A$2:$B$1290,2,TRUE))</f>
        <v/>
      </c>
    </row>
    <row r="35" spans="1:13" ht="30" customHeight="1" x14ac:dyDescent="0.25">
      <c r="A35" s="45"/>
      <c r="B35" s="45"/>
      <c r="C35" s="30"/>
      <c r="D35" s="46"/>
      <c r="E35" s="27"/>
      <c r="F35" s="31"/>
      <c r="G35" s="82" t="str">
        <f>IF(F35=0,"",VLOOKUP(F35,Employés!$A$2:$B$186,2,0))</f>
        <v/>
      </c>
      <c r="H35" s="82"/>
      <c r="I35" s="35"/>
      <c r="J35" s="29"/>
      <c r="K35" s="19"/>
      <c r="L35" s="20"/>
      <c r="M35" s="37" t="str">
        <f>IF(I35=0,"",VLOOKUP(I35,Municipalités!$A$2:$B$1290,2,TRUE))</f>
        <v/>
      </c>
    </row>
    <row r="36" spans="1:13" ht="30" customHeight="1" x14ac:dyDescent="0.25">
      <c r="A36" s="45"/>
      <c r="B36" s="45"/>
      <c r="C36" s="30"/>
      <c r="D36" s="46"/>
      <c r="E36" s="27"/>
      <c r="F36" s="31"/>
      <c r="G36" s="82" t="str">
        <f>IF(F36=0,"",VLOOKUP(F36,Employés!$A$2:$B$186,2,0))</f>
        <v/>
      </c>
      <c r="H36" s="82"/>
      <c r="I36" s="35"/>
      <c r="J36" s="29"/>
      <c r="K36" s="19"/>
      <c r="L36" s="20"/>
      <c r="M36" s="37" t="str">
        <f>IF(I36=0,"",VLOOKUP(I36,Municipalités!$A$2:$B$1290,2,TRUE))</f>
        <v/>
      </c>
    </row>
    <row r="37" spans="1:13" ht="30" customHeight="1" x14ac:dyDescent="0.25">
      <c r="A37" s="45"/>
      <c r="B37" s="45"/>
      <c r="C37" s="39"/>
      <c r="D37" s="46"/>
      <c r="E37" s="27"/>
      <c r="F37" s="31"/>
      <c r="G37" s="82" t="str">
        <f>IF(F37=0,"",VLOOKUP(F37,Employés!$A$2:$B$186,2,0))</f>
        <v/>
      </c>
      <c r="H37" s="82"/>
      <c r="I37" s="35"/>
      <c r="J37" s="29"/>
      <c r="K37" s="19"/>
      <c r="L37" s="20"/>
      <c r="M37" s="37" t="str">
        <f>IF(I37=0,"",VLOOKUP(I37,Municipalités!$A$2:$B$1290,2,TRUE))</f>
        <v/>
      </c>
    </row>
    <row r="38" spans="1:13" ht="30" customHeight="1" x14ac:dyDescent="0.25">
      <c r="A38" s="45"/>
      <c r="B38" s="45"/>
      <c r="C38" s="39"/>
      <c r="D38" s="47"/>
      <c r="E38" s="27"/>
      <c r="F38" s="31"/>
      <c r="G38" s="82" t="str">
        <f>IF(F38=0,"",VLOOKUP(F38,Employés!$A$2:$B$186,2,0))</f>
        <v/>
      </c>
      <c r="H38" s="82"/>
      <c r="I38" s="35"/>
      <c r="J38" s="29"/>
      <c r="K38" s="19"/>
      <c r="L38" s="20"/>
      <c r="M38" s="37" t="str">
        <f>IF(I38=0,"",VLOOKUP(I38,Municipalités!$A$2:$B$1290,2,TRUE))</f>
        <v/>
      </c>
    </row>
    <row r="39" spans="1:13" ht="30" customHeight="1" x14ac:dyDescent="0.25">
      <c r="A39" s="45"/>
      <c r="B39" s="45"/>
      <c r="C39" s="39"/>
      <c r="D39" s="45"/>
      <c r="E39" s="27"/>
      <c r="F39" s="31"/>
      <c r="G39" s="82" t="str">
        <f>IF(F39=0,"",VLOOKUP(F39,Employés!$A$2:$B$186,2,0))</f>
        <v/>
      </c>
      <c r="H39" s="82"/>
      <c r="I39" s="35"/>
      <c r="J39" s="29"/>
      <c r="K39" s="26"/>
      <c r="L39" s="25"/>
      <c r="M39" s="37" t="str">
        <f>IF(I39=0,"",VLOOKUP(I39,Municipalités!$A$2:$B$1290,2,TRUE))</f>
        <v/>
      </c>
    </row>
    <row r="40" spans="1:13" ht="30" customHeight="1" x14ac:dyDescent="0.25">
      <c r="A40" s="8"/>
      <c r="B40" s="8"/>
      <c r="C40" s="30"/>
      <c r="D40" s="8"/>
      <c r="E40" s="27"/>
      <c r="F40" s="31"/>
      <c r="G40" s="82" t="str">
        <f>IF(F40=0,"",VLOOKUP(F40,Employés!$A$2:$B$186,2,0))</f>
        <v/>
      </c>
      <c r="H40" s="82"/>
      <c r="I40" s="35"/>
      <c r="J40" s="29"/>
      <c r="K40" s="26"/>
      <c r="L40" s="25"/>
      <c r="M40" s="37" t="str">
        <f>IF(I40=0,"",VLOOKUP(I40,Municipalités!$A$2:$B$1290,2,TRUE))</f>
        <v/>
      </c>
    </row>
    <row r="41" spans="1:13" ht="30" customHeight="1" x14ac:dyDescent="0.25">
      <c r="A41" s="8"/>
      <c r="B41" s="8"/>
      <c r="C41" s="30"/>
      <c r="D41" s="8"/>
      <c r="E41" s="27"/>
      <c r="F41" s="31"/>
      <c r="G41" s="82" t="str">
        <f>IF(F41=0,"",VLOOKUP(F41,Employés!$A$2:$B$186,2,0))</f>
        <v/>
      </c>
      <c r="H41" s="82"/>
      <c r="I41" s="35"/>
      <c r="J41" s="29"/>
      <c r="K41" s="26"/>
      <c r="L41" s="25"/>
      <c r="M41" s="37" t="str">
        <f>IF(I41=0,"",VLOOKUP(I41,Municipalités!$A$2:$B$1290,2,TRUE))</f>
        <v/>
      </c>
    </row>
    <row r="42" spans="1:13" ht="30" customHeight="1" x14ac:dyDescent="0.25">
      <c r="A42" s="8"/>
      <c r="B42" s="8"/>
      <c r="C42" s="30"/>
      <c r="D42" s="8"/>
      <c r="E42" s="27"/>
      <c r="F42" s="31"/>
      <c r="G42" s="82" t="str">
        <f>IF(F42=0,"",VLOOKUP(F42,Employés!$A$2:$B$186,2,0))</f>
        <v/>
      </c>
      <c r="H42" s="82"/>
      <c r="I42" s="35"/>
      <c r="J42" s="29"/>
      <c r="K42" s="26"/>
      <c r="L42" s="25"/>
      <c r="M42" s="37" t="str">
        <f>IF(I42=0,"",VLOOKUP(I42,Municipalités!$A$2:$B$1290,2,TRUE))</f>
        <v/>
      </c>
    </row>
    <row r="43" spans="1:13" ht="30" customHeight="1" x14ac:dyDescent="0.25">
      <c r="A43" s="8"/>
      <c r="B43" s="8"/>
      <c r="C43" s="30"/>
      <c r="D43" s="8"/>
      <c r="E43" s="27" t="s">
        <v>1420</v>
      </c>
      <c r="F43" s="31"/>
      <c r="G43" s="82" t="str">
        <f>IF(F43=0,"",VLOOKUP(F43,Employés!$A$2:$B$186,2,0))</f>
        <v/>
      </c>
      <c r="H43" s="82"/>
      <c r="I43" s="35"/>
      <c r="J43" s="29"/>
      <c r="K43" s="26"/>
      <c r="L43" s="25" t="s">
        <v>1420</v>
      </c>
      <c r="M43" s="37" t="str">
        <f>IF(I43=0,"",VLOOKUP(I43,Municipalités!$A$2:$B$1290,2,TRUE))</f>
        <v/>
      </c>
    </row>
    <row r="44" spans="1:13" ht="30" customHeight="1" x14ac:dyDescent="0.25">
      <c r="A44" s="8"/>
      <c r="B44" s="8"/>
      <c r="C44" s="30"/>
      <c r="D44" s="8"/>
      <c r="E44" s="27"/>
      <c r="F44" s="31"/>
      <c r="G44" s="82" t="str">
        <f>IF(F44=0,"",VLOOKUP(F44,Employés!$A$2:$B$186,2,0))</f>
        <v/>
      </c>
      <c r="H44" s="82"/>
      <c r="I44" s="35"/>
      <c r="J44" s="29"/>
      <c r="K44" s="26"/>
      <c r="L44" s="25"/>
      <c r="M44" s="37" t="str">
        <f>IF(I44=0,"",VLOOKUP(I44,Municipalités!$A$2:$B$1290,2,TRUE))</f>
        <v/>
      </c>
    </row>
    <row r="45" spans="1:13" ht="30" customHeight="1" x14ac:dyDescent="0.25">
      <c r="A45" s="8"/>
      <c r="B45" s="8"/>
      <c r="C45" s="30"/>
      <c r="D45" s="8"/>
      <c r="E45" s="27"/>
      <c r="F45" s="31"/>
      <c r="G45" s="82" t="str">
        <f>IF(F45=0,"",VLOOKUP(F45,Employés!$A$2:$B$186,2,0))</f>
        <v/>
      </c>
      <c r="H45" s="82"/>
      <c r="I45" s="35"/>
      <c r="J45" s="29"/>
      <c r="K45" s="26"/>
      <c r="L45" s="25"/>
      <c r="M45" s="37" t="str">
        <f>IF(I45=0,"",VLOOKUP(I45,Municipalités!$A$2:$B$1290,2,TRUE))</f>
        <v/>
      </c>
    </row>
    <row r="46" spans="1:13" ht="30" customHeight="1" x14ac:dyDescent="0.25">
      <c r="A46" s="8"/>
      <c r="B46" s="8"/>
      <c r="C46" s="30"/>
      <c r="D46" s="8"/>
      <c r="E46" s="27"/>
      <c r="F46" s="31"/>
      <c r="G46" s="82" t="str">
        <f>IF(F46=0,"",VLOOKUP(F46,Employés!$A$2:$B$186,2,0))</f>
        <v/>
      </c>
      <c r="H46" s="82"/>
      <c r="I46" s="35"/>
      <c r="J46" s="29"/>
      <c r="K46" s="26"/>
      <c r="L46" s="25"/>
      <c r="M46" s="37" t="str">
        <f>IF(I46=0,"",VLOOKUP(I46,Municipalités!$A$2:$B$1290,2,TRUE))</f>
        <v/>
      </c>
    </row>
    <row r="47" spans="1:13" ht="30" customHeight="1" x14ac:dyDescent="0.25">
      <c r="A47" s="8"/>
      <c r="B47" s="8"/>
      <c r="C47" s="30"/>
      <c r="D47" s="8"/>
      <c r="E47" s="27"/>
      <c r="F47" s="31"/>
      <c r="G47" s="82" t="str">
        <f>IF(F47=0,"",VLOOKUP(F47,Employés!$A$2:$B$186,2,0))</f>
        <v/>
      </c>
      <c r="H47" s="82"/>
      <c r="I47" s="35"/>
      <c r="J47" s="29"/>
      <c r="K47" s="26"/>
      <c r="L47" s="25"/>
      <c r="M47" s="37" t="str">
        <f>IF(I47=0,"",VLOOKUP(I47,Municipalités!$A$2:$B$1290,2,TRUE))</f>
        <v/>
      </c>
    </row>
    <row r="48" spans="1:13" ht="30" customHeight="1" x14ac:dyDescent="0.25">
      <c r="A48" s="8"/>
      <c r="B48" s="8"/>
      <c r="C48" s="30"/>
      <c r="D48" s="8"/>
      <c r="E48" s="27"/>
      <c r="F48" s="31"/>
      <c r="G48" s="82" t="str">
        <f>IF(F48=0,"",VLOOKUP(F48,Employés!$A$2:$B$186,2,0))</f>
        <v/>
      </c>
      <c r="H48" s="82"/>
      <c r="I48" s="35"/>
      <c r="J48" s="29"/>
      <c r="K48" s="26"/>
      <c r="L48" s="25"/>
      <c r="M48" s="37" t="str">
        <f>IF(I48=0,"",VLOOKUP(I48,Municipalités!$A$2:$B$1290,2,TRUE))</f>
        <v/>
      </c>
    </row>
    <row r="49" spans="1:13" ht="30" customHeight="1" x14ac:dyDescent="0.25">
      <c r="A49" s="8"/>
      <c r="B49" s="8"/>
      <c r="C49" s="30"/>
      <c r="D49" s="8"/>
      <c r="E49" s="27"/>
      <c r="F49" s="31"/>
      <c r="G49" s="82" t="str">
        <f>IF(F49=0,"",VLOOKUP(F49,Employés!$A$2:$B$186,2,0))</f>
        <v/>
      </c>
      <c r="H49" s="82"/>
      <c r="I49" s="35"/>
      <c r="J49" s="29"/>
      <c r="K49" s="26"/>
      <c r="L49" s="25"/>
      <c r="M49" s="37" t="str">
        <f>IF(I49=0,"",VLOOKUP(I49,Municipalités!$A$2:$B$1290,2,TRUE))</f>
        <v/>
      </c>
    </row>
    <row r="50" spans="1:13" ht="30" customHeight="1" x14ac:dyDescent="0.25">
      <c r="A50" s="8"/>
      <c r="B50" s="8"/>
      <c r="C50" s="30"/>
      <c r="D50" s="8"/>
      <c r="E50" s="27"/>
      <c r="F50" s="31"/>
      <c r="G50" s="82" t="str">
        <f>IF(F50=0,"",VLOOKUP(F50,Employés!$A$2:$B$186,2,0))</f>
        <v/>
      </c>
      <c r="H50" s="82"/>
      <c r="I50" s="35"/>
      <c r="J50" s="29"/>
      <c r="K50" s="26"/>
      <c r="L50" s="25"/>
      <c r="M50" s="37" t="str">
        <f>IF(I50=0,"",VLOOKUP(I50,Municipalités!$A$2:$B$1290,2,TRUE))</f>
        <v/>
      </c>
    </row>
    <row r="51" spans="1:13" ht="30" customHeight="1" x14ac:dyDescent="0.25">
      <c r="A51" s="8"/>
      <c r="B51" s="8"/>
      <c r="C51" s="30"/>
      <c r="D51" s="8"/>
      <c r="E51" s="27"/>
      <c r="F51" s="31"/>
      <c r="G51" s="82" t="str">
        <f>IF(F51=0,"",VLOOKUP(F51,Employés!$A$2:$B$186,2,0))</f>
        <v/>
      </c>
      <c r="H51" s="82"/>
      <c r="I51" s="35"/>
      <c r="J51" s="29"/>
      <c r="K51" s="26"/>
      <c r="L51" s="25"/>
      <c r="M51" s="37" t="str">
        <f>IF(I51=0,"",VLOOKUP(I51,Municipalités!$A$2:$B$1290,2,TRUE))</f>
        <v/>
      </c>
    </row>
    <row r="52" spans="1:13" ht="30" customHeight="1" x14ac:dyDescent="0.25">
      <c r="A52" s="8"/>
      <c r="B52" s="8"/>
      <c r="C52" s="30"/>
      <c r="D52" s="8"/>
      <c r="E52" s="27"/>
      <c r="F52" s="31"/>
      <c r="G52" s="82" t="str">
        <f>IF(F52=0,"",VLOOKUP(F52,Employés!$A$2:$B$186,2,0))</f>
        <v/>
      </c>
      <c r="H52" s="82"/>
      <c r="I52" s="35"/>
      <c r="J52" s="29"/>
      <c r="K52" s="26"/>
      <c r="L52" s="25"/>
      <c r="M52" s="37" t="str">
        <f>IF(I52=0,"",VLOOKUP(I52,Municipalités!$A$2:$B$1290,2,TRUE))</f>
        <v/>
      </c>
    </row>
    <row r="53" spans="1:13" ht="30" customHeight="1" x14ac:dyDescent="0.25">
      <c r="A53" s="8"/>
      <c r="B53" s="8"/>
      <c r="C53" s="30"/>
      <c r="D53" s="8"/>
      <c r="E53" s="27"/>
      <c r="F53" s="31"/>
      <c r="G53" s="82" t="str">
        <f>IF(F53=0,"",VLOOKUP(F53,Employés!$A$2:$B$186,2,0))</f>
        <v/>
      </c>
      <c r="H53" s="82"/>
      <c r="I53" s="35"/>
      <c r="J53" s="29"/>
      <c r="K53" s="26"/>
      <c r="L53" s="25"/>
      <c r="M53" s="37" t="str">
        <f>IF(I53=0,"",VLOOKUP(I53,Municipalités!$A$2:$B$1290,2,TRUE))</f>
        <v/>
      </c>
    </row>
    <row r="54" spans="1:13" ht="30" customHeight="1" x14ac:dyDescent="0.25">
      <c r="A54" s="8"/>
      <c r="B54" s="8"/>
      <c r="C54" s="30"/>
      <c r="D54" s="8"/>
      <c r="E54" s="27"/>
      <c r="F54" s="31"/>
      <c r="G54" s="82" t="str">
        <f>IF(F54=0,"",VLOOKUP(F54,Employés!$A$2:$B$186,2,0))</f>
        <v/>
      </c>
      <c r="H54" s="82"/>
      <c r="I54" s="35"/>
      <c r="J54" s="29"/>
      <c r="K54" s="26"/>
      <c r="L54" s="25"/>
      <c r="M54" s="37" t="str">
        <f>IF(I54=0,"",VLOOKUP(I54,Municipalités!$A$2:$B$1290,2,TRUE))</f>
        <v/>
      </c>
    </row>
    <row r="55" spans="1:13" ht="30" customHeight="1" x14ac:dyDescent="0.25">
      <c r="A55" s="8"/>
      <c r="B55" s="8"/>
      <c r="C55" s="30"/>
      <c r="D55" s="8"/>
      <c r="E55" s="27"/>
      <c r="F55" s="31"/>
      <c r="G55" s="82" t="str">
        <f>IF(F55=0,"",VLOOKUP(F55,Employés!$A$2:$B$186,2,0))</f>
        <v/>
      </c>
      <c r="H55" s="82"/>
      <c r="I55" s="35"/>
      <c r="J55" s="29"/>
      <c r="K55" s="26"/>
      <c r="L55" s="25"/>
      <c r="M55" s="37" t="str">
        <f>IF(I55=0,"",VLOOKUP(I55,Municipalités!$A$2:$B$1290,2,TRUE))</f>
        <v/>
      </c>
    </row>
    <row r="56" spans="1:13" ht="30" customHeight="1" x14ac:dyDescent="0.25">
      <c r="A56" s="8"/>
      <c r="B56" s="8"/>
      <c r="C56" s="30"/>
      <c r="D56" s="8"/>
      <c r="E56" s="27"/>
      <c r="F56" s="31"/>
      <c r="G56" s="82" t="str">
        <f>IF(F56=0,"",VLOOKUP(F56,Employés!$A$2:$B$186,2,0))</f>
        <v/>
      </c>
      <c r="H56" s="82"/>
      <c r="I56" s="35"/>
      <c r="J56" s="29"/>
      <c r="K56" s="26"/>
      <c r="L56" s="25"/>
      <c r="M56" s="37" t="str">
        <f>IF(I56=0,"",VLOOKUP(I56,Municipalités!$A$2:$B$1290,2,TRUE))</f>
        <v/>
      </c>
    </row>
    <row r="57" spans="1:13" ht="30" customHeight="1" x14ac:dyDescent="0.25">
      <c r="A57" s="8"/>
      <c r="B57" s="8"/>
      <c r="C57" s="30"/>
      <c r="D57" s="8"/>
      <c r="E57" s="27"/>
      <c r="F57" s="31"/>
      <c r="G57" s="82" t="str">
        <f>IF(F57=0,"",VLOOKUP(F57,Employés!$A$2:$B$186,2,0))</f>
        <v/>
      </c>
      <c r="H57" s="82"/>
      <c r="I57" s="35"/>
      <c r="J57" s="29"/>
      <c r="K57" s="26"/>
      <c r="L57" s="25"/>
      <c r="M57" s="37" t="str">
        <f>IF(I57=0,"",VLOOKUP(I57,Municipalités!$A$2:$B$1290,2,TRUE))</f>
        <v/>
      </c>
    </row>
    <row r="58" spans="1:13" ht="30" customHeight="1" x14ac:dyDescent="0.25">
      <c r="A58" s="8"/>
      <c r="B58" s="8"/>
      <c r="C58" s="30"/>
      <c r="D58" s="8"/>
      <c r="E58" s="27"/>
      <c r="F58" s="31"/>
      <c r="G58" s="82" t="str">
        <f>IF(F58=0,"",VLOOKUP(F58,Employés!$A$2:$B$186,2,0))</f>
        <v/>
      </c>
      <c r="H58" s="82"/>
      <c r="I58" s="35"/>
      <c r="J58" s="29"/>
      <c r="K58" s="26"/>
      <c r="L58" s="25"/>
      <c r="M58" s="37" t="str">
        <f>IF(I58=0,"",VLOOKUP(I58,Municipalités!$A$2:$B$1290,2,TRUE))</f>
        <v/>
      </c>
    </row>
    <row r="59" spans="1:13" ht="30" customHeight="1" x14ac:dyDescent="0.25">
      <c r="A59" s="8"/>
      <c r="B59" s="8"/>
      <c r="C59" s="30"/>
      <c r="D59" s="8"/>
      <c r="E59" s="27"/>
      <c r="F59" s="31"/>
      <c r="G59" s="82" t="str">
        <f>IF(F59=0,"",VLOOKUP(F59,Employés!$A$2:$B$186,2,0))</f>
        <v/>
      </c>
      <c r="H59" s="82"/>
      <c r="I59" s="35"/>
      <c r="J59" s="29"/>
      <c r="K59" s="26"/>
      <c r="L59" s="25"/>
      <c r="M59" s="37" t="str">
        <f>IF(I59=0,"",VLOOKUP(I59,Municipalités!$A$2:$B$1290,2,TRUE))</f>
        <v/>
      </c>
    </row>
    <row r="60" spans="1:13" ht="30" customHeight="1" x14ac:dyDescent="0.25">
      <c r="A60" s="8"/>
      <c r="B60" s="8"/>
      <c r="C60" s="30"/>
      <c r="D60" s="8"/>
      <c r="E60" s="27"/>
      <c r="F60" s="31"/>
      <c r="G60" s="82" t="str">
        <f>IF(F60=0,"",VLOOKUP(F60,Employés!$A$2:$B$186,2,0))</f>
        <v/>
      </c>
      <c r="H60" s="82"/>
      <c r="I60" s="35"/>
      <c r="J60" s="29"/>
      <c r="K60" s="26"/>
      <c r="L60" s="25"/>
      <c r="M60" s="37" t="str">
        <f>IF(I60=0,"",VLOOKUP(I60,Municipalités!$A$2:$B$1290,2,TRUE))</f>
        <v/>
      </c>
    </row>
    <row r="61" spans="1:13" ht="30" customHeight="1" x14ac:dyDescent="0.25">
      <c r="A61" s="8"/>
      <c r="B61" s="8"/>
      <c r="C61" s="30"/>
      <c r="D61" s="8"/>
      <c r="E61" s="27"/>
      <c r="F61" s="31"/>
      <c r="G61" s="82" t="str">
        <f>IF(F61=0,"",VLOOKUP(F61,Employés!$A$2:$B$186,2,0))</f>
        <v/>
      </c>
      <c r="H61" s="82"/>
      <c r="I61" s="35"/>
      <c r="J61" s="29"/>
      <c r="K61" s="26"/>
      <c r="L61" s="25"/>
      <c r="M61" s="37" t="str">
        <f>IF(I61=0,"",VLOOKUP(I61,Municipalités!$A$2:$B$1290,2,TRUE))</f>
        <v/>
      </c>
    </row>
    <row r="62" spans="1:13" x14ac:dyDescent="0.25">
      <c r="C62" s="14"/>
    </row>
    <row r="63" spans="1:13" x14ac:dyDescent="0.25">
      <c r="C63" s="14"/>
    </row>
    <row r="64" spans="1:13" x14ac:dyDescent="0.25">
      <c r="C64" s="14"/>
    </row>
    <row r="65" spans="3:5" x14ac:dyDescent="0.25">
      <c r="C65" s="14"/>
    </row>
    <row r="66" spans="3:5" x14ac:dyDescent="0.25">
      <c r="C66" s="14"/>
    </row>
    <row r="67" spans="3:5" x14ac:dyDescent="0.25">
      <c r="C67" s="14"/>
    </row>
    <row r="68" spans="3:5" x14ac:dyDescent="0.25">
      <c r="C68" s="14"/>
    </row>
    <row r="69" spans="3:5" x14ac:dyDescent="0.25">
      <c r="C69" s="14"/>
    </row>
    <row r="70" spans="3:5" x14ac:dyDescent="0.25">
      <c r="C70" s="14"/>
    </row>
    <row r="71" spans="3:5" x14ac:dyDescent="0.25">
      <c r="C71" s="14"/>
    </row>
    <row r="72" spans="3:5" x14ac:dyDescent="0.25">
      <c r="C72" s="14"/>
    </row>
    <row r="73" spans="3:5" x14ac:dyDescent="0.25">
      <c r="C73" s="14"/>
    </row>
    <row r="74" spans="3:5" x14ac:dyDescent="0.25">
      <c r="C74" s="14"/>
    </row>
    <row r="75" spans="3:5" x14ac:dyDescent="0.25">
      <c r="C75" s="14"/>
    </row>
    <row r="76" spans="3:5" x14ac:dyDescent="0.25">
      <c r="C76" s="14"/>
    </row>
    <row r="77" spans="3:5" x14ac:dyDescent="0.25">
      <c r="C77" s="14"/>
    </row>
    <row r="78" spans="3:5" x14ac:dyDescent="0.25">
      <c r="C78" s="14"/>
      <c r="E78" s="21" t="s">
        <v>1420</v>
      </c>
    </row>
    <row r="79" spans="3:5" x14ac:dyDescent="0.25">
      <c r="C79" s="14"/>
    </row>
    <row r="80" spans="3:5" x14ac:dyDescent="0.25">
      <c r="C80" s="14"/>
    </row>
    <row r="81" spans="3:3" x14ac:dyDescent="0.25">
      <c r="C81" s="14"/>
    </row>
    <row r="82" spans="3:3" x14ac:dyDescent="0.25">
      <c r="C82" s="14"/>
    </row>
    <row r="83" spans="3:3" x14ac:dyDescent="0.25">
      <c r="C83" s="14"/>
    </row>
    <row r="84" spans="3:3" x14ac:dyDescent="0.25">
      <c r="C84" s="14"/>
    </row>
    <row r="85" spans="3:3" x14ac:dyDescent="0.25">
      <c r="C85" s="14"/>
    </row>
    <row r="86" spans="3:3" x14ac:dyDescent="0.25">
      <c r="C86" s="14"/>
    </row>
    <row r="87" spans="3:3" x14ac:dyDescent="0.25">
      <c r="C87" s="14"/>
    </row>
    <row r="88" spans="3:3" x14ac:dyDescent="0.25">
      <c r="C88" s="14"/>
    </row>
    <row r="89" spans="3:3" x14ac:dyDescent="0.25">
      <c r="C89" s="14"/>
    </row>
    <row r="90" spans="3:3" x14ac:dyDescent="0.25">
      <c r="C90" s="14"/>
    </row>
    <row r="91" spans="3:3" x14ac:dyDescent="0.25">
      <c r="C91" s="14"/>
    </row>
    <row r="92" spans="3:3" x14ac:dyDescent="0.25">
      <c r="C92" s="14"/>
    </row>
    <row r="93" spans="3:3" x14ac:dyDescent="0.25">
      <c r="C93" s="14"/>
    </row>
    <row r="94" spans="3:3" x14ac:dyDescent="0.25">
      <c r="C94" s="14"/>
    </row>
    <row r="95" spans="3:3" x14ac:dyDescent="0.25">
      <c r="C95" s="14"/>
    </row>
    <row r="96" spans="3:3" x14ac:dyDescent="0.25">
      <c r="C96" s="14"/>
    </row>
    <row r="97" spans="3:3" x14ac:dyDescent="0.25">
      <c r="C97" s="14"/>
    </row>
    <row r="98" spans="3:3" x14ac:dyDescent="0.25">
      <c r="C98" s="14"/>
    </row>
  </sheetData>
  <mergeCells count="67">
    <mergeCell ref="G59:H59"/>
    <mergeCell ref="G60:H60"/>
    <mergeCell ref="G61:H61"/>
    <mergeCell ref="G53:H53"/>
    <mergeCell ref="G54:H54"/>
    <mergeCell ref="G55:H55"/>
    <mergeCell ref="G56:H56"/>
    <mergeCell ref="G57:H57"/>
    <mergeCell ref="G58:H58"/>
    <mergeCell ref="G52:H52"/>
    <mergeCell ref="G41:H41"/>
    <mergeCell ref="G42:H42"/>
    <mergeCell ref="G43:H43"/>
    <mergeCell ref="G44:H44"/>
    <mergeCell ref="G45:H45"/>
    <mergeCell ref="G46:H46"/>
    <mergeCell ref="G47:H47"/>
    <mergeCell ref="G48:H48"/>
    <mergeCell ref="G49:H49"/>
    <mergeCell ref="G50:H50"/>
    <mergeCell ref="G51:H51"/>
    <mergeCell ref="G40:H40"/>
    <mergeCell ref="G29:H29"/>
    <mergeCell ref="G30:H30"/>
    <mergeCell ref="G31:H31"/>
    <mergeCell ref="G32:H32"/>
    <mergeCell ref="G33:H33"/>
    <mergeCell ref="G34:H34"/>
    <mergeCell ref="G35:H35"/>
    <mergeCell ref="G36:H36"/>
    <mergeCell ref="G37:H37"/>
    <mergeCell ref="G38:H38"/>
    <mergeCell ref="G39:H39"/>
    <mergeCell ref="G28:H28"/>
    <mergeCell ref="G17:H17"/>
    <mergeCell ref="G18:H18"/>
    <mergeCell ref="G19:H19"/>
    <mergeCell ref="G20:H20"/>
    <mergeCell ref="G21:H21"/>
    <mergeCell ref="G22:H22"/>
    <mergeCell ref="G23:H23"/>
    <mergeCell ref="G24:H24"/>
    <mergeCell ref="G25:H25"/>
    <mergeCell ref="G26:H26"/>
    <mergeCell ref="G27:H27"/>
    <mergeCell ref="M2:M4"/>
    <mergeCell ref="G16:H16"/>
    <mergeCell ref="I6:I7"/>
    <mergeCell ref="J6:J7"/>
    <mergeCell ref="K6:M6"/>
    <mergeCell ref="G8:H8"/>
    <mergeCell ref="G9:H9"/>
    <mergeCell ref="G10:H10"/>
    <mergeCell ref="G11:H11"/>
    <mergeCell ref="G12:H12"/>
    <mergeCell ref="G13:H13"/>
    <mergeCell ref="G14:H14"/>
    <mergeCell ref="G15:H15"/>
    <mergeCell ref="E1:F4"/>
    <mergeCell ref="L1:L2"/>
    <mergeCell ref="A6:A7"/>
    <mergeCell ref="B6:B7"/>
    <mergeCell ref="C6:C7"/>
    <mergeCell ref="D6:D7"/>
    <mergeCell ref="E6:E7"/>
    <mergeCell ref="F6:F7"/>
    <mergeCell ref="G6:H7"/>
  </mergeCells>
  <conditionalFormatting sqref="C16:C21 C23:C45">
    <cfRule type="expression" dxfId="119" priority="7" stopIfTrue="1">
      <formula>#REF!=1</formula>
    </cfRule>
    <cfRule type="expression" priority="8" stopIfTrue="1">
      <formula>#REF!=2</formula>
    </cfRule>
    <cfRule type="expression" dxfId="118" priority="9" stopIfTrue="1">
      <formula>#REF!=3</formula>
    </cfRule>
  </conditionalFormatting>
  <conditionalFormatting sqref="C22">
    <cfRule type="expression" dxfId="117" priority="4" stopIfTrue="1">
      <formula>#REF!=1</formula>
    </cfRule>
    <cfRule type="expression" priority="5" stopIfTrue="1">
      <formula>#REF!=2</formula>
    </cfRule>
    <cfRule type="expression" dxfId="116" priority="6" stopIfTrue="1">
      <formula>#REF!=3</formula>
    </cfRule>
  </conditionalFormatting>
  <conditionalFormatting sqref="C46:C61">
    <cfRule type="expression" dxfId="115" priority="1" stopIfTrue="1">
      <formula>#REF!=1</formula>
    </cfRule>
    <cfRule type="expression" priority="2" stopIfTrue="1">
      <formula>#REF!=2</formula>
    </cfRule>
    <cfRule type="expression" dxfId="114" priority="3" stopIfTrue="1">
      <formula>#REF!=3</formula>
    </cfRule>
  </conditionalFormatting>
  <dataValidations count="2">
    <dataValidation operator="greaterThan" allowBlank="1" showDropDown="1" showInputMessage="1" showErrorMessage="1" errorTitle="Saisie incorrecte" error="Re-Saisir le numéro de dossier sous le format_x000a_000-000000-000" promptTitle="Saisie du numéro d'événement" prompt="000-000000-000_x000a_Ex. : 071-030901-001" sqref="J8:J39" xr:uid="{00000000-0002-0000-0B00-000000000000}"/>
    <dataValidation type="textLength" operator="greaterThanOrEqual" allowBlank="1" showInputMessage="1" showErrorMessage="1" errorTitle="Saisie incorrecte" error="Re-saisir le numéro d'entrée en utilisant 3 chiffres_x000a_Ex.: 001" promptTitle="Saisie du numéro d'entrée" prompt="Minimum 3 chiffres_x000a_Ex.: 001" sqref="C8:C39" xr:uid="{00000000-0002-0000-0B00-000001000000}">
      <formula1>3</formula1>
    </dataValidation>
  </dataValidations>
  <printOptions horizontalCentered="1" verticalCentered="1"/>
  <pageMargins left="0" right="0" top="0.31496062992125984" bottom="0.39370078740157483" header="0.15748031496062992" footer="0.19685039370078741"/>
  <pageSetup paperSize="5" scale="90" orientation="landscape" r:id="rId1"/>
  <headerFooter alignWithMargins="0">
    <oddFooter>&amp;R&amp;8Page &amp;P de &amp;N</oddFooter>
  </headerFooter>
  <drawing r:id="rId2"/>
  <legacyDrawing r:id="rId3"/>
  <controls>
    <mc:AlternateContent xmlns:mc="http://schemas.openxmlformats.org/markup-compatibility/2006">
      <mc:Choice Requires="x14">
        <control shapeId="153603" r:id="rId4" name="ComboBox2">
          <controlPr defaultSize="0" autoLine="0" r:id="rId5">
            <anchor moveWithCells="1">
              <from>
                <xdr:col>4</xdr:col>
                <xdr:colOff>0</xdr:colOff>
                <xdr:row>10</xdr:row>
                <xdr:rowOff>0</xdr:rowOff>
              </from>
              <to>
                <xdr:col>4</xdr:col>
                <xdr:colOff>2965450</xdr:colOff>
                <xdr:row>11</xdr:row>
                <xdr:rowOff>38100</xdr:rowOff>
              </to>
            </anchor>
          </controlPr>
        </control>
      </mc:Choice>
      <mc:Fallback>
        <control shapeId="153603" r:id="rId4" name="ComboBox2"/>
      </mc:Fallback>
    </mc:AlternateContent>
    <mc:AlternateContent xmlns:mc="http://schemas.openxmlformats.org/markup-compatibility/2006">
      <mc:Choice Requires="x14">
        <control shapeId="153602" r:id="rId6" name="ComboBox1">
          <controlPr defaultSize="0" autoLine="0" r:id="rId7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11</xdr:col>
                <xdr:colOff>1803400</xdr:colOff>
                <xdr:row>9</xdr:row>
                <xdr:rowOff>38100</xdr:rowOff>
              </to>
            </anchor>
          </controlPr>
        </control>
      </mc:Choice>
      <mc:Fallback>
        <control shapeId="153602" r:id="rId6" name="ComboBox1"/>
      </mc:Fallback>
    </mc:AlternateContent>
    <mc:AlternateContent xmlns:mc="http://schemas.openxmlformats.org/markup-compatibility/2006">
      <mc:Choice Requires="x14">
        <control shapeId="153601" r:id="rId8" name="Button 1">
          <controlPr defaultSize="0" print="0" autoFill="0" autoPict="0" macro="[0]!test2">
            <anchor moveWithCells="1">
              <from>
                <xdr:col>5</xdr:col>
                <xdr:colOff>222250</xdr:colOff>
                <xdr:row>1</xdr:row>
                <xdr:rowOff>139700</xdr:rowOff>
              </from>
              <to>
                <xdr:col>9</xdr:col>
                <xdr:colOff>1143000</xdr:colOff>
                <xdr:row>4</xdr:row>
                <xdr:rowOff>107950</xdr:rowOff>
              </to>
            </anchor>
          </controlPr>
        </control>
      </mc:Choice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70"/>
  <dimension ref="A1:M98"/>
  <sheetViews>
    <sheetView showGridLines="0" zoomScale="85" zoomScaleNormal="85" workbookViewId="0">
      <pane xSplit="3" ySplit="7" topLeftCell="E8" activePane="bottomRight" state="frozen"/>
      <selection activeCell="C8" sqref="C8"/>
      <selection pane="topRight" activeCell="C8" sqref="C8"/>
      <selection pane="bottomLeft" activeCell="C8" sqref="C8"/>
      <selection pane="bottomRight" activeCell="A6" sqref="A6:A7"/>
    </sheetView>
  </sheetViews>
  <sheetFormatPr baseColWidth="10" defaultColWidth="11.453125" defaultRowHeight="13" x14ac:dyDescent="0.25"/>
  <cols>
    <col min="1" max="2" width="5.6328125" style="1" customWidth="1"/>
    <col min="3" max="3" width="6.6328125" style="1" customWidth="1"/>
    <col min="4" max="4" width="7.54296875" style="1" customWidth="1"/>
    <col min="5" max="5" width="44.453125" style="21" customWidth="1"/>
    <col min="6" max="6" width="10.54296875" style="1" customWidth="1"/>
    <col min="7" max="7" width="13.90625" style="1" customWidth="1"/>
    <col min="8" max="8" width="4.6328125" style="1" hidden="1" customWidth="1"/>
    <col min="9" max="9" width="6.08984375" style="1" customWidth="1"/>
    <col min="10" max="10" width="26.54296875" style="1" customWidth="1"/>
    <col min="11" max="11" width="7.36328125" style="1" customWidth="1"/>
    <col min="12" max="12" width="27" style="24" customWidth="1"/>
    <col min="13" max="13" width="26" style="1" customWidth="1"/>
    <col min="14" max="16384" width="11.453125" style="1"/>
  </cols>
  <sheetData>
    <row r="1" spans="1:13" ht="12.75" customHeight="1" x14ac:dyDescent="0.25">
      <c r="E1" s="71" t="s">
        <v>1023</v>
      </c>
      <c r="F1" s="72"/>
      <c r="L1" s="73" t="s">
        <v>1021</v>
      </c>
      <c r="M1" s="51" t="s">
        <v>1022</v>
      </c>
    </row>
    <row r="2" spans="1:13" ht="12.75" customHeight="1" x14ac:dyDescent="0.25">
      <c r="E2" s="72"/>
      <c r="F2" s="72"/>
      <c r="L2" s="74"/>
      <c r="M2" s="70">
        <f>'12'!M2:M5+1</f>
        <v>42717</v>
      </c>
    </row>
    <row r="3" spans="1:13" ht="12.75" customHeight="1" x14ac:dyDescent="0.25">
      <c r="E3" s="72"/>
      <c r="F3" s="72"/>
      <c r="L3" s="52"/>
      <c r="M3" s="70"/>
    </row>
    <row r="4" spans="1:13" ht="15.75" customHeight="1" x14ac:dyDescent="0.25">
      <c r="E4" s="72"/>
      <c r="F4" s="72"/>
      <c r="L4" s="49" t="s">
        <v>140</v>
      </c>
      <c r="M4" s="70"/>
    </row>
    <row r="5" spans="1:13" ht="21.9" customHeight="1" thickBot="1" x14ac:dyDescent="0.3">
      <c r="L5" s="36"/>
      <c r="M5" s="69">
        <f>M2</f>
        <v>42717</v>
      </c>
    </row>
    <row r="6" spans="1:13" ht="24.9" customHeight="1" x14ac:dyDescent="0.25">
      <c r="A6" s="75" t="s">
        <v>2351</v>
      </c>
      <c r="B6" s="75" t="s">
        <v>2350</v>
      </c>
      <c r="C6" s="76" t="s">
        <v>1362</v>
      </c>
      <c r="D6" s="75" t="s">
        <v>1153</v>
      </c>
      <c r="E6" s="75" t="s">
        <v>1016</v>
      </c>
      <c r="F6" s="76" t="s">
        <v>2352</v>
      </c>
      <c r="G6" s="76" t="s">
        <v>1017</v>
      </c>
      <c r="H6" s="79"/>
      <c r="I6" s="76" t="s">
        <v>1364</v>
      </c>
      <c r="J6" s="76" t="s">
        <v>1363</v>
      </c>
      <c r="K6" s="83" t="s">
        <v>1018</v>
      </c>
      <c r="L6" s="84"/>
      <c r="M6" s="84"/>
    </row>
    <row r="7" spans="1:13" ht="12.5" x14ac:dyDescent="0.25">
      <c r="A7" s="75"/>
      <c r="B7" s="75"/>
      <c r="C7" s="77"/>
      <c r="D7" s="75"/>
      <c r="E7" s="75"/>
      <c r="F7" s="78"/>
      <c r="G7" s="80"/>
      <c r="H7" s="81"/>
      <c r="I7" s="77"/>
      <c r="J7" s="77"/>
      <c r="K7" s="50" t="s">
        <v>1015</v>
      </c>
      <c r="L7" s="50" t="s">
        <v>1019</v>
      </c>
      <c r="M7" s="32" t="s">
        <v>1020</v>
      </c>
    </row>
    <row r="8" spans="1:13" ht="30" customHeight="1" x14ac:dyDescent="0.25">
      <c r="A8" s="45"/>
      <c r="B8" s="45"/>
      <c r="C8" s="30"/>
      <c r="D8" s="46"/>
      <c r="E8" s="27"/>
      <c r="F8" s="31"/>
      <c r="G8" s="82" t="str">
        <f>IF(F8=0,"",VLOOKUP(F8,Employés!$A$2:$B$186,2,0))</f>
        <v/>
      </c>
      <c r="H8" s="82"/>
      <c r="I8" s="34"/>
      <c r="J8" s="33"/>
      <c r="K8" s="19"/>
      <c r="L8" s="20" t="s">
        <v>1420</v>
      </c>
      <c r="M8" s="37" t="str">
        <f>IF(I8=0,"",VLOOKUP(I8,Municipalités!$A$2:$B$1290,2,TRUE))</f>
        <v/>
      </c>
    </row>
    <row r="9" spans="1:13" ht="30" customHeight="1" x14ac:dyDescent="0.25">
      <c r="A9" s="45"/>
      <c r="B9" s="45"/>
      <c r="C9" s="39"/>
      <c r="D9" s="47"/>
      <c r="E9" s="27"/>
      <c r="F9" s="31"/>
      <c r="G9" s="82" t="str">
        <f>IF(F9=0,"",VLOOKUP(F9,Employés!$A$2:$B$186,2,0))</f>
        <v/>
      </c>
      <c r="H9" s="82"/>
      <c r="I9" s="35"/>
      <c r="J9" s="33"/>
      <c r="K9" s="19"/>
      <c r="L9" s="20"/>
      <c r="M9" s="37" t="str">
        <f>IF(I9=0,"",VLOOKUP(I9,Municipalités!$A$2:$B$1290,2,TRUE))</f>
        <v/>
      </c>
    </row>
    <row r="10" spans="1:13" ht="30" customHeight="1" x14ac:dyDescent="0.25">
      <c r="A10" s="45"/>
      <c r="B10" s="45"/>
      <c r="C10" s="39"/>
      <c r="D10" s="48">
        <v>1110</v>
      </c>
      <c r="E10" s="28" t="s">
        <v>1420</v>
      </c>
      <c r="F10" s="31"/>
      <c r="G10" s="82" t="str">
        <f>IF(F10=0,"",VLOOKUP(F10,Employés!$A$2:$B$186,2,0))</f>
        <v/>
      </c>
      <c r="H10" s="82"/>
      <c r="I10" s="35"/>
      <c r="J10" s="29"/>
      <c r="K10" s="19"/>
      <c r="L10" s="20"/>
      <c r="M10" s="37" t="str">
        <f>IF(I10=0,"",VLOOKUP(I10,Municipalités!$A$2:$B$1290,2,TRUE))</f>
        <v/>
      </c>
    </row>
    <row r="11" spans="1:13" ht="30" customHeight="1" x14ac:dyDescent="0.25">
      <c r="A11" s="45"/>
      <c r="B11" s="45"/>
      <c r="C11" s="39"/>
      <c r="D11" s="47"/>
      <c r="E11" s="28" t="s">
        <v>1420</v>
      </c>
      <c r="F11" s="31"/>
      <c r="G11" s="82" t="str">
        <f>IF(F11=0,"",VLOOKUP(F11,Employés!$A$2:$B$186,2,0))</f>
        <v/>
      </c>
      <c r="H11" s="82"/>
      <c r="I11" s="35"/>
      <c r="J11" s="29"/>
      <c r="K11" s="19"/>
      <c r="L11" s="20"/>
      <c r="M11" s="37" t="str">
        <f>IF(I11=0,"",VLOOKUP(I11,Municipalités!$A$2:$B$1290,2,TRUE))</f>
        <v/>
      </c>
    </row>
    <row r="12" spans="1:13" ht="30" customHeight="1" x14ac:dyDescent="0.25">
      <c r="A12" s="45"/>
      <c r="B12" s="45"/>
      <c r="C12" s="39"/>
      <c r="D12" s="46"/>
      <c r="E12" s="27"/>
      <c r="F12" s="31"/>
      <c r="G12" s="82" t="str">
        <f>IF(F12=0,"",VLOOKUP(F12,Employés!$A$2:$B$186,2,0))</f>
        <v/>
      </c>
      <c r="H12" s="82"/>
      <c r="I12" s="35"/>
      <c r="J12" s="29"/>
      <c r="K12" s="19"/>
      <c r="L12" s="20"/>
      <c r="M12" s="37" t="str">
        <f>IF(I12=0,"",VLOOKUP(I12,Municipalités!$A$2:$B$1290,2,TRUE))</f>
        <v/>
      </c>
    </row>
    <row r="13" spans="1:13" ht="30" customHeight="1" x14ac:dyDescent="0.25">
      <c r="A13" s="45"/>
      <c r="B13" s="45"/>
      <c r="C13" s="39"/>
      <c r="D13" s="46"/>
      <c r="E13" s="27"/>
      <c r="F13" s="31"/>
      <c r="G13" s="82" t="str">
        <f>IF(F13=0,"",VLOOKUP(F13,Employés!$A$2:$B$186,2,0))</f>
        <v/>
      </c>
      <c r="H13" s="82"/>
      <c r="I13" s="35"/>
      <c r="J13" s="29"/>
      <c r="K13" s="19"/>
      <c r="L13" s="20"/>
      <c r="M13" s="37" t="str">
        <f>IF(I13=0,"",VLOOKUP(I13,Municipalités!$A$2:$B$1290,2,TRUE))</f>
        <v/>
      </c>
    </row>
    <row r="14" spans="1:13" ht="30" customHeight="1" x14ac:dyDescent="0.25">
      <c r="A14" s="45"/>
      <c r="B14" s="45"/>
      <c r="C14" s="39"/>
      <c r="D14" s="47"/>
      <c r="E14" s="27"/>
      <c r="F14" s="31"/>
      <c r="G14" s="82" t="str">
        <f>IF(F14=0,"",VLOOKUP(F14,Employés!$A$2:$B$186,2,0))</f>
        <v/>
      </c>
      <c r="H14" s="82"/>
      <c r="I14" s="35"/>
      <c r="J14" s="29"/>
      <c r="K14" s="19"/>
      <c r="L14" s="20"/>
      <c r="M14" s="37" t="str">
        <f>IF(I14=0,"",VLOOKUP(I14,Municipalités!$A$2:$B$1290,2,TRUE))</f>
        <v/>
      </c>
    </row>
    <row r="15" spans="1:13" ht="30" customHeight="1" x14ac:dyDescent="0.25">
      <c r="A15" s="45"/>
      <c r="B15" s="45"/>
      <c r="C15" s="39"/>
      <c r="D15" s="47"/>
      <c r="E15" s="27"/>
      <c r="F15" s="31"/>
      <c r="G15" s="82" t="str">
        <f>IF(F15=0,"",VLOOKUP(F15,Employés!$A$2:$B$186,2,0))</f>
        <v/>
      </c>
      <c r="H15" s="82"/>
      <c r="I15" s="35"/>
      <c r="J15" s="29"/>
      <c r="K15" s="19"/>
      <c r="L15" s="20"/>
      <c r="M15" s="37" t="str">
        <f>IF(I15=0,"",VLOOKUP(I15,Municipalités!$A$2:$B$1290,2,TRUE))</f>
        <v/>
      </c>
    </row>
    <row r="16" spans="1:13" ht="30" customHeight="1" x14ac:dyDescent="0.25">
      <c r="A16" s="45"/>
      <c r="B16" s="45"/>
      <c r="C16" s="39"/>
      <c r="D16" s="46"/>
      <c r="E16" s="27"/>
      <c r="F16" s="31"/>
      <c r="G16" s="82" t="str">
        <f>IF(F16=0,"",VLOOKUP(F16,Employés!$A$2:$B$186,2,0))</f>
        <v/>
      </c>
      <c r="H16" s="82"/>
      <c r="I16" s="35"/>
      <c r="J16" s="29"/>
      <c r="K16" s="19"/>
      <c r="L16" s="20"/>
      <c r="M16" s="37" t="str">
        <f>IF(I16=0,"",VLOOKUP(I16,Municipalités!$A$2:$B$1290,2,TRUE))</f>
        <v/>
      </c>
    </row>
    <row r="17" spans="1:13" ht="30" customHeight="1" x14ac:dyDescent="0.25">
      <c r="A17" s="45"/>
      <c r="B17" s="45"/>
      <c r="C17" s="39"/>
      <c r="D17" s="46"/>
      <c r="E17" s="27"/>
      <c r="F17" s="31"/>
      <c r="G17" s="82" t="str">
        <f>IF(F17=0,"",VLOOKUP(F17,Employés!$A$2:$B$186,2,0))</f>
        <v/>
      </c>
      <c r="H17" s="82"/>
      <c r="I17" s="35"/>
      <c r="J17" s="29"/>
      <c r="K17" s="19"/>
      <c r="L17" s="20"/>
      <c r="M17" s="37" t="str">
        <f>IF(I17=0,"",VLOOKUP(I17,Municipalités!$A$2:$B$1290,2,TRUE))</f>
        <v/>
      </c>
    </row>
    <row r="18" spans="1:13" ht="30" customHeight="1" x14ac:dyDescent="0.25">
      <c r="A18" s="45"/>
      <c r="B18" s="45"/>
      <c r="C18" s="39"/>
      <c r="D18" s="46"/>
      <c r="E18" s="27"/>
      <c r="F18" s="31"/>
      <c r="G18" s="82" t="str">
        <f>IF(F18=0,"",VLOOKUP(F18,Employés!$A$2:$B$186,2,0))</f>
        <v/>
      </c>
      <c r="H18" s="82"/>
      <c r="I18" s="35"/>
      <c r="J18" s="29"/>
      <c r="K18" s="19"/>
      <c r="L18" s="20"/>
      <c r="M18" s="37" t="str">
        <f>IF(I18=0,"",VLOOKUP(I18,Municipalités!$A$2:$B$1290,2,TRUE))</f>
        <v/>
      </c>
    </row>
    <row r="19" spans="1:13" ht="30" customHeight="1" x14ac:dyDescent="0.25">
      <c r="A19" s="45"/>
      <c r="B19" s="45"/>
      <c r="C19" s="39"/>
      <c r="D19" s="46"/>
      <c r="E19" s="27"/>
      <c r="F19" s="31"/>
      <c r="G19" s="82" t="str">
        <f>IF(F19=0,"",VLOOKUP(F19,Employés!$A$2:$B$186,2,0))</f>
        <v/>
      </c>
      <c r="H19" s="82"/>
      <c r="I19" s="35"/>
      <c r="J19" s="29"/>
      <c r="K19" s="19"/>
      <c r="L19" s="20"/>
      <c r="M19" s="37" t="str">
        <f>IF(I19=0,"",VLOOKUP(I19,Municipalités!$A$2:$B$1290,2,TRUE))</f>
        <v/>
      </c>
    </row>
    <row r="20" spans="1:13" ht="30" customHeight="1" x14ac:dyDescent="0.25">
      <c r="A20" s="45"/>
      <c r="B20" s="45"/>
      <c r="C20" s="39"/>
      <c r="D20" s="47"/>
      <c r="E20" s="27"/>
      <c r="F20" s="31"/>
      <c r="G20" s="82" t="str">
        <f>IF(F20=0,"",VLOOKUP(F20,Employés!$A$2:$B$186,2,0))</f>
        <v/>
      </c>
      <c r="H20" s="82"/>
      <c r="I20" s="35"/>
      <c r="J20" s="29"/>
      <c r="K20" s="19"/>
      <c r="L20" s="20"/>
      <c r="M20" s="37" t="str">
        <f>IF(I20=0,"",VLOOKUP(I20,Municipalités!$A$2:$B$1290,2,TRUE))</f>
        <v/>
      </c>
    </row>
    <row r="21" spans="1:13" ht="30" customHeight="1" x14ac:dyDescent="0.25">
      <c r="A21" s="45"/>
      <c r="B21" s="45"/>
      <c r="C21" s="39"/>
      <c r="D21" s="47"/>
      <c r="E21" s="27"/>
      <c r="F21" s="31"/>
      <c r="G21" s="82" t="str">
        <f>IF(F21=0,"",VLOOKUP(F21,Employés!$A$2:$B$186,2,0))</f>
        <v/>
      </c>
      <c r="H21" s="82"/>
      <c r="I21" s="35"/>
      <c r="J21" s="29"/>
      <c r="K21" s="19"/>
      <c r="L21" s="20"/>
      <c r="M21" s="37" t="str">
        <f>IF(I21=0,"",VLOOKUP(I21,Municipalités!$A$2:$B$1290,2,TRUE))</f>
        <v/>
      </c>
    </row>
    <row r="22" spans="1:13" ht="30" customHeight="1" x14ac:dyDescent="0.25">
      <c r="A22" s="45"/>
      <c r="B22" s="45"/>
      <c r="C22" s="39"/>
      <c r="D22" s="46"/>
      <c r="E22" s="27"/>
      <c r="F22" s="31"/>
      <c r="G22" s="82" t="str">
        <f>IF(F22=0,"",VLOOKUP(F22,Employés!$A$2:$B$186,2,0))</f>
        <v/>
      </c>
      <c r="H22" s="82"/>
      <c r="I22" s="35"/>
      <c r="J22" s="29"/>
      <c r="K22" s="19"/>
      <c r="L22" s="20"/>
      <c r="M22" s="37" t="str">
        <f>IF(I22=0,"",VLOOKUP(I22,Municipalités!$A$2:$B$1290,2,TRUE))</f>
        <v/>
      </c>
    </row>
    <row r="23" spans="1:13" ht="30" customHeight="1" x14ac:dyDescent="0.25">
      <c r="A23" s="45"/>
      <c r="B23" s="45"/>
      <c r="C23" s="39"/>
      <c r="D23" s="46"/>
      <c r="E23" s="27"/>
      <c r="F23" s="31"/>
      <c r="G23" s="82" t="str">
        <f>IF(F23=0,"",VLOOKUP(F23,Employés!$A$2:$B$186,2,0))</f>
        <v/>
      </c>
      <c r="H23" s="82"/>
      <c r="I23" s="35"/>
      <c r="J23" s="29"/>
      <c r="K23" s="19"/>
      <c r="L23" s="20"/>
      <c r="M23" s="37" t="str">
        <f>IF(I23=0,"",VLOOKUP(I23,Municipalités!$A$2:$B$1290,2,TRUE))</f>
        <v/>
      </c>
    </row>
    <row r="24" spans="1:13" ht="30" customHeight="1" x14ac:dyDescent="0.25">
      <c r="A24" s="45"/>
      <c r="B24" s="45"/>
      <c r="C24" s="39"/>
      <c r="D24" s="46"/>
      <c r="E24" s="27"/>
      <c r="F24" s="31"/>
      <c r="G24" s="82" t="str">
        <f>IF(F24=0,"",VLOOKUP(F24,Employés!$A$2:$B$186,2,0))</f>
        <v/>
      </c>
      <c r="H24" s="82"/>
      <c r="I24" s="35"/>
      <c r="J24" s="29"/>
      <c r="K24" s="19"/>
      <c r="L24" s="20"/>
      <c r="M24" s="37" t="str">
        <f>IF(I24=0,"",VLOOKUP(I24,Municipalités!$A$2:$B$1290,2,TRUE))</f>
        <v/>
      </c>
    </row>
    <row r="25" spans="1:13" ht="30" customHeight="1" x14ac:dyDescent="0.25">
      <c r="A25" s="45"/>
      <c r="B25" s="45"/>
      <c r="C25" s="39"/>
      <c r="D25" s="46"/>
      <c r="E25" s="27"/>
      <c r="F25" s="31"/>
      <c r="G25" s="82" t="str">
        <f>IF(F25=0,"",VLOOKUP(F25,Employés!$A$2:$B$186,2,0))</f>
        <v/>
      </c>
      <c r="H25" s="82"/>
      <c r="I25" s="35"/>
      <c r="J25" s="29"/>
      <c r="K25" s="19"/>
      <c r="L25" s="20"/>
      <c r="M25" s="37" t="str">
        <f>IF(I25=0,"",VLOOKUP(I25,Municipalités!$A$2:$B$1290,2,TRUE))</f>
        <v/>
      </c>
    </row>
    <row r="26" spans="1:13" ht="30" customHeight="1" x14ac:dyDescent="0.25">
      <c r="A26" s="45"/>
      <c r="B26" s="45"/>
      <c r="C26" s="39"/>
      <c r="D26" s="46"/>
      <c r="E26" s="27"/>
      <c r="F26" s="31"/>
      <c r="G26" s="82" t="str">
        <f>IF(F26=0,"",VLOOKUP(F26,Employés!$A$2:$B$186,2,0))</f>
        <v/>
      </c>
      <c r="H26" s="82"/>
      <c r="I26" s="35"/>
      <c r="J26" s="29"/>
      <c r="K26" s="19"/>
      <c r="L26" s="20"/>
      <c r="M26" s="37" t="str">
        <f>IF(I26=0,"",VLOOKUP(I26,Municipalités!$A$2:$B$1290,2,TRUE))</f>
        <v/>
      </c>
    </row>
    <row r="27" spans="1:13" ht="30" customHeight="1" x14ac:dyDescent="0.25">
      <c r="A27" s="45"/>
      <c r="B27" s="45"/>
      <c r="C27" s="39"/>
      <c r="D27" s="46"/>
      <c r="E27" s="27"/>
      <c r="F27" s="31"/>
      <c r="G27" s="82" t="str">
        <f>IF(F27=0,"",VLOOKUP(F27,Employés!$A$2:$B$186,2,0))</f>
        <v/>
      </c>
      <c r="H27" s="82"/>
      <c r="I27" s="35"/>
      <c r="J27" s="29"/>
      <c r="K27" s="19"/>
      <c r="L27" s="20"/>
      <c r="M27" s="37" t="str">
        <f>IF(I27=0,"",VLOOKUP(I27,Municipalités!$A$2:$B$1290,2,TRUE))</f>
        <v/>
      </c>
    </row>
    <row r="28" spans="1:13" ht="30" customHeight="1" x14ac:dyDescent="0.25">
      <c r="A28" s="45"/>
      <c r="B28" s="45"/>
      <c r="C28" s="39"/>
      <c r="D28" s="46"/>
      <c r="E28" s="27"/>
      <c r="F28" s="31"/>
      <c r="G28" s="82" t="str">
        <f>IF(F28=0,"",VLOOKUP(F28,Employés!$A$2:$B$186,2,0))</f>
        <v/>
      </c>
      <c r="H28" s="82"/>
      <c r="I28" s="35"/>
      <c r="J28" s="29"/>
      <c r="K28" s="19"/>
      <c r="L28" s="20"/>
      <c r="M28" s="37" t="str">
        <f>IF(I28=0,"",VLOOKUP(I28,Municipalités!$A$2:$B$1290,2,TRUE))</f>
        <v/>
      </c>
    </row>
    <row r="29" spans="1:13" ht="30" customHeight="1" x14ac:dyDescent="0.25">
      <c r="A29" s="45"/>
      <c r="B29" s="45"/>
      <c r="C29" s="39"/>
      <c r="D29" s="46"/>
      <c r="E29" s="27"/>
      <c r="F29" s="31"/>
      <c r="G29" s="82" t="str">
        <f>IF(F29=0,"",VLOOKUP(F29,Employés!$A$2:$B$186,2,0))</f>
        <v/>
      </c>
      <c r="H29" s="82"/>
      <c r="I29" s="35"/>
      <c r="J29" s="29"/>
      <c r="K29" s="19"/>
      <c r="L29" s="20"/>
      <c r="M29" s="37" t="str">
        <f>IF(I29=0,"",VLOOKUP(I29,Municipalités!$A$2:$B$1290,2,TRUE))</f>
        <v/>
      </c>
    </row>
    <row r="30" spans="1:13" ht="30" customHeight="1" x14ac:dyDescent="0.25">
      <c r="A30" s="45"/>
      <c r="B30" s="45"/>
      <c r="C30" s="39"/>
      <c r="D30" s="46"/>
      <c r="E30" s="27"/>
      <c r="F30" s="31"/>
      <c r="G30" s="82" t="str">
        <f>IF(F30=0,"",VLOOKUP(F30,Employés!$A$2:$B$186,2,0))</f>
        <v/>
      </c>
      <c r="H30" s="82"/>
      <c r="I30" s="35"/>
      <c r="J30" s="29"/>
      <c r="K30" s="19"/>
      <c r="L30" s="20"/>
      <c r="M30" s="37" t="str">
        <f>IF(I30=0,"",VLOOKUP(I30,Municipalités!$A$2:$B$1290,2,TRUE))</f>
        <v/>
      </c>
    </row>
    <row r="31" spans="1:13" ht="30" customHeight="1" x14ac:dyDescent="0.25">
      <c r="A31" s="45"/>
      <c r="B31" s="45"/>
      <c r="C31" s="39"/>
      <c r="D31" s="47"/>
      <c r="E31" s="27"/>
      <c r="F31" s="31"/>
      <c r="G31" s="82" t="str">
        <f>IF(F31=0,"",VLOOKUP(F31,Employés!$A$2:$B$186,2,0))</f>
        <v/>
      </c>
      <c r="H31" s="82"/>
      <c r="I31" s="35"/>
      <c r="J31" s="29"/>
      <c r="K31" s="19"/>
      <c r="L31" s="20"/>
      <c r="M31" s="37" t="str">
        <f>IF(I31=0,"",VLOOKUP(I31,Municipalités!$A$2:$B$1290,2,TRUE))</f>
        <v/>
      </c>
    </row>
    <row r="32" spans="1:13" ht="30" customHeight="1" x14ac:dyDescent="0.25">
      <c r="A32" s="45"/>
      <c r="B32" s="45"/>
      <c r="C32" s="39"/>
      <c r="D32" s="46"/>
      <c r="E32" s="27"/>
      <c r="F32" s="31"/>
      <c r="G32" s="82" t="str">
        <f>IF(F32=0,"",VLOOKUP(F32,Employés!$A$2:$B$186,2,0))</f>
        <v/>
      </c>
      <c r="H32" s="82"/>
      <c r="I32" s="35"/>
      <c r="J32" s="29"/>
      <c r="K32" s="19"/>
      <c r="L32" s="20"/>
      <c r="M32" s="37" t="str">
        <f>IF(I32=0,"",VLOOKUP(I32,Municipalités!$A$2:$B$1290,2,TRUE))</f>
        <v/>
      </c>
    </row>
    <row r="33" spans="1:13" ht="30" customHeight="1" x14ac:dyDescent="0.25">
      <c r="A33" s="45"/>
      <c r="B33" s="45"/>
      <c r="C33" s="39"/>
      <c r="D33" s="46"/>
      <c r="E33" s="27"/>
      <c r="F33" s="31"/>
      <c r="G33" s="82" t="str">
        <f>IF(F33=0,"",VLOOKUP(F33,Employés!$A$2:$B$186,2,0))</f>
        <v/>
      </c>
      <c r="H33" s="82"/>
      <c r="I33" s="35"/>
      <c r="J33" s="29"/>
      <c r="K33" s="19"/>
      <c r="L33" s="20"/>
      <c r="M33" s="37" t="str">
        <f>IF(I33=0,"",VLOOKUP(I33,Municipalités!$A$2:$B$1290,2,TRUE))</f>
        <v/>
      </c>
    </row>
    <row r="34" spans="1:13" ht="30" customHeight="1" x14ac:dyDescent="0.25">
      <c r="A34" s="45"/>
      <c r="B34" s="45"/>
      <c r="C34" s="39"/>
      <c r="D34" s="46"/>
      <c r="E34" s="27"/>
      <c r="F34" s="31"/>
      <c r="G34" s="82" t="str">
        <f>IF(F34=0,"",VLOOKUP(F34,Employés!$A$2:$B$186,2,0))</f>
        <v/>
      </c>
      <c r="H34" s="82"/>
      <c r="I34" s="35"/>
      <c r="J34" s="29"/>
      <c r="K34" s="19"/>
      <c r="L34" s="20"/>
      <c r="M34" s="37" t="str">
        <f>IF(I34=0,"",VLOOKUP(I34,Municipalités!$A$2:$B$1290,2,TRUE))</f>
        <v/>
      </c>
    </row>
    <row r="35" spans="1:13" ht="30" customHeight="1" x14ac:dyDescent="0.25">
      <c r="A35" s="45"/>
      <c r="B35" s="45"/>
      <c r="C35" s="30"/>
      <c r="D35" s="46"/>
      <c r="E35" s="27"/>
      <c r="F35" s="31"/>
      <c r="G35" s="82" t="str">
        <f>IF(F35=0,"",VLOOKUP(F35,Employés!$A$2:$B$186,2,0))</f>
        <v/>
      </c>
      <c r="H35" s="82"/>
      <c r="I35" s="35"/>
      <c r="J35" s="29"/>
      <c r="K35" s="19"/>
      <c r="L35" s="20"/>
      <c r="M35" s="37" t="str">
        <f>IF(I35=0,"",VLOOKUP(I35,Municipalités!$A$2:$B$1290,2,TRUE))</f>
        <v/>
      </c>
    </row>
    <row r="36" spans="1:13" ht="30" customHeight="1" x14ac:dyDescent="0.25">
      <c r="A36" s="45"/>
      <c r="B36" s="45"/>
      <c r="C36" s="30"/>
      <c r="D36" s="46"/>
      <c r="E36" s="27"/>
      <c r="F36" s="31"/>
      <c r="G36" s="82" t="str">
        <f>IF(F36=0,"",VLOOKUP(F36,Employés!$A$2:$B$186,2,0))</f>
        <v/>
      </c>
      <c r="H36" s="82"/>
      <c r="I36" s="35"/>
      <c r="J36" s="29"/>
      <c r="K36" s="19"/>
      <c r="L36" s="20"/>
      <c r="M36" s="37" t="str">
        <f>IF(I36=0,"",VLOOKUP(I36,Municipalités!$A$2:$B$1290,2,TRUE))</f>
        <v/>
      </c>
    </row>
    <row r="37" spans="1:13" ht="30" customHeight="1" x14ac:dyDescent="0.25">
      <c r="A37" s="45"/>
      <c r="B37" s="45"/>
      <c r="C37" s="39"/>
      <c r="D37" s="46"/>
      <c r="E37" s="27"/>
      <c r="F37" s="31"/>
      <c r="G37" s="82" t="str">
        <f>IF(F37=0,"",VLOOKUP(F37,Employés!$A$2:$B$186,2,0))</f>
        <v/>
      </c>
      <c r="H37" s="82"/>
      <c r="I37" s="35"/>
      <c r="J37" s="29"/>
      <c r="K37" s="19"/>
      <c r="L37" s="20"/>
      <c r="M37" s="37" t="str">
        <f>IF(I37=0,"",VLOOKUP(I37,Municipalités!$A$2:$B$1290,2,TRUE))</f>
        <v/>
      </c>
    </row>
    <row r="38" spans="1:13" ht="30" customHeight="1" x14ac:dyDescent="0.25">
      <c r="A38" s="45"/>
      <c r="B38" s="45"/>
      <c r="C38" s="39"/>
      <c r="D38" s="47"/>
      <c r="E38" s="27"/>
      <c r="F38" s="31"/>
      <c r="G38" s="82" t="str">
        <f>IF(F38=0,"",VLOOKUP(F38,Employés!$A$2:$B$186,2,0))</f>
        <v/>
      </c>
      <c r="H38" s="82"/>
      <c r="I38" s="35"/>
      <c r="J38" s="29"/>
      <c r="K38" s="19"/>
      <c r="L38" s="20"/>
      <c r="M38" s="37" t="str">
        <f>IF(I38=0,"",VLOOKUP(I38,Municipalités!$A$2:$B$1290,2,TRUE))</f>
        <v/>
      </c>
    </row>
    <row r="39" spans="1:13" ht="30" customHeight="1" x14ac:dyDescent="0.25">
      <c r="A39" s="45"/>
      <c r="B39" s="45"/>
      <c r="C39" s="39"/>
      <c r="D39" s="45"/>
      <c r="E39" s="27"/>
      <c r="F39" s="31"/>
      <c r="G39" s="82" t="str">
        <f>IF(F39=0,"",VLOOKUP(F39,Employés!$A$2:$B$186,2,0))</f>
        <v/>
      </c>
      <c r="H39" s="82"/>
      <c r="I39" s="35"/>
      <c r="J39" s="29"/>
      <c r="K39" s="26"/>
      <c r="L39" s="25"/>
      <c r="M39" s="37" t="str">
        <f>IF(I39=0,"",VLOOKUP(I39,Municipalités!$A$2:$B$1290,2,TRUE))</f>
        <v/>
      </c>
    </row>
    <row r="40" spans="1:13" ht="30" customHeight="1" x14ac:dyDescent="0.25">
      <c r="A40" s="8"/>
      <c r="B40" s="8"/>
      <c r="C40" s="30"/>
      <c r="D40" s="8"/>
      <c r="E40" s="27"/>
      <c r="F40" s="31"/>
      <c r="G40" s="82" t="str">
        <f>IF(F40=0,"",VLOOKUP(F40,Employés!$A$2:$B$186,2,0))</f>
        <v/>
      </c>
      <c r="H40" s="82"/>
      <c r="I40" s="35"/>
      <c r="J40" s="29"/>
      <c r="K40" s="26"/>
      <c r="L40" s="25"/>
      <c r="M40" s="37" t="str">
        <f>IF(I40=0,"",VLOOKUP(I40,Municipalités!$A$2:$B$1290,2,TRUE))</f>
        <v/>
      </c>
    </row>
    <row r="41" spans="1:13" ht="30" customHeight="1" x14ac:dyDescent="0.25">
      <c r="A41" s="8"/>
      <c r="B41" s="8"/>
      <c r="C41" s="30"/>
      <c r="D41" s="8"/>
      <c r="E41" s="27"/>
      <c r="F41" s="31"/>
      <c r="G41" s="82" t="str">
        <f>IF(F41=0,"",VLOOKUP(F41,Employés!$A$2:$B$186,2,0))</f>
        <v/>
      </c>
      <c r="H41" s="82"/>
      <c r="I41" s="35"/>
      <c r="J41" s="29"/>
      <c r="K41" s="26"/>
      <c r="L41" s="25"/>
      <c r="M41" s="37" t="str">
        <f>IF(I41=0,"",VLOOKUP(I41,Municipalités!$A$2:$B$1290,2,TRUE))</f>
        <v/>
      </c>
    </row>
    <row r="42" spans="1:13" ht="30" customHeight="1" x14ac:dyDescent="0.25">
      <c r="A42" s="8"/>
      <c r="B42" s="8"/>
      <c r="C42" s="30"/>
      <c r="D42" s="8"/>
      <c r="E42" s="27"/>
      <c r="F42" s="31"/>
      <c r="G42" s="82" t="str">
        <f>IF(F42=0,"",VLOOKUP(F42,Employés!$A$2:$B$186,2,0))</f>
        <v/>
      </c>
      <c r="H42" s="82"/>
      <c r="I42" s="35"/>
      <c r="J42" s="29"/>
      <c r="K42" s="26"/>
      <c r="L42" s="25"/>
      <c r="M42" s="37" t="str">
        <f>IF(I42=0,"",VLOOKUP(I42,Municipalités!$A$2:$B$1290,2,TRUE))</f>
        <v/>
      </c>
    </row>
    <row r="43" spans="1:13" ht="30" customHeight="1" x14ac:dyDescent="0.25">
      <c r="A43" s="8"/>
      <c r="B43" s="8"/>
      <c r="C43" s="30"/>
      <c r="D43" s="8"/>
      <c r="E43" s="27" t="s">
        <v>1420</v>
      </c>
      <c r="F43" s="31"/>
      <c r="G43" s="82" t="str">
        <f>IF(F43=0,"",VLOOKUP(F43,Employés!$A$2:$B$186,2,0))</f>
        <v/>
      </c>
      <c r="H43" s="82"/>
      <c r="I43" s="35"/>
      <c r="J43" s="29"/>
      <c r="K43" s="26"/>
      <c r="L43" s="25" t="s">
        <v>1420</v>
      </c>
      <c r="M43" s="37" t="str">
        <f>IF(I43=0,"",VLOOKUP(I43,Municipalités!$A$2:$B$1290,2,TRUE))</f>
        <v/>
      </c>
    </row>
    <row r="44" spans="1:13" ht="30" customHeight="1" x14ac:dyDescent="0.25">
      <c r="A44" s="8"/>
      <c r="B44" s="8"/>
      <c r="C44" s="30"/>
      <c r="D44" s="8"/>
      <c r="E44" s="27"/>
      <c r="F44" s="31"/>
      <c r="G44" s="82" t="str">
        <f>IF(F44=0,"",VLOOKUP(F44,Employés!$A$2:$B$186,2,0))</f>
        <v/>
      </c>
      <c r="H44" s="82"/>
      <c r="I44" s="35"/>
      <c r="J44" s="29"/>
      <c r="K44" s="26"/>
      <c r="L44" s="25"/>
      <c r="M44" s="37" t="str">
        <f>IF(I44=0,"",VLOOKUP(I44,Municipalités!$A$2:$B$1290,2,TRUE))</f>
        <v/>
      </c>
    </row>
    <row r="45" spans="1:13" ht="30" customHeight="1" x14ac:dyDescent="0.25">
      <c r="A45" s="8"/>
      <c r="B45" s="8"/>
      <c r="C45" s="30"/>
      <c r="D45" s="8"/>
      <c r="E45" s="27"/>
      <c r="F45" s="31"/>
      <c r="G45" s="82" t="str">
        <f>IF(F45=0,"",VLOOKUP(F45,Employés!$A$2:$B$186,2,0))</f>
        <v/>
      </c>
      <c r="H45" s="82"/>
      <c r="I45" s="35"/>
      <c r="J45" s="29"/>
      <c r="K45" s="26"/>
      <c r="L45" s="25"/>
      <c r="M45" s="37" t="str">
        <f>IF(I45=0,"",VLOOKUP(I45,Municipalités!$A$2:$B$1290,2,TRUE))</f>
        <v/>
      </c>
    </row>
    <row r="46" spans="1:13" ht="30" customHeight="1" x14ac:dyDescent="0.25">
      <c r="A46" s="8"/>
      <c r="B46" s="8"/>
      <c r="C46" s="30"/>
      <c r="D46" s="8"/>
      <c r="E46" s="27"/>
      <c r="F46" s="31"/>
      <c r="G46" s="82" t="str">
        <f>IF(F46=0,"",VLOOKUP(F46,Employés!$A$2:$B$186,2,0))</f>
        <v/>
      </c>
      <c r="H46" s="82"/>
      <c r="I46" s="35"/>
      <c r="J46" s="29"/>
      <c r="K46" s="26"/>
      <c r="L46" s="25"/>
      <c r="M46" s="37" t="str">
        <f>IF(I46=0,"",VLOOKUP(I46,Municipalités!$A$2:$B$1290,2,TRUE))</f>
        <v/>
      </c>
    </row>
    <row r="47" spans="1:13" ht="30" customHeight="1" x14ac:dyDescent="0.25">
      <c r="A47" s="8"/>
      <c r="B47" s="8"/>
      <c r="C47" s="30"/>
      <c r="D47" s="8"/>
      <c r="E47" s="27"/>
      <c r="F47" s="31"/>
      <c r="G47" s="82" t="str">
        <f>IF(F47=0,"",VLOOKUP(F47,Employés!$A$2:$B$186,2,0))</f>
        <v/>
      </c>
      <c r="H47" s="82"/>
      <c r="I47" s="35"/>
      <c r="J47" s="29"/>
      <c r="K47" s="26"/>
      <c r="L47" s="25"/>
      <c r="M47" s="37" t="str">
        <f>IF(I47=0,"",VLOOKUP(I47,Municipalités!$A$2:$B$1290,2,TRUE))</f>
        <v/>
      </c>
    </row>
    <row r="48" spans="1:13" ht="30" customHeight="1" x14ac:dyDescent="0.25">
      <c r="A48" s="8"/>
      <c r="B48" s="8"/>
      <c r="C48" s="30"/>
      <c r="D48" s="8"/>
      <c r="E48" s="27"/>
      <c r="F48" s="31"/>
      <c r="G48" s="82" t="str">
        <f>IF(F48=0,"",VLOOKUP(F48,Employés!$A$2:$B$186,2,0))</f>
        <v/>
      </c>
      <c r="H48" s="82"/>
      <c r="I48" s="35"/>
      <c r="J48" s="29"/>
      <c r="K48" s="26"/>
      <c r="L48" s="25"/>
      <c r="M48" s="37" t="str">
        <f>IF(I48=0,"",VLOOKUP(I48,Municipalités!$A$2:$B$1290,2,TRUE))</f>
        <v/>
      </c>
    </row>
    <row r="49" spans="1:13" ht="30" customHeight="1" x14ac:dyDescent="0.25">
      <c r="A49" s="8"/>
      <c r="B49" s="8"/>
      <c r="C49" s="30"/>
      <c r="D49" s="8"/>
      <c r="E49" s="27"/>
      <c r="F49" s="31"/>
      <c r="G49" s="82" t="str">
        <f>IF(F49=0,"",VLOOKUP(F49,Employés!$A$2:$B$186,2,0))</f>
        <v/>
      </c>
      <c r="H49" s="82"/>
      <c r="I49" s="35"/>
      <c r="J49" s="29"/>
      <c r="K49" s="26"/>
      <c r="L49" s="25"/>
      <c r="M49" s="37" t="str">
        <f>IF(I49=0,"",VLOOKUP(I49,Municipalités!$A$2:$B$1290,2,TRUE))</f>
        <v/>
      </c>
    </row>
    <row r="50" spans="1:13" ht="30" customHeight="1" x14ac:dyDescent="0.25">
      <c r="A50" s="8"/>
      <c r="B50" s="8"/>
      <c r="C50" s="30"/>
      <c r="D50" s="8"/>
      <c r="E50" s="27"/>
      <c r="F50" s="31"/>
      <c r="G50" s="82" t="str">
        <f>IF(F50=0,"",VLOOKUP(F50,Employés!$A$2:$B$186,2,0))</f>
        <v/>
      </c>
      <c r="H50" s="82"/>
      <c r="I50" s="35"/>
      <c r="J50" s="29"/>
      <c r="K50" s="26"/>
      <c r="L50" s="25"/>
      <c r="M50" s="37" t="str">
        <f>IF(I50=0,"",VLOOKUP(I50,Municipalités!$A$2:$B$1290,2,TRUE))</f>
        <v/>
      </c>
    </row>
    <row r="51" spans="1:13" ht="30" customHeight="1" x14ac:dyDescent="0.25">
      <c r="A51" s="8"/>
      <c r="B51" s="8"/>
      <c r="C51" s="30"/>
      <c r="D51" s="8"/>
      <c r="E51" s="27"/>
      <c r="F51" s="31"/>
      <c r="G51" s="82" t="str">
        <f>IF(F51=0,"",VLOOKUP(F51,Employés!$A$2:$B$186,2,0))</f>
        <v/>
      </c>
      <c r="H51" s="82"/>
      <c r="I51" s="35"/>
      <c r="J51" s="29"/>
      <c r="K51" s="26"/>
      <c r="L51" s="25"/>
      <c r="M51" s="37" t="str">
        <f>IF(I51=0,"",VLOOKUP(I51,Municipalités!$A$2:$B$1290,2,TRUE))</f>
        <v/>
      </c>
    </row>
    <row r="52" spans="1:13" ht="30" customHeight="1" x14ac:dyDescent="0.25">
      <c r="A52" s="8"/>
      <c r="B52" s="8"/>
      <c r="C52" s="30"/>
      <c r="D52" s="8"/>
      <c r="E52" s="27"/>
      <c r="F52" s="31"/>
      <c r="G52" s="82" t="str">
        <f>IF(F52=0,"",VLOOKUP(F52,Employés!$A$2:$B$186,2,0))</f>
        <v/>
      </c>
      <c r="H52" s="82"/>
      <c r="I52" s="35"/>
      <c r="J52" s="29"/>
      <c r="K52" s="26"/>
      <c r="L52" s="25"/>
      <c r="M52" s="37" t="str">
        <f>IF(I52=0,"",VLOOKUP(I52,Municipalités!$A$2:$B$1290,2,TRUE))</f>
        <v/>
      </c>
    </row>
    <row r="53" spans="1:13" ht="30" customHeight="1" x14ac:dyDescent="0.25">
      <c r="A53" s="8"/>
      <c r="B53" s="8"/>
      <c r="C53" s="30"/>
      <c r="D53" s="8"/>
      <c r="E53" s="27"/>
      <c r="F53" s="31"/>
      <c r="G53" s="82" t="str">
        <f>IF(F53=0,"",VLOOKUP(F53,Employés!$A$2:$B$186,2,0))</f>
        <v/>
      </c>
      <c r="H53" s="82"/>
      <c r="I53" s="35"/>
      <c r="J53" s="29"/>
      <c r="K53" s="26"/>
      <c r="L53" s="25"/>
      <c r="M53" s="37" t="str">
        <f>IF(I53=0,"",VLOOKUP(I53,Municipalités!$A$2:$B$1290,2,TRUE))</f>
        <v/>
      </c>
    </row>
    <row r="54" spans="1:13" ht="30" customHeight="1" x14ac:dyDescent="0.25">
      <c r="A54" s="8"/>
      <c r="B54" s="8"/>
      <c r="C54" s="30"/>
      <c r="D54" s="8"/>
      <c r="E54" s="27"/>
      <c r="F54" s="31"/>
      <c r="G54" s="82" t="str">
        <f>IF(F54=0,"",VLOOKUP(F54,Employés!$A$2:$B$186,2,0))</f>
        <v/>
      </c>
      <c r="H54" s="82"/>
      <c r="I54" s="35"/>
      <c r="J54" s="29"/>
      <c r="K54" s="26"/>
      <c r="L54" s="25"/>
      <c r="M54" s="37" t="str">
        <f>IF(I54=0,"",VLOOKUP(I54,Municipalités!$A$2:$B$1290,2,TRUE))</f>
        <v/>
      </c>
    </row>
    <row r="55" spans="1:13" ht="30" customHeight="1" x14ac:dyDescent="0.25">
      <c r="A55" s="8"/>
      <c r="B55" s="8"/>
      <c r="C55" s="30"/>
      <c r="D55" s="8"/>
      <c r="E55" s="27"/>
      <c r="F55" s="31"/>
      <c r="G55" s="82" t="str">
        <f>IF(F55=0,"",VLOOKUP(F55,Employés!$A$2:$B$186,2,0))</f>
        <v/>
      </c>
      <c r="H55" s="82"/>
      <c r="I55" s="35"/>
      <c r="J55" s="29"/>
      <c r="K55" s="26"/>
      <c r="L55" s="25"/>
      <c r="M55" s="37" t="str">
        <f>IF(I55=0,"",VLOOKUP(I55,Municipalités!$A$2:$B$1290,2,TRUE))</f>
        <v/>
      </c>
    </row>
    <row r="56" spans="1:13" ht="30" customHeight="1" x14ac:dyDescent="0.25">
      <c r="A56" s="8"/>
      <c r="B56" s="8"/>
      <c r="C56" s="30"/>
      <c r="D56" s="8"/>
      <c r="E56" s="27"/>
      <c r="F56" s="31"/>
      <c r="G56" s="82" t="str">
        <f>IF(F56=0,"",VLOOKUP(F56,Employés!$A$2:$B$186,2,0))</f>
        <v/>
      </c>
      <c r="H56" s="82"/>
      <c r="I56" s="35"/>
      <c r="J56" s="29"/>
      <c r="K56" s="26"/>
      <c r="L56" s="25"/>
      <c r="M56" s="37" t="str">
        <f>IF(I56=0,"",VLOOKUP(I56,Municipalités!$A$2:$B$1290,2,TRUE))</f>
        <v/>
      </c>
    </row>
    <row r="57" spans="1:13" ht="30" customHeight="1" x14ac:dyDescent="0.25">
      <c r="A57" s="8"/>
      <c r="B57" s="8"/>
      <c r="C57" s="30"/>
      <c r="D57" s="8"/>
      <c r="E57" s="27"/>
      <c r="F57" s="31"/>
      <c r="G57" s="82" t="str">
        <f>IF(F57=0,"",VLOOKUP(F57,Employés!$A$2:$B$186,2,0))</f>
        <v/>
      </c>
      <c r="H57" s="82"/>
      <c r="I57" s="35"/>
      <c r="J57" s="29"/>
      <c r="K57" s="26"/>
      <c r="L57" s="25"/>
      <c r="M57" s="37" t="str">
        <f>IF(I57=0,"",VLOOKUP(I57,Municipalités!$A$2:$B$1290,2,TRUE))</f>
        <v/>
      </c>
    </row>
    <row r="58" spans="1:13" ht="30" customHeight="1" x14ac:dyDescent="0.25">
      <c r="A58" s="8"/>
      <c r="B58" s="8"/>
      <c r="C58" s="30"/>
      <c r="D58" s="8"/>
      <c r="E58" s="27"/>
      <c r="F58" s="31"/>
      <c r="G58" s="82" t="str">
        <f>IF(F58=0,"",VLOOKUP(F58,Employés!$A$2:$B$186,2,0))</f>
        <v/>
      </c>
      <c r="H58" s="82"/>
      <c r="I58" s="35"/>
      <c r="J58" s="29"/>
      <c r="K58" s="26"/>
      <c r="L58" s="25"/>
      <c r="M58" s="37" t="str">
        <f>IF(I58=0,"",VLOOKUP(I58,Municipalités!$A$2:$B$1290,2,TRUE))</f>
        <v/>
      </c>
    </row>
    <row r="59" spans="1:13" ht="30" customHeight="1" x14ac:dyDescent="0.25">
      <c r="A59" s="8"/>
      <c r="B59" s="8"/>
      <c r="C59" s="30"/>
      <c r="D59" s="8"/>
      <c r="E59" s="27"/>
      <c r="F59" s="31"/>
      <c r="G59" s="82" t="str">
        <f>IF(F59=0,"",VLOOKUP(F59,Employés!$A$2:$B$186,2,0))</f>
        <v/>
      </c>
      <c r="H59" s="82"/>
      <c r="I59" s="35"/>
      <c r="J59" s="29"/>
      <c r="K59" s="26"/>
      <c r="L59" s="25"/>
      <c r="M59" s="37" t="str">
        <f>IF(I59=0,"",VLOOKUP(I59,Municipalités!$A$2:$B$1290,2,TRUE))</f>
        <v/>
      </c>
    </row>
    <row r="60" spans="1:13" ht="30" customHeight="1" x14ac:dyDescent="0.25">
      <c r="A60" s="8"/>
      <c r="B60" s="8"/>
      <c r="C60" s="30"/>
      <c r="D60" s="8"/>
      <c r="E60" s="27"/>
      <c r="F60" s="31"/>
      <c r="G60" s="82" t="str">
        <f>IF(F60=0,"",VLOOKUP(F60,Employés!$A$2:$B$186,2,0))</f>
        <v/>
      </c>
      <c r="H60" s="82"/>
      <c r="I60" s="35"/>
      <c r="J60" s="29"/>
      <c r="K60" s="26"/>
      <c r="L60" s="25"/>
      <c r="M60" s="37" t="str">
        <f>IF(I60=0,"",VLOOKUP(I60,Municipalités!$A$2:$B$1290,2,TRUE))</f>
        <v/>
      </c>
    </row>
    <row r="61" spans="1:13" ht="30" customHeight="1" x14ac:dyDescent="0.25">
      <c r="A61" s="8"/>
      <c r="B61" s="8"/>
      <c r="C61" s="30"/>
      <c r="D61" s="8"/>
      <c r="E61" s="27"/>
      <c r="F61" s="31"/>
      <c r="G61" s="82" t="str">
        <f>IF(F61=0,"",VLOOKUP(F61,Employés!$A$2:$B$186,2,0))</f>
        <v/>
      </c>
      <c r="H61" s="82"/>
      <c r="I61" s="35"/>
      <c r="J61" s="29"/>
      <c r="K61" s="26"/>
      <c r="L61" s="25"/>
      <c r="M61" s="37" t="str">
        <f>IF(I61=0,"",VLOOKUP(I61,Municipalités!$A$2:$B$1290,2,TRUE))</f>
        <v/>
      </c>
    </row>
    <row r="62" spans="1:13" x14ac:dyDescent="0.25">
      <c r="C62" s="14"/>
    </row>
    <row r="63" spans="1:13" x14ac:dyDescent="0.25">
      <c r="C63" s="14"/>
    </row>
    <row r="64" spans="1:13" x14ac:dyDescent="0.25">
      <c r="C64" s="14"/>
    </row>
    <row r="65" spans="3:5" x14ac:dyDescent="0.25">
      <c r="C65" s="14"/>
    </row>
    <row r="66" spans="3:5" x14ac:dyDescent="0.25">
      <c r="C66" s="14"/>
    </row>
    <row r="67" spans="3:5" x14ac:dyDescent="0.25">
      <c r="C67" s="14"/>
    </row>
    <row r="68" spans="3:5" x14ac:dyDescent="0.25">
      <c r="C68" s="14"/>
    </row>
    <row r="69" spans="3:5" x14ac:dyDescent="0.25">
      <c r="C69" s="14"/>
    </row>
    <row r="70" spans="3:5" x14ac:dyDescent="0.25">
      <c r="C70" s="14"/>
    </row>
    <row r="71" spans="3:5" x14ac:dyDescent="0.25">
      <c r="C71" s="14"/>
    </row>
    <row r="72" spans="3:5" x14ac:dyDescent="0.25">
      <c r="C72" s="14"/>
    </row>
    <row r="73" spans="3:5" x14ac:dyDescent="0.25">
      <c r="C73" s="14"/>
    </row>
    <row r="74" spans="3:5" x14ac:dyDescent="0.25">
      <c r="C74" s="14"/>
    </row>
    <row r="75" spans="3:5" x14ac:dyDescent="0.25">
      <c r="C75" s="14"/>
    </row>
    <row r="76" spans="3:5" x14ac:dyDescent="0.25">
      <c r="C76" s="14"/>
    </row>
    <row r="77" spans="3:5" x14ac:dyDescent="0.25">
      <c r="C77" s="14"/>
    </row>
    <row r="78" spans="3:5" x14ac:dyDescent="0.25">
      <c r="C78" s="14"/>
      <c r="E78" s="21" t="s">
        <v>1420</v>
      </c>
    </row>
    <row r="79" spans="3:5" x14ac:dyDescent="0.25">
      <c r="C79" s="14"/>
    </row>
    <row r="80" spans="3:5" x14ac:dyDescent="0.25">
      <c r="C80" s="14"/>
    </row>
    <row r="81" spans="3:3" x14ac:dyDescent="0.25">
      <c r="C81" s="14"/>
    </row>
    <row r="82" spans="3:3" x14ac:dyDescent="0.25">
      <c r="C82" s="14"/>
    </row>
    <row r="83" spans="3:3" x14ac:dyDescent="0.25">
      <c r="C83" s="14"/>
    </row>
    <row r="84" spans="3:3" x14ac:dyDescent="0.25">
      <c r="C84" s="14"/>
    </row>
    <row r="85" spans="3:3" x14ac:dyDescent="0.25">
      <c r="C85" s="14"/>
    </row>
    <row r="86" spans="3:3" x14ac:dyDescent="0.25">
      <c r="C86" s="14"/>
    </row>
    <row r="87" spans="3:3" x14ac:dyDescent="0.25">
      <c r="C87" s="14"/>
    </row>
    <row r="88" spans="3:3" x14ac:dyDescent="0.25">
      <c r="C88" s="14"/>
    </row>
    <row r="89" spans="3:3" x14ac:dyDescent="0.25">
      <c r="C89" s="14"/>
    </row>
    <row r="90" spans="3:3" x14ac:dyDescent="0.25">
      <c r="C90" s="14"/>
    </row>
    <row r="91" spans="3:3" x14ac:dyDescent="0.25">
      <c r="C91" s="14"/>
    </row>
    <row r="92" spans="3:3" x14ac:dyDescent="0.25">
      <c r="C92" s="14"/>
    </row>
    <row r="93" spans="3:3" x14ac:dyDescent="0.25">
      <c r="C93" s="14"/>
    </row>
    <row r="94" spans="3:3" x14ac:dyDescent="0.25">
      <c r="C94" s="14"/>
    </row>
    <row r="95" spans="3:3" x14ac:dyDescent="0.25">
      <c r="C95" s="14"/>
    </row>
    <row r="96" spans="3:3" x14ac:dyDescent="0.25">
      <c r="C96" s="14"/>
    </row>
    <row r="97" spans="3:3" x14ac:dyDescent="0.25">
      <c r="C97" s="14"/>
    </row>
    <row r="98" spans="3:3" x14ac:dyDescent="0.25">
      <c r="C98" s="14"/>
    </row>
  </sheetData>
  <mergeCells count="67">
    <mergeCell ref="G59:H59"/>
    <mergeCell ref="G60:H60"/>
    <mergeCell ref="G61:H61"/>
    <mergeCell ref="G53:H53"/>
    <mergeCell ref="G54:H54"/>
    <mergeCell ref="G55:H55"/>
    <mergeCell ref="G56:H56"/>
    <mergeCell ref="G57:H57"/>
    <mergeCell ref="G58:H58"/>
    <mergeCell ref="G52:H52"/>
    <mergeCell ref="G41:H41"/>
    <mergeCell ref="G42:H42"/>
    <mergeCell ref="G43:H43"/>
    <mergeCell ref="G44:H44"/>
    <mergeCell ref="G45:H45"/>
    <mergeCell ref="G46:H46"/>
    <mergeCell ref="G47:H47"/>
    <mergeCell ref="G48:H48"/>
    <mergeCell ref="G49:H49"/>
    <mergeCell ref="G50:H50"/>
    <mergeCell ref="G51:H51"/>
    <mergeCell ref="G40:H40"/>
    <mergeCell ref="G29:H29"/>
    <mergeCell ref="G30:H30"/>
    <mergeCell ref="G31:H31"/>
    <mergeCell ref="G32:H32"/>
    <mergeCell ref="G33:H33"/>
    <mergeCell ref="G34:H34"/>
    <mergeCell ref="G35:H35"/>
    <mergeCell ref="G36:H36"/>
    <mergeCell ref="G37:H37"/>
    <mergeCell ref="G38:H38"/>
    <mergeCell ref="G39:H39"/>
    <mergeCell ref="G28:H28"/>
    <mergeCell ref="G17:H17"/>
    <mergeCell ref="G18:H18"/>
    <mergeCell ref="G19:H19"/>
    <mergeCell ref="G20:H20"/>
    <mergeCell ref="G21:H21"/>
    <mergeCell ref="G22:H22"/>
    <mergeCell ref="G23:H23"/>
    <mergeCell ref="G24:H24"/>
    <mergeCell ref="G25:H25"/>
    <mergeCell ref="G26:H26"/>
    <mergeCell ref="G27:H27"/>
    <mergeCell ref="M2:M4"/>
    <mergeCell ref="G16:H16"/>
    <mergeCell ref="I6:I7"/>
    <mergeCell ref="J6:J7"/>
    <mergeCell ref="K6:M6"/>
    <mergeCell ref="G8:H8"/>
    <mergeCell ref="G9:H9"/>
    <mergeCell ref="G10:H10"/>
    <mergeCell ref="G11:H11"/>
    <mergeCell ref="G12:H12"/>
    <mergeCell ref="G13:H13"/>
    <mergeCell ref="G14:H14"/>
    <mergeCell ref="G15:H15"/>
    <mergeCell ref="E1:F4"/>
    <mergeCell ref="L1:L2"/>
    <mergeCell ref="A6:A7"/>
    <mergeCell ref="B6:B7"/>
    <mergeCell ref="C6:C7"/>
    <mergeCell ref="D6:D7"/>
    <mergeCell ref="E6:E7"/>
    <mergeCell ref="F6:F7"/>
    <mergeCell ref="G6:H7"/>
  </mergeCells>
  <conditionalFormatting sqref="C16:C21 C23:C45">
    <cfRule type="expression" dxfId="113" priority="7" stopIfTrue="1">
      <formula>#REF!=1</formula>
    </cfRule>
    <cfRule type="expression" priority="8" stopIfTrue="1">
      <formula>#REF!=2</formula>
    </cfRule>
    <cfRule type="expression" dxfId="112" priority="9" stopIfTrue="1">
      <formula>#REF!=3</formula>
    </cfRule>
  </conditionalFormatting>
  <conditionalFormatting sqref="C22">
    <cfRule type="expression" dxfId="111" priority="4" stopIfTrue="1">
      <formula>#REF!=1</formula>
    </cfRule>
    <cfRule type="expression" priority="5" stopIfTrue="1">
      <formula>#REF!=2</formula>
    </cfRule>
    <cfRule type="expression" dxfId="110" priority="6" stopIfTrue="1">
      <formula>#REF!=3</formula>
    </cfRule>
  </conditionalFormatting>
  <conditionalFormatting sqref="C46:C61">
    <cfRule type="expression" dxfId="109" priority="1" stopIfTrue="1">
      <formula>#REF!=1</formula>
    </cfRule>
    <cfRule type="expression" priority="2" stopIfTrue="1">
      <formula>#REF!=2</formula>
    </cfRule>
    <cfRule type="expression" dxfId="108" priority="3" stopIfTrue="1">
      <formula>#REF!=3</formula>
    </cfRule>
  </conditionalFormatting>
  <dataValidations count="2">
    <dataValidation type="textLength" operator="greaterThanOrEqual" allowBlank="1" showInputMessage="1" showErrorMessage="1" errorTitle="Saisie incorrecte" error="Re-saisir le numéro d'entrée en utilisant 3 chiffres_x000a_Ex.: 001" promptTitle="Saisie du numéro d'entrée" prompt="Minimum 3 chiffres_x000a_Ex.: 001" sqref="C8:C39" xr:uid="{00000000-0002-0000-0C00-000000000000}">
      <formula1>3</formula1>
    </dataValidation>
    <dataValidation operator="greaterThan" allowBlank="1" showDropDown="1" showInputMessage="1" showErrorMessage="1" errorTitle="Saisie incorrecte" error="Re-Saisir le numéro de dossier sous le format_x000a_000-000000-000" promptTitle="Saisie du numéro d'événement" prompt="000-000000-000_x000a_Ex. : 071-030901-001" sqref="J8:J39" xr:uid="{00000000-0002-0000-0C00-000001000000}"/>
  </dataValidations>
  <printOptions horizontalCentered="1" verticalCentered="1"/>
  <pageMargins left="0" right="0" top="0.31496062992125984" bottom="0.39370078740157483" header="0.15748031496062992" footer="0.19685039370078741"/>
  <pageSetup paperSize="5" scale="90" orientation="landscape" r:id="rId1"/>
  <headerFooter alignWithMargins="0">
    <oddFooter>&amp;R&amp;8Page &amp;P de &amp;N</oddFooter>
  </headerFooter>
  <drawing r:id="rId2"/>
  <legacyDrawing r:id="rId3"/>
  <controls>
    <mc:AlternateContent xmlns:mc="http://schemas.openxmlformats.org/markup-compatibility/2006">
      <mc:Choice Requires="x14">
        <control shapeId="154627" r:id="rId4" name="ComboBox2">
          <controlPr defaultSize="0" autoLine="0" r:id="rId5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4</xdr:col>
                <xdr:colOff>3048000</xdr:colOff>
                <xdr:row>10</xdr:row>
                <xdr:rowOff>38100</xdr:rowOff>
              </to>
            </anchor>
          </controlPr>
        </control>
      </mc:Choice>
      <mc:Fallback>
        <control shapeId="154627" r:id="rId4" name="ComboBox2"/>
      </mc:Fallback>
    </mc:AlternateContent>
    <mc:AlternateContent xmlns:mc="http://schemas.openxmlformats.org/markup-compatibility/2006">
      <mc:Choice Requires="x14">
        <control shapeId="154626" r:id="rId6" name="ComboBox1">
          <controlPr defaultSize="0" autoLine="0" r:id="rId7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11</xdr:col>
                <xdr:colOff>1803400</xdr:colOff>
                <xdr:row>9</xdr:row>
                <xdr:rowOff>38100</xdr:rowOff>
              </to>
            </anchor>
          </controlPr>
        </control>
      </mc:Choice>
      <mc:Fallback>
        <control shapeId="154626" r:id="rId6" name="ComboBox1"/>
      </mc:Fallback>
    </mc:AlternateContent>
    <mc:AlternateContent xmlns:mc="http://schemas.openxmlformats.org/markup-compatibility/2006">
      <mc:Choice Requires="x14">
        <control shapeId="154625" r:id="rId8" name="Button 1">
          <controlPr defaultSize="0" print="0" autoFill="0" autoPict="0" macro="[0]!test2">
            <anchor moveWithCells="1">
              <from>
                <xdr:col>5</xdr:col>
                <xdr:colOff>222250</xdr:colOff>
                <xdr:row>1</xdr:row>
                <xdr:rowOff>139700</xdr:rowOff>
              </from>
              <to>
                <xdr:col>9</xdr:col>
                <xdr:colOff>1143000</xdr:colOff>
                <xdr:row>4</xdr:row>
                <xdr:rowOff>107950</xdr:rowOff>
              </to>
            </anchor>
          </controlPr>
        </control>
      </mc:Choice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71"/>
  <dimension ref="A1:M98"/>
  <sheetViews>
    <sheetView showGridLines="0" zoomScaleNormal="100" workbookViewId="0">
      <pane xSplit="3" ySplit="7" topLeftCell="D8" activePane="bottomRight" state="frozen"/>
      <selection activeCell="C8" sqref="C8"/>
      <selection pane="topRight" activeCell="C8" sqref="C8"/>
      <selection pane="bottomLeft" activeCell="C8" sqref="C8"/>
      <selection pane="bottomRight" activeCell="M2" sqref="M2:M5"/>
    </sheetView>
  </sheetViews>
  <sheetFormatPr baseColWidth="10" defaultColWidth="11.453125" defaultRowHeight="13" x14ac:dyDescent="0.25"/>
  <cols>
    <col min="1" max="2" width="5.6328125" style="1" customWidth="1"/>
    <col min="3" max="3" width="6.6328125" style="1" customWidth="1"/>
    <col min="4" max="4" width="7.54296875" style="1" customWidth="1"/>
    <col min="5" max="5" width="44.453125" style="21" customWidth="1"/>
    <col min="6" max="6" width="10.54296875" style="1" customWidth="1"/>
    <col min="7" max="7" width="13.90625" style="1" customWidth="1"/>
    <col min="8" max="8" width="4.6328125" style="1" hidden="1" customWidth="1"/>
    <col min="9" max="9" width="6.08984375" style="1" customWidth="1"/>
    <col min="10" max="10" width="26.54296875" style="1" customWidth="1"/>
    <col min="11" max="11" width="7.36328125" style="1" customWidth="1"/>
    <col min="12" max="12" width="27" style="24" customWidth="1"/>
    <col min="13" max="13" width="26" style="1" customWidth="1"/>
    <col min="14" max="16384" width="11.453125" style="1"/>
  </cols>
  <sheetData>
    <row r="1" spans="1:13" ht="12.75" customHeight="1" x14ac:dyDescent="0.25">
      <c r="E1" s="71" t="s">
        <v>1023</v>
      </c>
      <c r="F1" s="72"/>
      <c r="L1" s="73" t="s">
        <v>1021</v>
      </c>
      <c r="M1" s="51" t="s">
        <v>1022</v>
      </c>
    </row>
    <row r="2" spans="1:13" ht="12.75" customHeight="1" x14ac:dyDescent="0.25">
      <c r="E2" s="72"/>
      <c r="F2" s="72"/>
      <c r="L2" s="74"/>
      <c r="M2" s="70">
        <f>'13'!M2:M5+1</f>
        <v>42718</v>
      </c>
    </row>
    <row r="3" spans="1:13" ht="12.75" customHeight="1" x14ac:dyDescent="0.25">
      <c r="E3" s="72"/>
      <c r="F3" s="72"/>
      <c r="L3" s="52"/>
      <c r="M3" s="70"/>
    </row>
    <row r="4" spans="1:13" ht="15.75" customHeight="1" x14ac:dyDescent="0.25">
      <c r="E4" s="72"/>
      <c r="F4" s="72"/>
      <c r="L4" s="49" t="s">
        <v>140</v>
      </c>
      <c r="M4" s="70"/>
    </row>
    <row r="5" spans="1:13" ht="21.9" customHeight="1" thickBot="1" x14ac:dyDescent="0.3">
      <c r="L5" s="36"/>
      <c r="M5" s="69">
        <f>M2</f>
        <v>42718</v>
      </c>
    </row>
    <row r="6" spans="1:13" ht="24.9" customHeight="1" x14ac:dyDescent="0.25">
      <c r="A6" s="75" t="s">
        <v>2351</v>
      </c>
      <c r="B6" s="75" t="s">
        <v>2350</v>
      </c>
      <c r="C6" s="76" t="s">
        <v>1362</v>
      </c>
      <c r="D6" s="75" t="s">
        <v>1153</v>
      </c>
      <c r="E6" s="75" t="s">
        <v>1016</v>
      </c>
      <c r="F6" s="76" t="s">
        <v>2352</v>
      </c>
      <c r="G6" s="76" t="s">
        <v>1017</v>
      </c>
      <c r="H6" s="79"/>
      <c r="I6" s="76" t="s">
        <v>1364</v>
      </c>
      <c r="J6" s="76" t="s">
        <v>1363</v>
      </c>
      <c r="K6" s="83" t="s">
        <v>1018</v>
      </c>
      <c r="L6" s="84"/>
      <c r="M6" s="84"/>
    </row>
    <row r="7" spans="1:13" ht="12.5" x14ac:dyDescent="0.25">
      <c r="A7" s="75"/>
      <c r="B7" s="75"/>
      <c r="C7" s="77"/>
      <c r="D7" s="75"/>
      <c r="E7" s="75"/>
      <c r="F7" s="78"/>
      <c r="G7" s="80"/>
      <c r="H7" s="81"/>
      <c r="I7" s="77"/>
      <c r="J7" s="77"/>
      <c r="K7" s="50" t="s">
        <v>1015</v>
      </c>
      <c r="L7" s="50" t="s">
        <v>1019</v>
      </c>
      <c r="M7" s="32" t="s">
        <v>1020</v>
      </c>
    </row>
    <row r="8" spans="1:13" ht="30" customHeight="1" x14ac:dyDescent="0.25">
      <c r="A8" s="45"/>
      <c r="B8" s="45"/>
      <c r="C8" s="30"/>
      <c r="D8" s="46"/>
      <c r="E8" s="27"/>
      <c r="F8" s="31"/>
      <c r="G8" s="82" t="str">
        <f>IF(F8=0,"",VLOOKUP(F8,Employés!$A$2:$B$186,2,0))</f>
        <v/>
      </c>
      <c r="H8" s="82"/>
      <c r="I8" s="34"/>
      <c r="J8" s="33"/>
      <c r="K8" s="19"/>
      <c r="L8" s="20" t="s">
        <v>1420</v>
      </c>
      <c r="M8" s="37" t="str">
        <f>IF(I8=0,"",VLOOKUP(I8,Municipalités!$A$2:$B$1290,2,TRUE))</f>
        <v/>
      </c>
    </row>
    <row r="9" spans="1:13" ht="30" customHeight="1" x14ac:dyDescent="0.25">
      <c r="A9" s="45"/>
      <c r="B9" s="45"/>
      <c r="C9" s="39"/>
      <c r="D9" s="47"/>
      <c r="E9" s="27"/>
      <c r="F9" s="31"/>
      <c r="G9" s="82" t="str">
        <f>IF(F9=0,"",VLOOKUP(F9,Employés!$A$2:$B$186,2,0))</f>
        <v/>
      </c>
      <c r="H9" s="82"/>
      <c r="I9" s="35"/>
      <c r="J9" s="33"/>
      <c r="K9" s="19"/>
      <c r="L9" s="20"/>
      <c r="M9" s="37" t="str">
        <f>IF(I9=0,"",VLOOKUP(I9,Municipalités!$A$2:$B$1290,2,TRUE))</f>
        <v/>
      </c>
    </row>
    <row r="10" spans="1:13" ht="30" customHeight="1" x14ac:dyDescent="0.25">
      <c r="A10" s="45"/>
      <c r="B10" s="45"/>
      <c r="C10" s="39"/>
      <c r="D10" s="48"/>
      <c r="E10" s="28"/>
      <c r="F10" s="31"/>
      <c r="G10" s="82" t="str">
        <f>IF(F10=0,"",VLOOKUP(F10,Employés!$A$2:$B$186,2,0))</f>
        <v/>
      </c>
      <c r="H10" s="82"/>
      <c r="I10" s="35"/>
      <c r="J10" s="29"/>
      <c r="K10" s="19"/>
      <c r="L10" s="20"/>
      <c r="M10" s="37" t="str">
        <f>IF(I10=0,"",VLOOKUP(I10,Municipalités!$A$2:$B$1290,2,TRUE))</f>
        <v/>
      </c>
    </row>
    <row r="11" spans="1:13" ht="30" customHeight="1" x14ac:dyDescent="0.25">
      <c r="A11" s="45"/>
      <c r="B11" s="45"/>
      <c r="C11" s="39"/>
      <c r="D11" s="47"/>
      <c r="E11" s="28" t="s">
        <v>1420</v>
      </c>
      <c r="F11" s="31"/>
      <c r="G11" s="82" t="str">
        <f>IF(F11=0,"",VLOOKUP(F11,Employés!$A$2:$B$186,2,0))</f>
        <v/>
      </c>
      <c r="H11" s="82"/>
      <c r="I11" s="35"/>
      <c r="J11" s="29"/>
      <c r="K11" s="19"/>
      <c r="L11" s="20"/>
      <c r="M11" s="37" t="str">
        <f>IF(I11=0,"",VLOOKUP(I11,Municipalités!$A$2:$B$1290,2,TRUE))</f>
        <v/>
      </c>
    </row>
    <row r="12" spans="1:13" ht="30" customHeight="1" x14ac:dyDescent="0.25">
      <c r="A12" s="45"/>
      <c r="B12" s="45"/>
      <c r="C12" s="39"/>
      <c r="D12" s="46"/>
      <c r="E12" s="27"/>
      <c r="F12" s="31"/>
      <c r="G12" s="82" t="str">
        <f>IF(F12=0,"",VLOOKUP(F12,Employés!$A$2:$B$186,2,0))</f>
        <v/>
      </c>
      <c r="H12" s="82"/>
      <c r="I12" s="35"/>
      <c r="J12" s="29"/>
      <c r="K12" s="19"/>
      <c r="L12" s="20"/>
      <c r="M12" s="37" t="str">
        <f>IF(I12=0,"",VLOOKUP(I12,Municipalités!$A$2:$B$1290,2,TRUE))</f>
        <v/>
      </c>
    </row>
    <row r="13" spans="1:13" ht="30" customHeight="1" x14ac:dyDescent="0.25">
      <c r="A13" s="45"/>
      <c r="B13" s="45"/>
      <c r="C13" s="39"/>
      <c r="D13" s="46"/>
      <c r="E13" s="27"/>
      <c r="F13" s="31"/>
      <c r="G13" s="82" t="str">
        <f>IF(F13=0,"",VLOOKUP(F13,Employés!$A$2:$B$186,2,0))</f>
        <v/>
      </c>
      <c r="H13" s="82"/>
      <c r="I13" s="35"/>
      <c r="J13" s="29"/>
      <c r="K13" s="19"/>
      <c r="L13" s="20"/>
      <c r="M13" s="37" t="str">
        <f>IF(I13=0,"",VLOOKUP(I13,Municipalités!$A$2:$B$1290,2,TRUE))</f>
        <v/>
      </c>
    </row>
    <row r="14" spans="1:13" ht="30" customHeight="1" x14ac:dyDescent="0.25">
      <c r="A14" s="45"/>
      <c r="B14" s="45"/>
      <c r="C14" s="39"/>
      <c r="D14" s="47"/>
      <c r="E14" s="27"/>
      <c r="F14" s="31"/>
      <c r="G14" s="82" t="str">
        <f>IF(F14=0,"",VLOOKUP(F14,Employés!$A$2:$B$186,2,0))</f>
        <v/>
      </c>
      <c r="H14" s="82"/>
      <c r="I14" s="35"/>
      <c r="J14" s="29"/>
      <c r="K14" s="19"/>
      <c r="L14" s="20"/>
      <c r="M14" s="37" t="str">
        <f>IF(I14=0,"",VLOOKUP(I14,Municipalités!$A$2:$B$1290,2,TRUE))</f>
        <v/>
      </c>
    </row>
    <row r="15" spans="1:13" ht="30" customHeight="1" x14ac:dyDescent="0.25">
      <c r="A15" s="45"/>
      <c r="B15" s="45"/>
      <c r="C15" s="39"/>
      <c r="D15" s="47"/>
      <c r="E15" s="27"/>
      <c r="F15" s="31"/>
      <c r="G15" s="82" t="str">
        <f>IF(F15=0,"",VLOOKUP(F15,Employés!$A$2:$B$186,2,0))</f>
        <v/>
      </c>
      <c r="H15" s="82"/>
      <c r="I15" s="35"/>
      <c r="J15" s="29"/>
      <c r="K15" s="19"/>
      <c r="L15" s="20"/>
      <c r="M15" s="37" t="str">
        <f>IF(I15=0,"",VLOOKUP(I15,Municipalités!$A$2:$B$1290,2,TRUE))</f>
        <v/>
      </c>
    </row>
    <row r="16" spans="1:13" ht="30" customHeight="1" x14ac:dyDescent="0.25">
      <c r="A16" s="45"/>
      <c r="B16" s="45"/>
      <c r="C16" s="39"/>
      <c r="D16" s="46"/>
      <c r="E16" s="27"/>
      <c r="F16" s="31"/>
      <c r="G16" s="82" t="str">
        <f>IF(F16=0,"",VLOOKUP(F16,Employés!$A$2:$B$186,2,0))</f>
        <v/>
      </c>
      <c r="H16" s="82"/>
      <c r="I16" s="35"/>
      <c r="J16" s="29"/>
      <c r="K16" s="19"/>
      <c r="L16" s="20"/>
      <c r="M16" s="37" t="str">
        <f>IF(I16=0,"",VLOOKUP(I16,Municipalités!$A$2:$B$1290,2,TRUE))</f>
        <v/>
      </c>
    </row>
    <row r="17" spans="1:13" ht="30" customHeight="1" x14ac:dyDescent="0.25">
      <c r="A17" s="45"/>
      <c r="B17" s="45"/>
      <c r="C17" s="39"/>
      <c r="D17" s="46"/>
      <c r="E17" s="27"/>
      <c r="F17" s="31"/>
      <c r="G17" s="82" t="str">
        <f>IF(F17=0,"",VLOOKUP(F17,Employés!$A$2:$B$186,2,0))</f>
        <v/>
      </c>
      <c r="H17" s="82"/>
      <c r="I17" s="35"/>
      <c r="J17" s="29"/>
      <c r="K17" s="19"/>
      <c r="L17" s="20"/>
      <c r="M17" s="37" t="str">
        <f>IF(I17=0,"",VLOOKUP(I17,Municipalités!$A$2:$B$1290,2,TRUE))</f>
        <v/>
      </c>
    </row>
    <row r="18" spans="1:13" ht="30" customHeight="1" x14ac:dyDescent="0.25">
      <c r="A18" s="45"/>
      <c r="B18" s="45"/>
      <c r="C18" s="39"/>
      <c r="D18" s="46"/>
      <c r="E18" s="27"/>
      <c r="F18" s="31"/>
      <c r="G18" s="82" t="str">
        <f>IF(F18=0,"",VLOOKUP(F18,Employés!$A$2:$B$186,2,0))</f>
        <v/>
      </c>
      <c r="H18" s="82"/>
      <c r="I18" s="35"/>
      <c r="J18" s="29"/>
      <c r="K18" s="19"/>
      <c r="L18" s="20"/>
      <c r="M18" s="37" t="str">
        <f>IF(I18=0,"",VLOOKUP(I18,Municipalités!$A$2:$B$1290,2,TRUE))</f>
        <v/>
      </c>
    </row>
    <row r="19" spans="1:13" ht="30" customHeight="1" x14ac:dyDescent="0.25">
      <c r="A19" s="45"/>
      <c r="B19" s="45"/>
      <c r="C19" s="39"/>
      <c r="D19" s="46"/>
      <c r="E19" s="27"/>
      <c r="F19" s="31"/>
      <c r="G19" s="82" t="str">
        <f>IF(F19=0,"",VLOOKUP(F19,Employés!$A$2:$B$186,2,0))</f>
        <v/>
      </c>
      <c r="H19" s="82"/>
      <c r="I19" s="35"/>
      <c r="J19" s="29"/>
      <c r="K19" s="19"/>
      <c r="L19" s="20"/>
      <c r="M19" s="37" t="str">
        <f>IF(I19=0,"",VLOOKUP(I19,Municipalités!$A$2:$B$1290,2,TRUE))</f>
        <v/>
      </c>
    </row>
    <row r="20" spans="1:13" ht="30" customHeight="1" x14ac:dyDescent="0.25">
      <c r="A20" s="45"/>
      <c r="B20" s="45"/>
      <c r="C20" s="39"/>
      <c r="D20" s="47"/>
      <c r="E20" s="27"/>
      <c r="F20" s="31"/>
      <c r="G20" s="82" t="str">
        <f>IF(F20=0,"",VLOOKUP(F20,Employés!$A$2:$B$186,2,0))</f>
        <v/>
      </c>
      <c r="H20" s="82"/>
      <c r="I20" s="35"/>
      <c r="J20" s="29"/>
      <c r="K20" s="19"/>
      <c r="L20" s="20"/>
      <c r="M20" s="37" t="str">
        <f>IF(I20=0,"",VLOOKUP(I20,Municipalités!$A$2:$B$1290,2,TRUE))</f>
        <v/>
      </c>
    </row>
    <row r="21" spans="1:13" ht="30" customHeight="1" x14ac:dyDescent="0.25">
      <c r="A21" s="45"/>
      <c r="B21" s="45"/>
      <c r="C21" s="39"/>
      <c r="D21" s="47"/>
      <c r="E21" s="27"/>
      <c r="F21" s="31"/>
      <c r="G21" s="82" t="str">
        <f>IF(F21=0,"",VLOOKUP(F21,Employés!$A$2:$B$186,2,0))</f>
        <v/>
      </c>
      <c r="H21" s="82"/>
      <c r="I21" s="35"/>
      <c r="J21" s="29"/>
      <c r="K21" s="19"/>
      <c r="L21" s="20"/>
      <c r="M21" s="37" t="str">
        <f>IF(I21=0,"",VLOOKUP(I21,Municipalités!$A$2:$B$1290,2,TRUE))</f>
        <v/>
      </c>
    </row>
    <row r="22" spans="1:13" ht="30" customHeight="1" x14ac:dyDescent="0.25">
      <c r="A22" s="45"/>
      <c r="B22" s="45"/>
      <c r="C22" s="39"/>
      <c r="D22" s="46"/>
      <c r="E22" s="27"/>
      <c r="F22" s="31"/>
      <c r="G22" s="82" t="str">
        <f>IF(F22=0,"",VLOOKUP(F22,Employés!$A$2:$B$186,2,0))</f>
        <v/>
      </c>
      <c r="H22" s="82"/>
      <c r="I22" s="35"/>
      <c r="J22" s="29"/>
      <c r="K22" s="19"/>
      <c r="L22" s="20"/>
      <c r="M22" s="37" t="str">
        <f>IF(I22=0,"",VLOOKUP(I22,Municipalités!$A$2:$B$1290,2,TRUE))</f>
        <v/>
      </c>
    </row>
    <row r="23" spans="1:13" ht="30" customHeight="1" x14ac:dyDescent="0.25">
      <c r="A23" s="45"/>
      <c r="B23" s="45"/>
      <c r="C23" s="39"/>
      <c r="D23" s="46"/>
      <c r="E23" s="27"/>
      <c r="F23" s="31"/>
      <c r="G23" s="82" t="str">
        <f>IF(F23=0,"",VLOOKUP(F23,Employés!$A$2:$B$186,2,0))</f>
        <v/>
      </c>
      <c r="H23" s="82"/>
      <c r="I23" s="35"/>
      <c r="J23" s="29"/>
      <c r="K23" s="19"/>
      <c r="L23" s="20"/>
      <c r="M23" s="37" t="str">
        <f>IF(I23=0,"",VLOOKUP(I23,Municipalités!$A$2:$B$1290,2,TRUE))</f>
        <v/>
      </c>
    </row>
    <row r="24" spans="1:13" ht="30" customHeight="1" x14ac:dyDescent="0.25">
      <c r="A24" s="45"/>
      <c r="B24" s="45"/>
      <c r="C24" s="39"/>
      <c r="D24" s="46"/>
      <c r="E24" s="27"/>
      <c r="F24" s="31"/>
      <c r="G24" s="82" t="str">
        <f>IF(F24=0,"",VLOOKUP(F24,Employés!$A$2:$B$186,2,0))</f>
        <v/>
      </c>
      <c r="H24" s="82"/>
      <c r="I24" s="35"/>
      <c r="J24" s="29"/>
      <c r="K24" s="19"/>
      <c r="L24" s="20"/>
      <c r="M24" s="37" t="str">
        <f>IF(I24=0,"",VLOOKUP(I24,Municipalités!$A$2:$B$1290,2,TRUE))</f>
        <v/>
      </c>
    </row>
    <row r="25" spans="1:13" ht="30" customHeight="1" x14ac:dyDescent="0.25">
      <c r="A25" s="45"/>
      <c r="B25" s="45"/>
      <c r="C25" s="39"/>
      <c r="D25" s="46"/>
      <c r="E25" s="27"/>
      <c r="F25" s="31"/>
      <c r="G25" s="82" t="str">
        <f>IF(F25=0,"",VLOOKUP(F25,Employés!$A$2:$B$186,2,0))</f>
        <v/>
      </c>
      <c r="H25" s="82"/>
      <c r="I25" s="35"/>
      <c r="J25" s="29"/>
      <c r="K25" s="19"/>
      <c r="L25" s="20"/>
      <c r="M25" s="37" t="str">
        <f>IF(I25=0,"",VLOOKUP(I25,Municipalités!$A$2:$B$1290,2,TRUE))</f>
        <v/>
      </c>
    </row>
    <row r="26" spans="1:13" ht="30" customHeight="1" x14ac:dyDescent="0.25">
      <c r="A26" s="45"/>
      <c r="B26" s="45"/>
      <c r="C26" s="39"/>
      <c r="D26" s="46"/>
      <c r="E26" s="27"/>
      <c r="F26" s="31"/>
      <c r="G26" s="82" t="str">
        <f>IF(F26=0,"",VLOOKUP(F26,Employés!$A$2:$B$186,2,0))</f>
        <v/>
      </c>
      <c r="H26" s="82"/>
      <c r="I26" s="35"/>
      <c r="J26" s="29"/>
      <c r="K26" s="19"/>
      <c r="L26" s="20"/>
      <c r="M26" s="37" t="str">
        <f>IF(I26=0,"",VLOOKUP(I26,Municipalités!$A$2:$B$1290,2,TRUE))</f>
        <v/>
      </c>
    </row>
    <row r="27" spans="1:13" ht="30" customHeight="1" x14ac:dyDescent="0.25">
      <c r="A27" s="45"/>
      <c r="B27" s="45"/>
      <c r="C27" s="39"/>
      <c r="D27" s="46"/>
      <c r="E27" s="27"/>
      <c r="F27" s="31"/>
      <c r="G27" s="82" t="str">
        <f>IF(F27=0,"",VLOOKUP(F27,Employés!$A$2:$B$186,2,0))</f>
        <v/>
      </c>
      <c r="H27" s="82"/>
      <c r="I27" s="35"/>
      <c r="J27" s="29"/>
      <c r="K27" s="19"/>
      <c r="L27" s="20"/>
      <c r="M27" s="37" t="str">
        <f>IF(I27=0,"",VLOOKUP(I27,Municipalités!$A$2:$B$1290,2,TRUE))</f>
        <v/>
      </c>
    </row>
    <row r="28" spans="1:13" ht="30" customHeight="1" x14ac:dyDescent="0.25">
      <c r="A28" s="45"/>
      <c r="B28" s="45"/>
      <c r="C28" s="39"/>
      <c r="D28" s="46"/>
      <c r="E28" s="27"/>
      <c r="F28" s="31"/>
      <c r="G28" s="82" t="str">
        <f>IF(F28=0,"",VLOOKUP(F28,Employés!$A$2:$B$186,2,0))</f>
        <v/>
      </c>
      <c r="H28" s="82"/>
      <c r="I28" s="35"/>
      <c r="J28" s="29"/>
      <c r="K28" s="19"/>
      <c r="L28" s="20"/>
      <c r="M28" s="37" t="str">
        <f>IF(I28=0,"",VLOOKUP(I28,Municipalités!$A$2:$B$1290,2,TRUE))</f>
        <v/>
      </c>
    </row>
    <row r="29" spans="1:13" ht="30" customHeight="1" x14ac:dyDescent="0.25">
      <c r="A29" s="45"/>
      <c r="B29" s="45"/>
      <c r="C29" s="39"/>
      <c r="D29" s="46"/>
      <c r="E29" s="27"/>
      <c r="F29" s="31"/>
      <c r="G29" s="82" t="str">
        <f>IF(F29=0,"",VLOOKUP(F29,Employés!$A$2:$B$186,2,0))</f>
        <v/>
      </c>
      <c r="H29" s="82"/>
      <c r="I29" s="35"/>
      <c r="J29" s="29"/>
      <c r="K29" s="19"/>
      <c r="L29" s="20"/>
      <c r="M29" s="37" t="str">
        <f>IF(I29=0,"",VLOOKUP(I29,Municipalités!$A$2:$B$1290,2,TRUE))</f>
        <v/>
      </c>
    </row>
    <row r="30" spans="1:13" ht="30" customHeight="1" x14ac:dyDescent="0.25">
      <c r="A30" s="45"/>
      <c r="B30" s="45"/>
      <c r="C30" s="39"/>
      <c r="D30" s="46"/>
      <c r="E30" s="27"/>
      <c r="F30" s="31"/>
      <c r="G30" s="82" t="str">
        <f>IF(F30=0,"",VLOOKUP(F30,Employés!$A$2:$B$186,2,0))</f>
        <v/>
      </c>
      <c r="H30" s="82"/>
      <c r="I30" s="35"/>
      <c r="J30" s="29"/>
      <c r="K30" s="19"/>
      <c r="L30" s="20"/>
      <c r="M30" s="37" t="str">
        <f>IF(I30=0,"",VLOOKUP(I30,Municipalités!$A$2:$B$1290,2,TRUE))</f>
        <v/>
      </c>
    </row>
    <row r="31" spans="1:13" ht="30" customHeight="1" x14ac:dyDescent="0.25">
      <c r="A31" s="45"/>
      <c r="B31" s="45"/>
      <c r="C31" s="39"/>
      <c r="D31" s="47"/>
      <c r="E31" s="27"/>
      <c r="F31" s="31"/>
      <c r="G31" s="82" t="str">
        <f>IF(F31=0,"",VLOOKUP(F31,Employés!$A$2:$B$186,2,0))</f>
        <v/>
      </c>
      <c r="H31" s="82"/>
      <c r="I31" s="35"/>
      <c r="J31" s="29"/>
      <c r="K31" s="19"/>
      <c r="L31" s="20"/>
      <c r="M31" s="37" t="str">
        <f>IF(I31=0,"",VLOOKUP(I31,Municipalités!$A$2:$B$1290,2,TRUE))</f>
        <v/>
      </c>
    </row>
    <row r="32" spans="1:13" ht="30" customHeight="1" x14ac:dyDescent="0.25">
      <c r="A32" s="45"/>
      <c r="B32" s="45"/>
      <c r="C32" s="39"/>
      <c r="D32" s="46"/>
      <c r="E32" s="27"/>
      <c r="F32" s="31"/>
      <c r="G32" s="82" t="str">
        <f>IF(F32=0,"",VLOOKUP(F32,Employés!$A$2:$B$186,2,0))</f>
        <v/>
      </c>
      <c r="H32" s="82"/>
      <c r="I32" s="35"/>
      <c r="J32" s="29"/>
      <c r="K32" s="19"/>
      <c r="L32" s="20"/>
      <c r="M32" s="37" t="str">
        <f>IF(I32=0,"",VLOOKUP(I32,Municipalités!$A$2:$B$1290,2,TRUE))</f>
        <v/>
      </c>
    </row>
    <row r="33" spans="1:13" ht="30" customHeight="1" x14ac:dyDescent="0.25">
      <c r="A33" s="45"/>
      <c r="B33" s="45"/>
      <c r="C33" s="39"/>
      <c r="D33" s="46"/>
      <c r="E33" s="27"/>
      <c r="F33" s="31"/>
      <c r="G33" s="82" t="str">
        <f>IF(F33=0,"",VLOOKUP(F33,Employés!$A$2:$B$186,2,0))</f>
        <v/>
      </c>
      <c r="H33" s="82"/>
      <c r="I33" s="35"/>
      <c r="J33" s="29"/>
      <c r="K33" s="19"/>
      <c r="L33" s="20"/>
      <c r="M33" s="37" t="str">
        <f>IF(I33=0,"",VLOOKUP(I33,Municipalités!$A$2:$B$1290,2,TRUE))</f>
        <v/>
      </c>
    </row>
    <row r="34" spans="1:13" ht="30" customHeight="1" x14ac:dyDescent="0.25">
      <c r="A34" s="45"/>
      <c r="B34" s="45"/>
      <c r="C34" s="39"/>
      <c r="D34" s="46"/>
      <c r="E34" s="27"/>
      <c r="F34" s="31"/>
      <c r="G34" s="82" t="str">
        <f>IF(F34=0,"",VLOOKUP(F34,Employés!$A$2:$B$186,2,0))</f>
        <v/>
      </c>
      <c r="H34" s="82"/>
      <c r="I34" s="35"/>
      <c r="J34" s="29"/>
      <c r="K34" s="19"/>
      <c r="L34" s="20"/>
      <c r="M34" s="37" t="str">
        <f>IF(I34=0,"",VLOOKUP(I34,Municipalités!$A$2:$B$1290,2,TRUE))</f>
        <v/>
      </c>
    </row>
    <row r="35" spans="1:13" ht="30" customHeight="1" x14ac:dyDescent="0.25">
      <c r="A35" s="45"/>
      <c r="B35" s="45"/>
      <c r="C35" s="30"/>
      <c r="D35" s="46"/>
      <c r="E35" s="27"/>
      <c r="F35" s="31"/>
      <c r="G35" s="82" t="str">
        <f>IF(F35=0,"",VLOOKUP(F35,Employés!$A$2:$B$186,2,0))</f>
        <v/>
      </c>
      <c r="H35" s="82"/>
      <c r="I35" s="35"/>
      <c r="J35" s="29"/>
      <c r="K35" s="19"/>
      <c r="L35" s="20"/>
      <c r="M35" s="37" t="str">
        <f>IF(I35=0,"",VLOOKUP(I35,Municipalités!$A$2:$B$1290,2,TRUE))</f>
        <v/>
      </c>
    </row>
    <row r="36" spans="1:13" ht="30" customHeight="1" x14ac:dyDescent="0.25">
      <c r="A36" s="45"/>
      <c r="B36" s="45"/>
      <c r="C36" s="30"/>
      <c r="D36" s="46"/>
      <c r="E36" s="27"/>
      <c r="F36" s="31"/>
      <c r="G36" s="82" t="str">
        <f>IF(F36=0,"",VLOOKUP(F36,Employés!$A$2:$B$186,2,0))</f>
        <v/>
      </c>
      <c r="H36" s="82"/>
      <c r="I36" s="35"/>
      <c r="J36" s="29"/>
      <c r="K36" s="19"/>
      <c r="L36" s="20"/>
      <c r="M36" s="37" t="str">
        <f>IF(I36=0,"",VLOOKUP(I36,Municipalités!$A$2:$B$1290,2,TRUE))</f>
        <v/>
      </c>
    </row>
    <row r="37" spans="1:13" ht="30" customHeight="1" x14ac:dyDescent="0.25">
      <c r="A37" s="45"/>
      <c r="B37" s="45"/>
      <c r="C37" s="39"/>
      <c r="D37" s="46"/>
      <c r="E37" s="27"/>
      <c r="F37" s="31"/>
      <c r="G37" s="82" t="str">
        <f>IF(F37=0,"",VLOOKUP(F37,Employés!$A$2:$B$186,2,0))</f>
        <v/>
      </c>
      <c r="H37" s="82"/>
      <c r="I37" s="35"/>
      <c r="J37" s="29"/>
      <c r="K37" s="19"/>
      <c r="L37" s="20"/>
      <c r="M37" s="37" t="str">
        <f>IF(I37=0,"",VLOOKUP(I37,Municipalités!$A$2:$B$1290,2,TRUE))</f>
        <v/>
      </c>
    </row>
    <row r="38" spans="1:13" ht="30" customHeight="1" x14ac:dyDescent="0.25">
      <c r="A38" s="45"/>
      <c r="B38" s="45"/>
      <c r="C38" s="39"/>
      <c r="D38" s="47"/>
      <c r="E38" s="27"/>
      <c r="F38" s="31"/>
      <c r="G38" s="82" t="str">
        <f>IF(F38=0,"",VLOOKUP(F38,Employés!$A$2:$B$186,2,0))</f>
        <v/>
      </c>
      <c r="H38" s="82"/>
      <c r="I38" s="35"/>
      <c r="J38" s="29"/>
      <c r="K38" s="19"/>
      <c r="L38" s="20"/>
      <c r="M38" s="37" t="str">
        <f>IF(I38=0,"",VLOOKUP(I38,Municipalités!$A$2:$B$1290,2,TRUE))</f>
        <v/>
      </c>
    </row>
    <row r="39" spans="1:13" ht="30" customHeight="1" x14ac:dyDescent="0.25">
      <c r="A39" s="45"/>
      <c r="B39" s="45"/>
      <c r="C39" s="39"/>
      <c r="D39" s="45"/>
      <c r="E39" s="27"/>
      <c r="F39" s="31"/>
      <c r="G39" s="82" t="str">
        <f>IF(F39=0,"",VLOOKUP(F39,Employés!$A$2:$B$186,2,0))</f>
        <v/>
      </c>
      <c r="H39" s="82"/>
      <c r="I39" s="35"/>
      <c r="J39" s="29"/>
      <c r="K39" s="26"/>
      <c r="L39" s="25"/>
      <c r="M39" s="37" t="str">
        <f>IF(I39=0,"",VLOOKUP(I39,Municipalités!$A$2:$B$1290,2,TRUE))</f>
        <v/>
      </c>
    </row>
    <row r="40" spans="1:13" ht="30" customHeight="1" x14ac:dyDescent="0.25">
      <c r="A40" s="8"/>
      <c r="B40" s="8"/>
      <c r="C40" s="30"/>
      <c r="D40" s="8"/>
      <c r="E40" s="27"/>
      <c r="F40" s="31"/>
      <c r="G40" s="82" t="str">
        <f>IF(F40=0,"",VLOOKUP(F40,Employés!$A$2:$B$186,2,0))</f>
        <v/>
      </c>
      <c r="H40" s="82"/>
      <c r="I40" s="35"/>
      <c r="J40" s="29"/>
      <c r="K40" s="26"/>
      <c r="L40" s="25"/>
      <c r="M40" s="37" t="str">
        <f>IF(I40=0,"",VLOOKUP(I40,Municipalités!$A$2:$B$1290,2,TRUE))</f>
        <v/>
      </c>
    </row>
    <row r="41" spans="1:13" ht="30" customHeight="1" x14ac:dyDescent="0.25">
      <c r="A41" s="8"/>
      <c r="B41" s="8"/>
      <c r="C41" s="30"/>
      <c r="D41" s="8"/>
      <c r="E41" s="27"/>
      <c r="F41" s="31"/>
      <c r="G41" s="82" t="str">
        <f>IF(F41=0,"",VLOOKUP(F41,Employés!$A$2:$B$186,2,0))</f>
        <v/>
      </c>
      <c r="H41" s="82"/>
      <c r="I41" s="35"/>
      <c r="J41" s="29"/>
      <c r="K41" s="26"/>
      <c r="L41" s="25"/>
      <c r="M41" s="37" t="str">
        <f>IF(I41=0,"",VLOOKUP(I41,Municipalités!$A$2:$B$1290,2,TRUE))</f>
        <v/>
      </c>
    </row>
    <row r="42" spans="1:13" ht="30" customHeight="1" x14ac:dyDescent="0.25">
      <c r="A42" s="8"/>
      <c r="B42" s="8"/>
      <c r="C42" s="30"/>
      <c r="D42" s="8"/>
      <c r="E42" s="27"/>
      <c r="F42" s="31"/>
      <c r="G42" s="82" t="str">
        <f>IF(F42=0,"",VLOOKUP(F42,Employés!$A$2:$B$186,2,0))</f>
        <v/>
      </c>
      <c r="H42" s="82"/>
      <c r="I42" s="35"/>
      <c r="J42" s="29"/>
      <c r="K42" s="26"/>
      <c r="L42" s="25"/>
      <c r="M42" s="37" t="str">
        <f>IF(I42=0,"",VLOOKUP(I42,Municipalités!$A$2:$B$1290,2,TRUE))</f>
        <v/>
      </c>
    </row>
    <row r="43" spans="1:13" ht="30" customHeight="1" x14ac:dyDescent="0.25">
      <c r="A43" s="8"/>
      <c r="B43" s="8"/>
      <c r="C43" s="30"/>
      <c r="D43" s="8"/>
      <c r="E43" s="27" t="s">
        <v>1420</v>
      </c>
      <c r="F43" s="31"/>
      <c r="G43" s="82" t="str">
        <f>IF(F43=0,"",VLOOKUP(F43,Employés!$A$2:$B$186,2,0))</f>
        <v/>
      </c>
      <c r="H43" s="82"/>
      <c r="I43" s="35"/>
      <c r="J43" s="29"/>
      <c r="K43" s="26"/>
      <c r="L43" s="25" t="s">
        <v>1420</v>
      </c>
      <c r="M43" s="37" t="str">
        <f>IF(I43=0,"",VLOOKUP(I43,Municipalités!$A$2:$B$1290,2,TRUE))</f>
        <v/>
      </c>
    </row>
    <row r="44" spans="1:13" ht="30" customHeight="1" x14ac:dyDescent="0.25">
      <c r="A44" s="8"/>
      <c r="B44" s="8"/>
      <c r="C44" s="30"/>
      <c r="D44" s="8"/>
      <c r="E44" s="27"/>
      <c r="F44" s="31"/>
      <c r="G44" s="82" t="str">
        <f>IF(F44=0,"",VLOOKUP(F44,Employés!$A$2:$B$186,2,0))</f>
        <v/>
      </c>
      <c r="H44" s="82"/>
      <c r="I44" s="35"/>
      <c r="J44" s="29"/>
      <c r="K44" s="26"/>
      <c r="L44" s="25"/>
      <c r="M44" s="37" t="str">
        <f>IF(I44=0,"",VLOOKUP(I44,Municipalités!$A$2:$B$1290,2,TRUE))</f>
        <v/>
      </c>
    </row>
    <row r="45" spans="1:13" ht="30" customHeight="1" x14ac:dyDescent="0.25">
      <c r="A45" s="8"/>
      <c r="B45" s="8"/>
      <c r="C45" s="30"/>
      <c r="D45" s="8"/>
      <c r="E45" s="27"/>
      <c r="F45" s="31"/>
      <c r="G45" s="82" t="str">
        <f>IF(F45=0,"",VLOOKUP(F45,Employés!$A$2:$B$186,2,0))</f>
        <v/>
      </c>
      <c r="H45" s="82"/>
      <c r="I45" s="35"/>
      <c r="J45" s="29"/>
      <c r="K45" s="26"/>
      <c r="L45" s="25"/>
      <c r="M45" s="37" t="str">
        <f>IF(I45=0,"",VLOOKUP(I45,Municipalités!$A$2:$B$1290,2,TRUE))</f>
        <v/>
      </c>
    </row>
    <row r="46" spans="1:13" ht="30" customHeight="1" x14ac:dyDescent="0.25">
      <c r="A46" s="8"/>
      <c r="B46" s="8"/>
      <c r="C46" s="30"/>
      <c r="D46" s="8"/>
      <c r="E46" s="27"/>
      <c r="F46" s="31"/>
      <c r="G46" s="82" t="str">
        <f>IF(F46=0,"",VLOOKUP(F46,Employés!$A$2:$B$186,2,0))</f>
        <v/>
      </c>
      <c r="H46" s="82"/>
      <c r="I46" s="35"/>
      <c r="J46" s="29"/>
      <c r="K46" s="26"/>
      <c r="L46" s="25"/>
      <c r="M46" s="37" t="str">
        <f>IF(I46=0,"",VLOOKUP(I46,Municipalités!$A$2:$B$1290,2,TRUE))</f>
        <v/>
      </c>
    </row>
    <row r="47" spans="1:13" ht="30" customHeight="1" x14ac:dyDescent="0.25">
      <c r="A47" s="8"/>
      <c r="B47" s="8"/>
      <c r="C47" s="30"/>
      <c r="D47" s="8"/>
      <c r="E47" s="27"/>
      <c r="F47" s="31"/>
      <c r="G47" s="82" t="str">
        <f>IF(F47=0,"",VLOOKUP(F47,Employés!$A$2:$B$186,2,0))</f>
        <v/>
      </c>
      <c r="H47" s="82"/>
      <c r="I47" s="35"/>
      <c r="J47" s="29"/>
      <c r="K47" s="26"/>
      <c r="L47" s="25"/>
      <c r="M47" s="37" t="str">
        <f>IF(I47=0,"",VLOOKUP(I47,Municipalités!$A$2:$B$1290,2,TRUE))</f>
        <v/>
      </c>
    </row>
    <row r="48" spans="1:13" ht="30" customHeight="1" x14ac:dyDescent="0.25">
      <c r="A48" s="8"/>
      <c r="B48" s="8"/>
      <c r="C48" s="30"/>
      <c r="D48" s="8"/>
      <c r="E48" s="27"/>
      <c r="F48" s="31"/>
      <c r="G48" s="82" t="str">
        <f>IF(F48=0,"",VLOOKUP(F48,Employés!$A$2:$B$186,2,0))</f>
        <v/>
      </c>
      <c r="H48" s="82"/>
      <c r="I48" s="35"/>
      <c r="J48" s="29"/>
      <c r="K48" s="26"/>
      <c r="L48" s="25"/>
      <c r="M48" s="37" t="str">
        <f>IF(I48=0,"",VLOOKUP(I48,Municipalités!$A$2:$B$1290,2,TRUE))</f>
        <v/>
      </c>
    </row>
    <row r="49" spans="1:13" ht="30" customHeight="1" x14ac:dyDescent="0.25">
      <c r="A49" s="8"/>
      <c r="B49" s="8"/>
      <c r="C49" s="30"/>
      <c r="D49" s="8"/>
      <c r="E49" s="27"/>
      <c r="F49" s="31"/>
      <c r="G49" s="82" t="str">
        <f>IF(F49=0,"",VLOOKUP(F49,Employés!$A$2:$B$186,2,0))</f>
        <v/>
      </c>
      <c r="H49" s="82"/>
      <c r="I49" s="35"/>
      <c r="J49" s="29"/>
      <c r="K49" s="26"/>
      <c r="L49" s="25"/>
      <c r="M49" s="37" t="str">
        <f>IF(I49=0,"",VLOOKUP(I49,Municipalités!$A$2:$B$1290,2,TRUE))</f>
        <v/>
      </c>
    </row>
    <row r="50" spans="1:13" ht="30" customHeight="1" x14ac:dyDescent="0.25">
      <c r="A50" s="8"/>
      <c r="B50" s="8"/>
      <c r="C50" s="30"/>
      <c r="D50" s="8"/>
      <c r="E50" s="27"/>
      <c r="F50" s="31"/>
      <c r="G50" s="82" t="str">
        <f>IF(F50=0,"",VLOOKUP(F50,Employés!$A$2:$B$186,2,0))</f>
        <v/>
      </c>
      <c r="H50" s="82"/>
      <c r="I50" s="35"/>
      <c r="J50" s="29"/>
      <c r="K50" s="26"/>
      <c r="L50" s="25"/>
      <c r="M50" s="37" t="str">
        <f>IF(I50=0,"",VLOOKUP(I50,Municipalités!$A$2:$B$1290,2,TRUE))</f>
        <v/>
      </c>
    </row>
    <row r="51" spans="1:13" ht="30" customHeight="1" x14ac:dyDescent="0.25">
      <c r="A51" s="8"/>
      <c r="B51" s="8"/>
      <c r="C51" s="30"/>
      <c r="D51" s="8"/>
      <c r="E51" s="27"/>
      <c r="F51" s="31"/>
      <c r="G51" s="82" t="str">
        <f>IF(F51=0,"",VLOOKUP(F51,Employés!$A$2:$B$186,2,0))</f>
        <v/>
      </c>
      <c r="H51" s="82"/>
      <c r="I51" s="35"/>
      <c r="J51" s="29"/>
      <c r="K51" s="26"/>
      <c r="L51" s="25"/>
      <c r="M51" s="37" t="str">
        <f>IF(I51=0,"",VLOOKUP(I51,Municipalités!$A$2:$B$1290,2,TRUE))</f>
        <v/>
      </c>
    </row>
    <row r="52" spans="1:13" ht="30" customHeight="1" x14ac:dyDescent="0.25">
      <c r="A52" s="8"/>
      <c r="B52" s="8"/>
      <c r="C52" s="30"/>
      <c r="D52" s="8"/>
      <c r="E52" s="27"/>
      <c r="F52" s="31"/>
      <c r="G52" s="82" t="str">
        <f>IF(F52=0,"",VLOOKUP(F52,Employés!$A$2:$B$186,2,0))</f>
        <v/>
      </c>
      <c r="H52" s="82"/>
      <c r="I52" s="35"/>
      <c r="J52" s="29"/>
      <c r="K52" s="26"/>
      <c r="L52" s="25"/>
      <c r="M52" s="37" t="str">
        <f>IF(I52=0,"",VLOOKUP(I52,Municipalités!$A$2:$B$1290,2,TRUE))</f>
        <v/>
      </c>
    </row>
    <row r="53" spans="1:13" ht="30" customHeight="1" x14ac:dyDescent="0.25">
      <c r="A53" s="8"/>
      <c r="B53" s="8"/>
      <c r="C53" s="30"/>
      <c r="D53" s="8"/>
      <c r="E53" s="27"/>
      <c r="F53" s="31"/>
      <c r="G53" s="82" t="str">
        <f>IF(F53=0,"",VLOOKUP(F53,Employés!$A$2:$B$186,2,0))</f>
        <v/>
      </c>
      <c r="H53" s="82"/>
      <c r="I53" s="35"/>
      <c r="J53" s="29"/>
      <c r="K53" s="26"/>
      <c r="L53" s="25"/>
      <c r="M53" s="37" t="str">
        <f>IF(I53=0,"",VLOOKUP(I53,Municipalités!$A$2:$B$1290,2,TRUE))</f>
        <v/>
      </c>
    </row>
    <row r="54" spans="1:13" ht="30" customHeight="1" x14ac:dyDescent="0.25">
      <c r="A54" s="8"/>
      <c r="B54" s="8"/>
      <c r="C54" s="30"/>
      <c r="D54" s="8"/>
      <c r="E54" s="27"/>
      <c r="F54" s="31"/>
      <c r="G54" s="82" t="str">
        <f>IF(F54=0,"",VLOOKUP(F54,Employés!$A$2:$B$186,2,0))</f>
        <v/>
      </c>
      <c r="H54" s="82"/>
      <c r="I54" s="35"/>
      <c r="J54" s="29"/>
      <c r="K54" s="26"/>
      <c r="L54" s="25"/>
      <c r="M54" s="37" t="str">
        <f>IF(I54=0,"",VLOOKUP(I54,Municipalités!$A$2:$B$1290,2,TRUE))</f>
        <v/>
      </c>
    </row>
    <row r="55" spans="1:13" ht="30" customHeight="1" x14ac:dyDescent="0.25">
      <c r="A55" s="8"/>
      <c r="B55" s="8"/>
      <c r="C55" s="30"/>
      <c r="D55" s="8"/>
      <c r="E55" s="27"/>
      <c r="F55" s="31"/>
      <c r="G55" s="82" t="str">
        <f>IF(F55=0,"",VLOOKUP(F55,Employés!$A$2:$B$186,2,0))</f>
        <v/>
      </c>
      <c r="H55" s="82"/>
      <c r="I55" s="35"/>
      <c r="J55" s="29"/>
      <c r="K55" s="26"/>
      <c r="L55" s="25"/>
      <c r="M55" s="37" t="str">
        <f>IF(I55=0,"",VLOOKUP(I55,Municipalités!$A$2:$B$1290,2,TRUE))</f>
        <v/>
      </c>
    </row>
    <row r="56" spans="1:13" ht="30" customHeight="1" x14ac:dyDescent="0.25">
      <c r="A56" s="8"/>
      <c r="B56" s="8"/>
      <c r="C56" s="30"/>
      <c r="D56" s="8"/>
      <c r="E56" s="27"/>
      <c r="F56" s="31"/>
      <c r="G56" s="82" t="str">
        <f>IF(F56=0,"",VLOOKUP(F56,Employés!$A$2:$B$186,2,0))</f>
        <v/>
      </c>
      <c r="H56" s="82"/>
      <c r="I56" s="35"/>
      <c r="J56" s="29"/>
      <c r="K56" s="26"/>
      <c r="L56" s="25"/>
      <c r="M56" s="37" t="str">
        <f>IF(I56=0,"",VLOOKUP(I56,Municipalités!$A$2:$B$1290,2,TRUE))</f>
        <v/>
      </c>
    </row>
    <row r="57" spans="1:13" ht="30" customHeight="1" x14ac:dyDescent="0.25">
      <c r="A57" s="8"/>
      <c r="B57" s="8"/>
      <c r="C57" s="30"/>
      <c r="D57" s="8"/>
      <c r="E57" s="27"/>
      <c r="F57" s="31"/>
      <c r="G57" s="82" t="str">
        <f>IF(F57=0,"",VLOOKUP(F57,Employés!$A$2:$B$186,2,0))</f>
        <v/>
      </c>
      <c r="H57" s="82"/>
      <c r="I57" s="35"/>
      <c r="J57" s="29"/>
      <c r="K57" s="26"/>
      <c r="L57" s="25"/>
      <c r="M57" s="37" t="str">
        <f>IF(I57=0,"",VLOOKUP(I57,Municipalités!$A$2:$B$1290,2,TRUE))</f>
        <v/>
      </c>
    </row>
    <row r="58" spans="1:13" ht="30" customHeight="1" x14ac:dyDescent="0.25">
      <c r="A58" s="8"/>
      <c r="B58" s="8"/>
      <c r="C58" s="30"/>
      <c r="D58" s="8"/>
      <c r="E58" s="27"/>
      <c r="F58" s="31"/>
      <c r="G58" s="82" t="str">
        <f>IF(F58=0,"",VLOOKUP(F58,Employés!$A$2:$B$186,2,0))</f>
        <v/>
      </c>
      <c r="H58" s="82"/>
      <c r="I58" s="35"/>
      <c r="J58" s="29"/>
      <c r="K58" s="26"/>
      <c r="L58" s="25"/>
      <c r="M58" s="37" t="str">
        <f>IF(I58=0,"",VLOOKUP(I58,Municipalités!$A$2:$B$1290,2,TRUE))</f>
        <v/>
      </c>
    </row>
    <row r="59" spans="1:13" ht="30" customHeight="1" x14ac:dyDescent="0.25">
      <c r="A59" s="8"/>
      <c r="B59" s="8"/>
      <c r="C59" s="30"/>
      <c r="D59" s="8"/>
      <c r="E59" s="27"/>
      <c r="F59" s="31"/>
      <c r="G59" s="82" t="str">
        <f>IF(F59=0,"",VLOOKUP(F59,Employés!$A$2:$B$186,2,0))</f>
        <v/>
      </c>
      <c r="H59" s="82"/>
      <c r="I59" s="35"/>
      <c r="J59" s="29"/>
      <c r="K59" s="26"/>
      <c r="L59" s="25"/>
      <c r="M59" s="37" t="str">
        <f>IF(I59=0,"",VLOOKUP(I59,Municipalités!$A$2:$B$1290,2,TRUE))</f>
        <v/>
      </c>
    </row>
    <row r="60" spans="1:13" ht="30" customHeight="1" x14ac:dyDescent="0.25">
      <c r="A60" s="8"/>
      <c r="B60" s="8"/>
      <c r="C60" s="30"/>
      <c r="D60" s="8"/>
      <c r="E60" s="27"/>
      <c r="F60" s="31"/>
      <c r="G60" s="82" t="str">
        <f>IF(F60=0,"",VLOOKUP(F60,Employés!$A$2:$B$186,2,0))</f>
        <v/>
      </c>
      <c r="H60" s="82"/>
      <c r="I60" s="35"/>
      <c r="J60" s="29"/>
      <c r="K60" s="26"/>
      <c r="L60" s="25"/>
      <c r="M60" s="37" t="str">
        <f>IF(I60=0,"",VLOOKUP(I60,Municipalités!$A$2:$B$1290,2,TRUE))</f>
        <v/>
      </c>
    </row>
    <row r="61" spans="1:13" ht="30" customHeight="1" x14ac:dyDescent="0.25">
      <c r="A61" s="8"/>
      <c r="B61" s="8"/>
      <c r="C61" s="30"/>
      <c r="D61" s="8"/>
      <c r="E61" s="27"/>
      <c r="F61" s="31"/>
      <c r="G61" s="82" t="str">
        <f>IF(F61=0,"",VLOOKUP(F61,Employés!$A$2:$B$186,2,0))</f>
        <v/>
      </c>
      <c r="H61" s="82"/>
      <c r="I61" s="35"/>
      <c r="J61" s="29"/>
      <c r="K61" s="26"/>
      <c r="L61" s="25"/>
      <c r="M61" s="37" t="str">
        <f>IF(I61=0,"",VLOOKUP(I61,Municipalités!$A$2:$B$1290,2,TRUE))</f>
        <v/>
      </c>
    </row>
    <row r="62" spans="1:13" x14ac:dyDescent="0.25">
      <c r="C62" s="14"/>
    </row>
    <row r="63" spans="1:13" x14ac:dyDescent="0.25">
      <c r="C63" s="14"/>
    </row>
    <row r="64" spans="1:13" x14ac:dyDescent="0.25">
      <c r="C64" s="14"/>
    </row>
    <row r="65" spans="3:5" x14ac:dyDescent="0.25">
      <c r="C65" s="14"/>
    </row>
    <row r="66" spans="3:5" x14ac:dyDescent="0.25">
      <c r="C66" s="14"/>
    </row>
    <row r="67" spans="3:5" x14ac:dyDescent="0.25">
      <c r="C67" s="14"/>
    </row>
    <row r="68" spans="3:5" x14ac:dyDescent="0.25">
      <c r="C68" s="14"/>
    </row>
    <row r="69" spans="3:5" x14ac:dyDescent="0.25">
      <c r="C69" s="14"/>
    </row>
    <row r="70" spans="3:5" x14ac:dyDescent="0.25">
      <c r="C70" s="14"/>
    </row>
    <row r="71" spans="3:5" x14ac:dyDescent="0.25">
      <c r="C71" s="14"/>
    </row>
    <row r="72" spans="3:5" x14ac:dyDescent="0.25">
      <c r="C72" s="14"/>
    </row>
    <row r="73" spans="3:5" x14ac:dyDescent="0.25">
      <c r="C73" s="14"/>
    </row>
    <row r="74" spans="3:5" x14ac:dyDescent="0.25">
      <c r="C74" s="14"/>
    </row>
    <row r="75" spans="3:5" x14ac:dyDescent="0.25">
      <c r="C75" s="14"/>
    </row>
    <row r="76" spans="3:5" x14ac:dyDescent="0.25">
      <c r="C76" s="14"/>
    </row>
    <row r="77" spans="3:5" x14ac:dyDescent="0.25">
      <c r="C77" s="14"/>
    </row>
    <row r="78" spans="3:5" x14ac:dyDescent="0.25">
      <c r="C78" s="14"/>
      <c r="E78" s="21" t="s">
        <v>1420</v>
      </c>
    </row>
    <row r="79" spans="3:5" x14ac:dyDescent="0.25">
      <c r="C79" s="14"/>
    </row>
    <row r="80" spans="3:5" x14ac:dyDescent="0.25">
      <c r="C80" s="14"/>
    </row>
    <row r="81" spans="3:3" x14ac:dyDescent="0.25">
      <c r="C81" s="14"/>
    </row>
    <row r="82" spans="3:3" x14ac:dyDescent="0.25">
      <c r="C82" s="14"/>
    </row>
    <row r="83" spans="3:3" x14ac:dyDescent="0.25">
      <c r="C83" s="14"/>
    </row>
    <row r="84" spans="3:3" x14ac:dyDescent="0.25">
      <c r="C84" s="14"/>
    </row>
    <row r="85" spans="3:3" x14ac:dyDescent="0.25">
      <c r="C85" s="14"/>
    </row>
    <row r="86" spans="3:3" x14ac:dyDescent="0.25">
      <c r="C86" s="14"/>
    </row>
    <row r="87" spans="3:3" x14ac:dyDescent="0.25">
      <c r="C87" s="14"/>
    </row>
    <row r="88" spans="3:3" x14ac:dyDescent="0.25">
      <c r="C88" s="14"/>
    </row>
    <row r="89" spans="3:3" x14ac:dyDescent="0.25">
      <c r="C89" s="14"/>
    </row>
    <row r="90" spans="3:3" x14ac:dyDescent="0.25">
      <c r="C90" s="14"/>
    </row>
    <row r="91" spans="3:3" x14ac:dyDescent="0.25">
      <c r="C91" s="14"/>
    </row>
    <row r="92" spans="3:3" x14ac:dyDescent="0.25">
      <c r="C92" s="14"/>
    </row>
    <row r="93" spans="3:3" x14ac:dyDescent="0.25">
      <c r="C93" s="14"/>
    </row>
    <row r="94" spans="3:3" x14ac:dyDescent="0.25">
      <c r="C94" s="14"/>
    </row>
    <row r="95" spans="3:3" x14ac:dyDescent="0.25">
      <c r="C95" s="14"/>
    </row>
    <row r="96" spans="3:3" x14ac:dyDescent="0.25">
      <c r="C96" s="14"/>
    </row>
    <row r="97" spans="3:3" x14ac:dyDescent="0.25">
      <c r="C97" s="14"/>
    </row>
    <row r="98" spans="3:3" x14ac:dyDescent="0.25">
      <c r="C98" s="14"/>
    </row>
  </sheetData>
  <mergeCells count="67">
    <mergeCell ref="G59:H59"/>
    <mergeCell ref="G60:H60"/>
    <mergeCell ref="G61:H61"/>
    <mergeCell ref="G53:H53"/>
    <mergeCell ref="G54:H54"/>
    <mergeCell ref="G55:H55"/>
    <mergeCell ref="G56:H56"/>
    <mergeCell ref="G57:H57"/>
    <mergeCell ref="G58:H58"/>
    <mergeCell ref="G52:H52"/>
    <mergeCell ref="G41:H41"/>
    <mergeCell ref="G42:H42"/>
    <mergeCell ref="G43:H43"/>
    <mergeCell ref="G44:H44"/>
    <mergeCell ref="G45:H45"/>
    <mergeCell ref="G46:H46"/>
    <mergeCell ref="G47:H47"/>
    <mergeCell ref="G48:H48"/>
    <mergeCell ref="G49:H49"/>
    <mergeCell ref="G50:H50"/>
    <mergeCell ref="G51:H51"/>
    <mergeCell ref="G40:H40"/>
    <mergeCell ref="G29:H29"/>
    <mergeCell ref="G30:H30"/>
    <mergeCell ref="G31:H31"/>
    <mergeCell ref="G32:H32"/>
    <mergeCell ref="G33:H33"/>
    <mergeCell ref="G34:H34"/>
    <mergeCell ref="G35:H35"/>
    <mergeCell ref="G36:H36"/>
    <mergeCell ref="G37:H37"/>
    <mergeCell ref="G38:H38"/>
    <mergeCell ref="G39:H39"/>
    <mergeCell ref="G28:H28"/>
    <mergeCell ref="G17:H17"/>
    <mergeCell ref="G18:H18"/>
    <mergeCell ref="G19:H19"/>
    <mergeCell ref="G20:H20"/>
    <mergeCell ref="G21:H21"/>
    <mergeCell ref="G22:H22"/>
    <mergeCell ref="G23:H23"/>
    <mergeCell ref="G24:H24"/>
    <mergeCell ref="G25:H25"/>
    <mergeCell ref="G26:H26"/>
    <mergeCell ref="G27:H27"/>
    <mergeCell ref="M2:M4"/>
    <mergeCell ref="G16:H16"/>
    <mergeCell ref="I6:I7"/>
    <mergeCell ref="J6:J7"/>
    <mergeCell ref="K6:M6"/>
    <mergeCell ref="G8:H8"/>
    <mergeCell ref="G9:H9"/>
    <mergeCell ref="G10:H10"/>
    <mergeCell ref="G11:H11"/>
    <mergeCell ref="G12:H12"/>
    <mergeCell ref="G13:H13"/>
    <mergeCell ref="G14:H14"/>
    <mergeCell ref="G15:H15"/>
    <mergeCell ref="E1:F4"/>
    <mergeCell ref="L1:L2"/>
    <mergeCell ref="A6:A7"/>
    <mergeCell ref="B6:B7"/>
    <mergeCell ref="C6:C7"/>
    <mergeCell ref="D6:D7"/>
    <mergeCell ref="E6:E7"/>
    <mergeCell ref="F6:F7"/>
    <mergeCell ref="G6:H7"/>
  </mergeCells>
  <conditionalFormatting sqref="C16:C21 C23:C45">
    <cfRule type="expression" dxfId="107" priority="7" stopIfTrue="1">
      <formula>#REF!=1</formula>
    </cfRule>
    <cfRule type="expression" priority="8" stopIfTrue="1">
      <formula>#REF!=2</formula>
    </cfRule>
    <cfRule type="expression" dxfId="106" priority="9" stopIfTrue="1">
      <formula>#REF!=3</formula>
    </cfRule>
  </conditionalFormatting>
  <conditionalFormatting sqref="C22">
    <cfRule type="expression" dxfId="105" priority="4" stopIfTrue="1">
      <formula>#REF!=1</formula>
    </cfRule>
    <cfRule type="expression" priority="5" stopIfTrue="1">
      <formula>#REF!=2</formula>
    </cfRule>
    <cfRule type="expression" dxfId="104" priority="6" stopIfTrue="1">
      <formula>#REF!=3</formula>
    </cfRule>
  </conditionalFormatting>
  <conditionalFormatting sqref="C46:C61">
    <cfRule type="expression" dxfId="103" priority="1" stopIfTrue="1">
      <formula>#REF!=1</formula>
    </cfRule>
    <cfRule type="expression" priority="2" stopIfTrue="1">
      <formula>#REF!=2</formula>
    </cfRule>
    <cfRule type="expression" dxfId="102" priority="3" stopIfTrue="1">
      <formula>#REF!=3</formula>
    </cfRule>
  </conditionalFormatting>
  <dataValidations count="2">
    <dataValidation operator="greaterThan" allowBlank="1" showDropDown="1" showInputMessage="1" showErrorMessage="1" errorTitle="Saisie incorrecte" error="Re-Saisir le numéro de dossier sous le format_x000a_000-000000-000" promptTitle="Saisie du numéro d'événement" prompt="000-000000-000_x000a_Ex. : 071-030901-001" sqref="J8:J39" xr:uid="{00000000-0002-0000-0D00-000000000000}"/>
    <dataValidation type="textLength" operator="greaterThanOrEqual" allowBlank="1" showInputMessage="1" showErrorMessage="1" errorTitle="Saisie incorrecte" error="Re-saisir le numéro d'entrée en utilisant 3 chiffres_x000a_Ex.: 001" promptTitle="Saisie du numéro d'entrée" prompt="Minimum 3 chiffres_x000a_Ex.: 001" sqref="C8:C39" xr:uid="{00000000-0002-0000-0D00-000001000000}">
      <formula1>3</formula1>
    </dataValidation>
  </dataValidations>
  <printOptions horizontalCentered="1" verticalCentered="1"/>
  <pageMargins left="0" right="0" top="0.31496062992125984" bottom="0.39370078740157483" header="0.15748031496062992" footer="0.19685039370078741"/>
  <pageSetup paperSize="5" scale="90" orientation="landscape" r:id="rId1"/>
  <headerFooter alignWithMargins="0">
    <oddFooter>&amp;R&amp;8Page &amp;P de &amp;N</oddFooter>
  </headerFooter>
  <drawing r:id="rId2"/>
  <legacyDrawing r:id="rId3"/>
  <controls>
    <mc:AlternateContent xmlns:mc="http://schemas.openxmlformats.org/markup-compatibility/2006">
      <mc:Choice Requires="x14">
        <control shapeId="155651" r:id="rId4" name="ComboBox2">
          <controlPr defaultSize="0" autoLine="0" r:id="rId5">
            <anchor moveWithCells="1">
              <from>
                <xdr:col>4</xdr:col>
                <xdr:colOff>0</xdr:colOff>
                <xdr:row>10</xdr:row>
                <xdr:rowOff>0</xdr:rowOff>
              </from>
              <to>
                <xdr:col>4</xdr:col>
                <xdr:colOff>2965450</xdr:colOff>
                <xdr:row>11</xdr:row>
                <xdr:rowOff>38100</xdr:rowOff>
              </to>
            </anchor>
          </controlPr>
        </control>
      </mc:Choice>
      <mc:Fallback>
        <control shapeId="155651" r:id="rId4" name="ComboBox2"/>
      </mc:Fallback>
    </mc:AlternateContent>
    <mc:AlternateContent xmlns:mc="http://schemas.openxmlformats.org/markup-compatibility/2006">
      <mc:Choice Requires="x14">
        <control shapeId="155650" r:id="rId6" name="ComboBox1">
          <controlPr defaultSize="0" autoLine="0" r:id="rId7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11</xdr:col>
                <xdr:colOff>1803400</xdr:colOff>
                <xdr:row>9</xdr:row>
                <xdr:rowOff>38100</xdr:rowOff>
              </to>
            </anchor>
          </controlPr>
        </control>
      </mc:Choice>
      <mc:Fallback>
        <control shapeId="155650" r:id="rId6" name="ComboBox1"/>
      </mc:Fallback>
    </mc:AlternateContent>
    <mc:AlternateContent xmlns:mc="http://schemas.openxmlformats.org/markup-compatibility/2006">
      <mc:Choice Requires="x14">
        <control shapeId="155649" r:id="rId8" name="Button 1">
          <controlPr defaultSize="0" print="0" autoFill="0" autoPict="0" macro="[0]!test2">
            <anchor moveWithCells="1">
              <from>
                <xdr:col>5</xdr:col>
                <xdr:colOff>222250</xdr:colOff>
                <xdr:row>1</xdr:row>
                <xdr:rowOff>139700</xdr:rowOff>
              </from>
              <to>
                <xdr:col>9</xdr:col>
                <xdr:colOff>1143000</xdr:colOff>
                <xdr:row>4</xdr:row>
                <xdr:rowOff>107950</xdr:rowOff>
              </to>
            </anchor>
          </controlPr>
        </control>
      </mc:Choice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72"/>
  <dimension ref="A1:M98"/>
  <sheetViews>
    <sheetView showGridLines="0" zoomScaleNormal="100" workbookViewId="0">
      <pane xSplit="3" ySplit="7" topLeftCell="D8" activePane="bottomRight" state="frozen"/>
      <selection activeCell="C8" sqref="C8"/>
      <selection pane="topRight" activeCell="C8" sqref="C8"/>
      <selection pane="bottomLeft" activeCell="C8" sqref="C8"/>
      <selection pane="bottomRight" activeCell="M2" sqref="M2:M5"/>
    </sheetView>
  </sheetViews>
  <sheetFormatPr baseColWidth="10" defaultColWidth="11.453125" defaultRowHeight="13" x14ac:dyDescent="0.25"/>
  <cols>
    <col min="1" max="2" width="5.6328125" style="1" customWidth="1"/>
    <col min="3" max="3" width="6.6328125" style="1" customWidth="1"/>
    <col min="4" max="4" width="7.54296875" style="1" customWidth="1"/>
    <col min="5" max="5" width="44.453125" style="21" customWidth="1"/>
    <col min="6" max="6" width="10.54296875" style="1" customWidth="1"/>
    <col min="7" max="7" width="13.90625" style="1" customWidth="1"/>
    <col min="8" max="8" width="4.6328125" style="1" hidden="1" customWidth="1"/>
    <col min="9" max="9" width="6.08984375" style="1" customWidth="1"/>
    <col min="10" max="10" width="26.54296875" style="1" customWidth="1"/>
    <col min="11" max="11" width="7.36328125" style="1" customWidth="1"/>
    <col min="12" max="12" width="27" style="24" customWidth="1"/>
    <col min="13" max="13" width="26" style="1" customWidth="1"/>
    <col min="14" max="16384" width="11.453125" style="1"/>
  </cols>
  <sheetData>
    <row r="1" spans="1:13" ht="12.75" customHeight="1" x14ac:dyDescent="0.25">
      <c r="E1" s="71" t="s">
        <v>1023</v>
      </c>
      <c r="F1" s="72"/>
      <c r="L1" s="73" t="s">
        <v>1021</v>
      </c>
      <c r="M1" s="51" t="s">
        <v>1022</v>
      </c>
    </row>
    <row r="2" spans="1:13" ht="12.75" customHeight="1" x14ac:dyDescent="0.25">
      <c r="E2" s="72"/>
      <c r="F2" s="72"/>
      <c r="L2" s="74"/>
      <c r="M2" s="70">
        <f>'14'!M2:M5+1</f>
        <v>42719</v>
      </c>
    </row>
    <row r="3" spans="1:13" ht="12.75" customHeight="1" x14ac:dyDescent="0.25">
      <c r="E3" s="72"/>
      <c r="F3" s="72"/>
      <c r="L3" s="52"/>
      <c r="M3" s="70"/>
    </row>
    <row r="4" spans="1:13" ht="15.75" customHeight="1" x14ac:dyDescent="0.25">
      <c r="E4" s="72"/>
      <c r="F4" s="72"/>
      <c r="L4" s="49" t="s">
        <v>140</v>
      </c>
      <c r="M4" s="70"/>
    </row>
    <row r="5" spans="1:13" ht="21.9" customHeight="1" thickBot="1" x14ac:dyDescent="0.3">
      <c r="L5" s="36"/>
      <c r="M5" s="69">
        <f>M2</f>
        <v>42719</v>
      </c>
    </row>
    <row r="6" spans="1:13" ht="24.9" customHeight="1" x14ac:dyDescent="0.25">
      <c r="A6" s="75" t="s">
        <v>2351</v>
      </c>
      <c r="B6" s="75" t="s">
        <v>2350</v>
      </c>
      <c r="C6" s="76" t="s">
        <v>1362</v>
      </c>
      <c r="D6" s="75" t="s">
        <v>1153</v>
      </c>
      <c r="E6" s="75" t="s">
        <v>1016</v>
      </c>
      <c r="F6" s="76" t="s">
        <v>2352</v>
      </c>
      <c r="G6" s="76" t="s">
        <v>1017</v>
      </c>
      <c r="H6" s="79"/>
      <c r="I6" s="76" t="s">
        <v>1364</v>
      </c>
      <c r="J6" s="76" t="s">
        <v>1363</v>
      </c>
      <c r="K6" s="83" t="s">
        <v>1018</v>
      </c>
      <c r="L6" s="84"/>
      <c r="M6" s="84"/>
    </row>
    <row r="7" spans="1:13" ht="12.5" x14ac:dyDescent="0.25">
      <c r="A7" s="75"/>
      <c r="B7" s="75"/>
      <c r="C7" s="77"/>
      <c r="D7" s="75"/>
      <c r="E7" s="75"/>
      <c r="F7" s="78"/>
      <c r="G7" s="80"/>
      <c r="H7" s="81"/>
      <c r="I7" s="77"/>
      <c r="J7" s="77"/>
      <c r="K7" s="50" t="s">
        <v>1015</v>
      </c>
      <c r="L7" s="50" t="s">
        <v>1019</v>
      </c>
      <c r="M7" s="32" t="s">
        <v>1020</v>
      </c>
    </row>
    <row r="8" spans="1:13" ht="30" customHeight="1" x14ac:dyDescent="0.25">
      <c r="A8" s="45"/>
      <c r="B8" s="45"/>
      <c r="C8" s="30"/>
      <c r="D8" s="46"/>
      <c r="E8" s="27"/>
      <c r="F8" s="31"/>
      <c r="G8" s="82" t="str">
        <f>IF(F8=0,"",VLOOKUP(F8,Employés!$A$2:$B$186,2,0))</f>
        <v/>
      </c>
      <c r="H8" s="82"/>
      <c r="I8" s="34"/>
      <c r="J8" s="33"/>
      <c r="K8" s="19"/>
      <c r="L8" s="20" t="s">
        <v>1420</v>
      </c>
      <c r="M8" s="37" t="str">
        <f>IF(I8=0,"",VLOOKUP(I8,Municipalités!$A$2:$B$1290,2,TRUE))</f>
        <v/>
      </c>
    </row>
    <row r="9" spans="1:13" ht="30" customHeight="1" x14ac:dyDescent="0.25">
      <c r="A9" s="45"/>
      <c r="B9" s="45"/>
      <c r="C9" s="39"/>
      <c r="D9" s="47"/>
      <c r="E9" s="27"/>
      <c r="F9" s="31"/>
      <c r="G9" s="82" t="str">
        <f>IF(F9=0,"",VLOOKUP(F9,Employés!$A$2:$B$186,2,0))</f>
        <v/>
      </c>
      <c r="H9" s="82"/>
      <c r="I9" s="35"/>
      <c r="J9" s="33"/>
      <c r="K9" s="19"/>
      <c r="L9" s="20"/>
      <c r="M9" s="37" t="str">
        <f>IF(I9=0,"",VLOOKUP(I9,Municipalités!$A$2:$B$1290,2,TRUE))</f>
        <v/>
      </c>
    </row>
    <row r="10" spans="1:13" ht="30" customHeight="1" x14ac:dyDescent="0.25">
      <c r="A10" s="45"/>
      <c r="B10" s="45"/>
      <c r="C10" s="39"/>
      <c r="D10" s="48"/>
      <c r="E10" s="28"/>
      <c r="F10" s="31"/>
      <c r="G10" s="82" t="str">
        <f>IF(F10=0,"",VLOOKUP(F10,Employés!$A$2:$B$186,2,0))</f>
        <v/>
      </c>
      <c r="H10" s="82"/>
      <c r="I10" s="35"/>
      <c r="J10" s="29"/>
      <c r="K10" s="19"/>
      <c r="L10" s="20"/>
      <c r="M10" s="37" t="str">
        <f>IF(I10=0,"",VLOOKUP(I10,Municipalités!$A$2:$B$1290,2,TRUE))</f>
        <v/>
      </c>
    </row>
    <row r="11" spans="1:13" ht="30" customHeight="1" x14ac:dyDescent="0.25">
      <c r="A11" s="45"/>
      <c r="B11" s="45"/>
      <c r="C11" s="39"/>
      <c r="D11" s="47"/>
      <c r="E11" s="28" t="s">
        <v>1420</v>
      </c>
      <c r="F11" s="31"/>
      <c r="G11" s="82" t="str">
        <f>IF(F11=0,"",VLOOKUP(F11,Employés!$A$2:$B$186,2,0))</f>
        <v/>
      </c>
      <c r="H11" s="82"/>
      <c r="I11" s="35"/>
      <c r="J11" s="29"/>
      <c r="K11" s="19"/>
      <c r="L11" s="20"/>
      <c r="M11" s="37" t="str">
        <f>IF(I11=0,"",VLOOKUP(I11,Municipalités!$A$2:$B$1290,2,TRUE))</f>
        <v/>
      </c>
    </row>
    <row r="12" spans="1:13" ht="30" customHeight="1" x14ac:dyDescent="0.25">
      <c r="A12" s="45"/>
      <c r="B12" s="45"/>
      <c r="C12" s="39"/>
      <c r="D12" s="46"/>
      <c r="E12" s="27"/>
      <c r="F12" s="31"/>
      <c r="G12" s="82" t="str">
        <f>IF(F12=0,"",VLOOKUP(F12,Employés!$A$2:$B$186,2,0))</f>
        <v/>
      </c>
      <c r="H12" s="82"/>
      <c r="I12" s="35"/>
      <c r="J12" s="29"/>
      <c r="K12" s="19"/>
      <c r="L12" s="20"/>
      <c r="M12" s="37" t="str">
        <f>IF(I12=0,"",VLOOKUP(I12,Municipalités!$A$2:$B$1290,2,TRUE))</f>
        <v/>
      </c>
    </row>
    <row r="13" spans="1:13" ht="30" customHeight="1" x14ac:dyDescent="0.25">
      <c r="A13" s="45"/>
      <c r="B13" s="45"/>
      <c r="C13" s="39"/>
      <c r="D13" s="46"/>
      <c r="E13" s="27"/>
      <c r="F13" s="31"/>
      <c r="G13" s="82" t="str">
        <f>IF(F13=0,"",VLOOKUP(F13,Employés!$A$2:$B$186,2,0))</f>
        <v/>
      </c>
      <c r="H13" s="82"/>
      <c r="I13" s="35"/>
      <c r="J13" s="29"/>
      <c r="K13" s="19"/>
      <c r="L13" s="20"/>
      <c r="M13" s="37" t="str">
        <f>IF(I13=0,"",VLOOKUP(I13,Municipalités!$A$2:$B$1290,2,TRUE))</f>
        <v/>
      </c>
    </row>
    <row r="14" spans="1:13" ht="30" customHeight="1" x14ac:dyDescent="0.25">
      <c r="A14" s="45"/>
      <c r="B14" s="45"/>
      <c r="C14" s="39"/>
      <c r="D14" s="47"/>
      <c r="E14" s="27"/>
      <c r="F14" s="31"/>
      <c r="G14" s="82" t="str">
        <f>IF(F14=0,"",VLOOKUP(F14,Employés!$A$2:$B$186,2,0))</f>
        <v/>
      </c>
      <c r="H14" s="82"/>
      <c r="I14" s="35"/>
      <c r="J14" s="29"/>
      <c r="K14" s="19"/>
      <c r="L14" s="20"/>
      <c r="M14" s="37" t="str">
        <f>IF(I14=0,"",VLOOKUP(I14,Municipalités!$A$2:$B$1290,2,TRUE))</f>
        <v/>
      </c>
    </row>
    <row r="15" spans="1:13" ht="30" customHeight="1" x14ac:dyDescent="0.25">
      <c r="A15" s="45"/>
      <c r="B15" s="45"/>
      <c r="C15" s="39"/>
      <c r="D15" s="47"/>
      <c r="E15" s="27"/>
      <c r="F15" s="31"/>
      <c r="G15" s="82" t="str">
        <f>IF(F15=0,"",VLOOKUP(F15,Employés!$A$2:$B$186,2,0))</f>
        <v/>
      </c>
      <c r="H15" s="82"/>
      <c r="I15" s="35"/>
      <c r="J15" s="29"/>
      <c r="K15" s="19"/>
      <c r="L15" s="20"/>
      <c r="M15" s="37" t="str">
        <f>IF(I15=0,"",VLOOKUP(I15,Municipalités!$A$2:$B$1290,2,TRUE))</f>
        <v/>
      </c>
    </row>
    <row r="16" spans="1:13" ht="30" customHeight="1" x14ac:dyDescent="0.25">
      <c r="A16" s="45"/>
      <c r="B16" s="45"/>
      <c r="C16" s="39"/>
      <c r="D16" s="46"/>
      <c r="E16" s="27"/>
      <c r="F16" s="31"/>
      <c r="G16" s="82" t="str">
        <f>IF(F16=0,"",VLOOKUP(F16,Employés!$A$2:$B$186,2,0))</f>
        <v/>
      </c>
      <c r="H16" s="82"/>
      <c r="I16" s="35"/>
      <c r="J16" s="29"/>
      <c r="K16" s="19"/>
      <c r="L16" s="20"/>
      <c r="M16" s="37" t="str">
        <f>IF(I16=0,"",VLOOKUP(I16,Municipalités!$A$2:$B$1290,2,TRUE))</f>
        <v/>
      </c>
    </row>
    <row r="17" spans="1:13" ht="30" customHeight="1" x14ac:dyDescent="0.25">
      <c r="A17" s="45"/>
      <c r="B17" s="45"/>
      <c r="C17" s="39"/>
      <c r="D17" s="46"/>
      <c r="E17" s="27"/>
      <c r="F17" s="31"/>
      <c r="G17" s="82" t="str">
        <f>IF(F17=0,"",VLOOKUP(F17,Employés!$A$2:$B$186,2,0))</f>
        <v/>
      </c>
      <c r="H17" s="82"/>
      <c r="I17" s="35"/>
      <c r="J17" s="29"/>
      <c r="K17" s="19"/>
      <c r="L17" s="20"/>
      <c r="M17" s="37" t="str">
        <f>IF(I17=0,"",VLOOKUP(I17,Municipalités!$A$2:$B$1290,2,TRUE))</f>
        <v/>
      </c>
    </row>
    <row r="18" spans="1:13" ht="30" customHeight="1" x14ac:dyDescent="0.25">
      <c r="A18" s="45"/>
      <c r="B18" s="45"/>
      <c r="C18" s="39"/>
      <c r="D18" s="46"/>
      <c r="E18" s="27"/>
      <c r="F18" s="31"/>
      <c r="G18" s="82" t="str">
        <f>IF(F18=0,"",VLOOKUP(F18,Employés!$A$2:$B$186,2,0))</f>
        <v/>
      </c>
      <c r="H18" s="82"/>
      <c r="I18" s="35"/>
      <c r="J18" s="29"/>
      <c r="K18" s="19"/>
      <c r="L18" s="20"/>
      <c r="M18" s="37" t="str">
        <f>IF(I18=0,"",VLOOKUP(I18,Municipalités!$A$2:$B$1290,2,TRUE))</f>
        <v/>
      </c>
    </row>
    <row r="19" spans="1:13" ht="30" customHeight="1" x14ac:dyDescent="0.25">
      <c r="A19" s="45"/>
      <c r="B19" s="45"/>
      <c r="C19" s="39"/>
      <c r="D19" s="46"/>
      <c r="E19" s="27"/>
      <c r="F19" s="31"/>
      <c r="G19" s="82" t="str">
        <f>IF(F19=0,"",VLOOKUP(F19,Employés!$A$2:$B$186,2,0))</f>
        <v/>
      </c>
      <c r="H19" s="82"/>
      <c r="I19" s="35"/>
      <c r="J19" s="29"/>
      <c r="K19" s="19"/>
      <c r="L19" s="20"/>
      <c r="M19" s="37" t="str">
        <f>IF(I19=0,"",VLOOKUP(I19,Municipalités!$A$2:$B$1290,2,TRUE))</f>
        <v/>
      </c>
    </row>
    <row r="20" spans="1:13" ht="30" customHeight="1" x14ac:dyDescent="0.25">
      <c r="A20" s="45"/>
      <c r="B20" s="45"/>
      <c r="C20" s="39"/>
      <c r="D20" s="47"/>
      <c r="E20" s="27"/>
      <c r="F20" s="31"/>
      <c r="G20" s="82" t="str">
        <f>IF(F20=0,"",VLOOKUP(F20,Employés!$A$2:$B$186,2,0))</f>
        <v/>
      </c>
      <c r="H20" s="82"/>
      <c r="I20" s="35"/>
      <c r="J20" s="29"/>
      <c r="K20" s="19"/>
      <c r="L20" s="20"/>
      <c r="M20" s="37" t="str">
        <f>IF(I20=0,"",VLOOKUP(I20,Municipalités!$A$2:$B$1290,2,TRUE))</f>
        <v/>
      </c>
    </row>
    <row r="21" spans="1:13" ht="30" customHeight="1" x14ac:dyDescent="0.25">
      <c r="A21" s="45"/>
      <c r="B21" s="45"/>
      <c r="C21" s="39"/>
      <c r="D21" s="47"/>
      <c r="E21" s="27"/>
      <c r="F21" s="31"/>
      <c r="G21" s="82" t="str">
        <f>IF(F21=0,"",VLOOKUP(F21,Employés!$A$2:$B$186,2,0))</f>
        <v/>
      </c>
      <c r="H21" s="82"/>
      <c r="I21" s="35"/>
      <c r="J21" s="29"/>
      <c r="K21" s="19"/>
      <c r="L21" s="20"/>
      <c r="M21" s="37" t="str">
        <f>IF(I21=0,"",VLOOKUP(I21,Municipalités!$A$2:$B$1290,2,TRUE))</f>
        <v/>
      </c>
    </row>
    <row r="22" spans="1:13" ht="30" customHeight="1" x14ac:dyDescent="0.25">
      <c r="A22" s="45"/>
      <c r="B22" s="45"/>
      <c r="C22" s="39"/>
      <c r="D22" s="46"/>
      <c r="E22" s="27"/>
      <c r="F22" s="31"/>
      <c r="G22" s="82" t="str">
        <f>IF(F22=0,"",VLOOKUP(F22,Employés!$A$2:$B$186,2,0))</f>
        <v/>
      </c>
      <c r="H22" s="82"/>
      <c r="I22" s="35"/>
      <c r="J22" s="29"/>
      <c r="K22" s="19"/>
      <c r="L22" s="20"/>
      <c r="M22" s="37" t="str">
        <f>IF(I22=0,"",VLOOKUP(I22,Municipalités!$A$2:$B$1290,2,TRUE))</f>
        <v/>
      </c>
    </row>
    <row r="23" spans="1:13" ht="30" customHeight="1" x14ac:dyDescent="0.25">
      <c r="A23" s="45"/>
      <c r="B23" s="45"/>
      <c r="C23" s="39"/>
      <c r="D23" s="46"/>
      <c r="E23" s="27"/>
      <c r="F23" s="31"/>
      <c r="G23" s="82" t="str">
        <f>IF(F23=0,"",VLOOKUP(F23,Employés!$A$2:$B$186,2,0))</f>
        <v/>
      </c>
      <c r="H23" s="82"/>
      <c r="I23" s="35"/>
      <c r="J23" s="29"/>
      <c r="K23" s="19"/>
      <c r="L23" s="20"/>
      <c r="M23" s="37" t="str">
        <f>IF(I23=0,"",VLOOKUP(I23,Municipalités!$A$2:$B$1290,2,TRUE))</f>
        <v/>
      </c>
    </row>
    <row r="24" spans="1:13" ht="30" customHeight="1" x14ac:dyDescent="0.25">
      <c r="A24" s="45"/>
      <c r="B24" s="45"/>
      <c r="C24" s="39"/>
      <c r="D24" s="46"/>
      <c r="E24" s="27"/>
      <c r="F24" s="31"/>
      <c r="G24" s="82" t="str">
        <f>IF(F24=0,"",VLOOKUP(F24,Employés!$A$2:$B$186,2,0))</f>
        <v/>
      </c>
      <c r="H24" s="82"/>
      <c r="I24" s="35"/>
      <c r="J24" s="29"/>
      <c r="K24" s="19"/>
      <c r="L24" s="20"/>
      <c r="M24" s="37" t="str">
        <f>IF(I24=0,"",VLOOKUP(I24,Municipalités!$A$2:$B$1290,2,TRUE))</f>
        <v/>
      </c>
    </row>
    <row r="25" spans="1:13" ht="30" customHeight="1" x14ac:dyDescent="0.25">
      <c r="A25" s="45"/>
      <c r="B25" s="45"/>
      <c r="C25" s="39"/>
      <c r="D25" s="46"/>
      <c r="E25" s="27"/>
      <c r="F25" s="31"/>
      <c r="G25" s="82" t="str">
        <f>IF(F25=0,"",VLOOKUP(F25,Employés!$A$2:$B$186,2,0))</f>
        <v/>
      </c>
      <c r="H25" s="82"/>
      <c r="I25" s="35"/>
      <c r="J25" s="29"/>
      <c r="K25" s="19"/>
      <c r="L25" s="20"/>
      <c r="M25" s="37" t="str">
        <f>IF(I25=0,"",VLOOKUP(I25,Municipalités!$A$2:$B$1290,2,TRUE))</f>
        <v/>
      </c>
    </row>
    <row r="26" spans="1:13" ht="30" customHeight="1" x14ac:dyDescent="0.25">
      <c r="A26" s="45"/>
      <c r="B26" s="45"/>
      <c r="C26" s="39"/>
      <c r="D26" s="46"/>
      <c r="E26" s="27"/>
      <c r="F26" s="31"/>
      <c r="G26" s="82" t="str">
        <f>IF(F26=0,"",VLOOKUP(F26,Employés!$A$2:$B$186,2,0))</f>
        <v/>
      </c>
      <c r="H26" s="82"/>
      <c r="I26" s="35"/>
      <c r="J26" s="29"/>
      <c r="K26" s="19"/>
      <c r="L26" s="20"/>
      <c r="M26" s="37" t="str">
        <f>IF(I26=0,"",VLOOKUP(I26,Municipalités!$A$2:$B$1290,2,TRUE))</f>
        <v/>
      </c>
    </row>
    <row r="27" spans="1:13" ht="30" customHeight="1" x14ac:dyDescent="0.25">
      <c r="A27" s="45"/>
      <c r="B27" s="45"/>
      <c r="C27" s="39"/>
      <c r="D27" s="46"/>
      <c r="E27" s="27"/>
      <c r="F27" s="31"/>
      <c r="G27" s="82" t="str">
        <f>IF(F27=0,"",VLOOKUP(F27,Employés!$A$2:$B$186,2,0))</f>
        <v/>
      </c>
      <c r="H27" s="82"/>
      <c r="I27" s="35"/>
      <c r="J27" s="29"/>
      <c r="K27" s="19"/>
      <c r="L27" s="20"/>
      <c r="M27" s="37" t="str">
        <f>IF(I27=0,"",VLOOKUP(I27,Municipalités!$A$2:$B$1290,2,TRUE))</f>
        <v/>
      </c>
    </row>
    <row r="28" spans="1:13" ht="30" customHeight="1" x14ac:dyDescent="0.25">
      <c r="A28" s="45"/>
      <c r="B28" s="45"/>
      <c r="C28" s="39"/>
      <c r="D28" s="46"/>
      <c r="E28" s="27"/>
      <c r="F28" s="31"/>
      <c r="G28" s="82" t="str">
        <f>IF(F28=0,"",VLOOKUP(F28,Employés!$A$2:$B$186,2,0))</f>
        <v/>
      </c>
      <c r="H28" s="82"/>
      <c r="I28" s="35"/>
      <c r="J28" s="29"/>
      <c r="K28" s="19"/>
      <c r="L28" s="20"/>
      <c r="M28" s="37" t="str">
        <f>IF(I28=0,"",VLOOKUP(I28,Municipalités!$A$2:$B$1290,2,TRUE))</f>
        <v/>
      </c>
    </row>
    <row r="29" spans="1:13" ht="30" customHeight="1" x14ac:dyDescent="0.25">
      <c r="A29" s="45"/>
      <c r="B29" s="45"/>
      <c r="C29" s="39"/>
      <c r="D29" s="46"/>
      <c r="E29" s="27"/>
      <c r="F29" s="31"/>
      <c r="G29" s="82" t="str">
        <f>IF(F29=0,"",VLOOKUP(F29,Employés!$A$2:$B$186,2,0))</f>
        <v/>
      </c>
      <c r="H29" s="82"/>
      <c r="I29" s="35"/>
      <c r="J29" s="29"/>
      <c r="K29" s="19"/>
      <c r="L29" s="20"/>
      <c r="M29" s="37" t="str">
        <f>IF(I29=0,"",VLOOKUP(I29,Municipalités!$A$2:$B$1290,2,TRUE))</f>
        <v/>
      </c>
    </row>
    <row r="30" spans="1:13" ht="30" customHeight="1" x14ac:dyDescent="0.25">
      <c r="A30" s="45"/>
      <c r="B30" s="45"/>
      <c r="C30" s="39"/>
      <c r="D30" s="46"/>
      <c r="E30" s="27"/>
      <c r="F30" s="31"/>
      <c r="G30" s="82" t="str">
        <f>IF(F30=0,"",VLOOKUP(F30,Employés!$A$2:$B$186,2,0))</f>
        <v/>
      </c>
      <c r="H30" s="82"/>
      <c r="I30" s="35"/>
      <c r="J30" s="29"/>
      <c r="K30" s="19"/>
      <c r="L30" s="20"/>
      <c r="M30" s="37" t="str">
        <f>IF(I30=0,"",VLOOKUP(I30,Municipalités!$A$2:$B$1290,2,TRUE))</f>
        <v/>
      </c>
    </row>
    <row r="31" spans="1:13" ht="30" customHeight="1" x14ac:dyDescent="0.25">
      <c r="A31" s="45"/>
      <c r="B31" s="45"/>
      <c r="C31" s="39"/>
      <c r="D31" s="47"/>
      <c r="E31" s="27"/>
      <c r="F31" s="31"/>
      <c r="G31" s="82" t="str">
        <f>IF(F31=0,"",VLOOKUP(F31,Employés!$A$2:$B$186,2,0))</f>
        <v/>
      </c>
      <c r="H31" s="82"/>
      <c r="I31" s="35"/>
      <c r="J31" s="29"/>
      <c r="K31" s="19"/>
      <c r="L31" s="20"/>
      <c r="M31" s="37" t="str">
        <f>IF(I31=0,"",VLOOKUP(I31,Municipalités!$A$2:$B$1290,2,TRUE))</f>
        <v/>
      </c>
    </row>
    <row r="32" spans="1:13" ht="30" customHeight="1" x14ac:dyDescent="0.25">
      <c r="A32" s="45"/>
      <c r="B32" s="45"/>
      <c r="C32" s="39"/>
      <c r="D32" s="46"/>
      <c r="E32" s="27"/>
      <c r="F32" s="31"/>
      <c r="G32" s="82" t="str">
        <f>IF(F32=0,"",VLOOKUP(F32,Employés!$A$2:$B$186,2,0))</f>
        <v/>
      </c>
      <c r="H32" s="82"/>
      <c r="I32" s="35"/>
      <c r="J32" s="29"/>
      <c r="K32" s="19"/>
      <c r="L32" s="20"/>
      <c r="M32" s="37" t="str">
        <f>IF(I32=0,"",VLOOKUP(I32,Municipalités!$A$2:$B$1290,2,TRUE))</f>
        <v/>
      </c>
    </row>
    <row r="33" spans="1:13" ht="30" customHeight="1" x14ac:dyDescent="0.25">
      <c r="A33" s="45"/>
      <c r="B33" s="45"/>
      <c r="C33" s="39"/>
      <c r="D33" s="46"/>
      <c r="E33" s="27"/>
      <c r="F33" s="31"/>
      <c r="G33" s="82" t="str">
        <f>IF(F33=0,"",VLOOKUP(F33,Employés!$A$2:$B$186,2,0))</f>
        <v/>
      </c>
      <c r="H33" s="82"/>
      <c r="I33" s="35"/>
      <c r="J33" s="29"/>
      <c r="K33" s="19"/>
      <c r="L33" s="20"/>
      <c r="M33" s="37" t="str">
        <f>IF(I33=0,"",VLOOKUP(I33,Municipalités!$A$2:$B$1290,2,TRUE))</f>
        <v/>
      </c>
    </row>
    <row r="34" spans="1:13" ht="30" customHeight="1" x14ac:dyDescent="0.25">
      <c r="A34" s="45"/>
      <c r="B34" s="45"/>
      <c r="C34" s="39"/>
      <c r="D34" s="46"/>
      <c r="E34" s="27"/>
      <c r="F34" s="31"/>
      <c r="G34" s="82" t="str">
        <f>IF(F34=0,"",VLOOKUP(F34,Employés!$A$2:$B$186,2,0))</f>
        <v/>
      </c>
      <c r="H34" s="82"/>
      <c r="I34" s="35"/>
      <c r="J34" s="29"/>
      <c r="K34" s="19"/>
      <c r="L34" s="20"/>
      <c r="M34" s="37" t="str">
        <f>IF(I34=0,"",VLOOKUP(I34,Municipalités!$A$2:$B$1290,2,TRUE))</f>
        <v/>
      </c>
    </row>
    <row r="35" spans="1:13" ht="30" customHeight="1" x14ac:dyDescent="0.25">
      <c r="A35" s="45"/>
      <c r="B35" s="45"/>
      <c r="C35" s="30"/>
      <c r="D35" s="46"/>
      <c r="E35" s="27"/>
      <c r="F35" s="31"/>
      <c r="G35" s="82" t="str">
        <f>IF(F35=0,"",VLOOKUP(F35,Employés!$A$2:$B$186,2,0))</f>
        <v/>
      </c>
      <c r="H35" s="82"/>
      <c r="I35" s="35"/>
      <c r="J35" s="29"/>
      <c r="K35" s="19"/>
      <c r="L35" s="20"/>
      <c r="M35" s="37" t="str">
        <f>IF(I35=0,"",VLOOKUP(I35,Municipalités!$A$2:$B$1290,2,TRUE))</f>
        <v/>
      </c>
    </row>
    <row r="36" spans="1:13" ht="30" customHeight="1" x14ac:dyDescent="0.25">
      <c r="A36" s="45"/>
      <c r="B36" s="45"/>
      <c r="C36" s="30"/>
      <c r="D36" s="46"/>
      <c r="E36" s="27"/>
      <c r="F36" s="31"/>
      <c r="G36" s="82" t="str">
        <f>IF(F36=0,"",VLOOKUP(F36,Employés!$A$2:$B$186,2,0))</f>
        <v/>
      </c>
      <c r="H36" s="82"/>
      <c r="I36" s="35"/>
      <c r="J36" s="29"/>
      <c r="K36" s="19"/>
      <c r="L36" s="20"/>
      <c r="M36" s="37" t="str">
        <f>IF(I36=0,"",VLOOKUP(I36,Municipalités!$A$2:$B$1290,2,TRUE))</f>
        <v/>
      </c>
    </row>
    <row r="37" spans="1:13" ht="30" customHeight="1" x14ac:dyDescent="0.25">
      <c r="A37" s="45"/>
      <c r="B37" s="45"/>
      <c r="C37" s="39"/>
      <c r="D37" s="46"/>
      <c r="E37" s="27"/>
      <c r="F37" s="31"/>
      <c r="G37" s="82" t="str">
        <f>IF(F37=0,"",VLOOKUP(F37,Employés!$A$2:$B$186,2,0))</f>
        <v/>
      </c>
      <c r="H37" s="82"/>
      <c r="I37" s="35"/>
      <c r="J37" s="29"/>
      <c r="K37" s="19"/>
      <c r="L37" s="20"/>
      <c r="M37" s="37" t="str">
        <f>IF(I37=0,"",VLOOKUP(I37,Municipalités!$A$2:$B$1290,2,TRUE))</f>
        <v/>
      </c>
    </row>
    <row r="38" spans="1:13" ht="30" customHeight="1" x14ac:dyDescent="0.25">
      <c r="A38" s="45"/>
      <c r="B38" s="45"/>
      <c r="C38" s="39"/>
      <c r="D38" s="47"/>
      <c r="E38" s="27"/>
      <c r="F38" s="31"/>
      <c r="G38" s="82" t="str">
        <f>IF(F38=0,"",VLOOKUP(F38,Employés!$A$2:$B$186,2,0))</f>
        <v/>
      </c>
      <c r="H38" s="82"/>
      <c r="I38" s="35"/>
      <c r="J38" s="29"/>
      <c r="K38" s="19"/>
      <c r="L38" s="20"/>
      <c r="M38" s="37" t="str">
        <f>IF(I38=0,"",VLOOKUP(I38,Municipalités!$A$2:$B$1290,2,TRUE))</f>
        <v/>
      </c>
    </row>
    <row r="39" spans="1:13" ht="30" customHeight="1" x14ac:dyDescent="0.25">
      <c r="A39" s="45"/>
      <c r="B39" s="45"/>
      <c r="C39" s="39"/>
      <c r="D39" s="45"/>
      <c r="E39" s="27"/>
      <c r="F39" s="31"/>
      <c r="G39" s="82" t="str">
        <f>IF(F39=0,"",VLOOKUP(F39,Employés!$A$2:$B$186,2,0))</f>
        <v/>
      </c>
      <c r="H39" s="82"/>
      <c r="I39" s="35"/>
      <c r="J39" s="29"/>
      <c r="K39" s="26"/>
      <c r="L39" s="25"/>
      <c r="M39" s="37" t="str">
        <f>IF(I39=0,"",VLOOKUP(I39,Municipalités!$A$2:$B$1290,2,TRUE))</f>
        <v/>
      </c>
    </row>
    <row r="40" spans="1:13" ht="30" customHeight="1" x14ac:dyDescent="0.25">
      <c r="A40" s="8"/>
      <c r="B40" s="8"/>
      <c r="C40" s="30"/>
      <c r="D40" s="8"/>
      <c r="E40" s="27"/>
      <c r="F40" s="31"/>
      <c r="G40" s="82" t="str">
        <f>IF(F40=0,"",VLOOKUP(F40,Employés!$A$2:$B$186,2,0))</f>
        <v/>
      </c>
      <c r="H40" s="82"/>
      <c r="I40" s="35"/>
      <c r="J40" s="29"/>
      <c r="K40" s="26"/>
      <c r="L40" s="25"/>
      <c r="M40" s="37" t="str">
        <f>IF(I40=0,"",VLOOKUP(I40,Municipalités!$A$2:$B$1290,2,TRUE))</f>
        <v/>
      </c>
    </row>
    <row r="41" spans="1:13" ht="30" customHeight="1" x14ac:dyDescent="0.25">
      <c r="A41" s="8"/>
      <c r="B41" s="8"/>
      <c r="C41" s="30"/>
      <c r="D41" s="8"/>
      <c r="E41" s="27"/>
      <c r="F41" s="31"/>
      <c r="G41" s="82" t="str">
        <f>IF(F41=0,"",VLOOKUP(F41,Employés!$A$2:$B$186,2,0))</f>
        <v/>
      </c>
      <c r="H41" s="82"/>
      <c r="I41" s="35"/>
      <c r="J41" s="29"/>
      <c r="K41" s="26"/>
      <c r="L41" s="25"/>
      <c r="M41" s="37" t="str">
        <f>IF(I41=0,"",VLOOKUP(I41,Municipalités!$A$2:$B$1290,2,TRUE))</f>
        <v/>
      </c>
    </row>
    <row r="42" spans="1:13" ht="30" customHeight="1" x14ac:dyDescent="0.25">
      <c r="A42" s="8"/>
      <c r="B42" s="8"/>
      <c r="C42" s="30"/>
      <c r="D42" s="8"/>
      <c r="E42" s="27"/>
      <c r="F42" s="31"/>
      <c r="G42" s="82" t="str">
        <f>IF(F42=0,"",VLOOKUP(F42,Employés!$A$2:$B$186,2,0))</f>
        <v/>
      </c>
      <c r="H42" s="82"/>
      <c r="I42" s="35"/>
      <c r="J42" s="29"/>
      <c r="K42" s="26"/>
      <c r="L42" s="25"/>
      <c r="M42" s="37" t="str">
        <f>IF(I42=0,"",VLOOKUP(I42,Municipalités!$A$2:$B$1290,2,TRUE))</f>
        <v/>
      </c>
    </row>
    <row r="43" spans="1:13" ht="30" customHeight="1" x14ac:dyDescent="0.25">
      <c r="A43" s="8"/>
      <c r="B43" s="8"/>
      <c r="C43" s="30"/>
      <c r="D43" s="8"/>
      <c r="E43" s="27" t="s">
        <v>1420</v>
      </c>
      <c r="F43" s="31"/>
      <c r="G43" s="82" t="str">
        <f>IF(F43=0,"",VLOOKUP(F43,Employés!$A$2:$B$186,2,0))</f>
        <v/>
      </c>
      <c r="H43" s="82"/>
      <c r="I43" s="35"/>
      <c r="J43" s="29"/>
      <c r="K43" s="26"/>
      <c r="L43" s="25" t="s">
        <v>1420</v>
      </c>
      <c r="M43" s="37" t="str">
        <f>IF(I43=0,"",VLOOKUP(I43,Municipalités!$A$2:$B$1290,2,TRUE))</f>
        <v/>
      </c>
    </row>
    <row r="44" spans="1:13" ht="30" customHeight="1" x14ac:dyDescent="0.25">
      <c r="A44" s="8"/>
      <c r="B44" s="8"/>
      <c r="C44" s="30"/>
      <c r="D44" s="8"/>
      <c r="E44" s="27"/>
      <c r="F44" s="31"/>
      <c r="G44" s="82" t="str">
        <f>IF(F44=0,"",VLOOKUP(F44,Employés!$A$2:$B$186,2,0))</f>
        <v/>
      </c>
      <c r="H44" s="82"/>
      <c r="I44" s="35"/>
      <c r="J44" s="29"/>
      <c r="K44" s="26"/>
      <c r="L44" s="25"/>
      <c r="M44" s="37" t="str">
        <f>IF(I44=0,"",VLOOKUP(I44,Municipalités!$A$2:$B$1290,2,TRUE))</f>
        <v/>
      </c>
    </row>
    <row r="45" spans="1:13" ht="30" customHeight="1" x14ac:dyDescent="0.25">
      <c r="A45" s="8"/>
      <c r="B45" s="8"/>
      <c r="C45" s="30"/>
      <c r="D45" s="8"/>
      <c r="E45" s="27"/>
      <c r="F45" s="31"/>
      <c r="G45" s="82" t="str">
        <f>IF(F45=0,"",VLOOKUP(F45,Employés!$A$2:$B$186,2,0))</f>
        <v/>
      </c>
      <c r="H45" s="82"/>
      <c r="I45" s="35"/>
      <c r="J45" s="29"/>
      <c r="K45" s="26"/>
      <c r="L45" s="25"/>
      <c r="M45" s="37" t="str">
        <f>IF(I45=0,"",VLOOKUP(I45,Municipalités!$A$2:$B$1290,2,TRUE))</f>
        <v/>
      </c>
    </row>
    <row r="46" spans="1:13" ht="30" customHeight="1" x14ac:dyDescent="0.25">
      <c r="A46" s="8"/>
      <c r="B46" s="8"/>
      <c r="C46" s="30"/>
      <c r="D46" s="8"/>
      <c r="E46" s="27"/>
      <c r="F46" s="31"/>
      <c r="G46" s="82" t="str">
        <f>IF(F46=0,"",VLOOKUP(F46,Employés!$A$2:$B$186,2,0))</f>
        <v/>
      </c>
      <c r="H46" s="82"/>
      <c r="I46" s="35"/>
      <c r="J46" s="29"/>
      <c r="K46" s="26"/>
      <c r="L46" s="25"/>
      <c r="M46" s="37" t="str">
        <f>IF(I46=0,"",VLOOKUP(I46,Municipalités!$A$2:$B$1290,2,TRUE))</f>
        <v/>
      </c>
    </row>
    <row r="47" spans="1:13" ht="30" customHeight="1" x14ac:dyDescent="0.25">
      <c r="A47" s="8"/>
      <c r="B47" s="8"/>
      <c r="C47" s="30"/>
      <c r="D47" s="8"/>
      <c r="E47" s="27"/>
      <c r="F47" s="31"/>
      <c r="G47" s="82" t="str">
        <f>IF(F47=0,"",VLOOKUP(F47,Employés!$A$2:$B$186,2,0))</f>
        <v/>
      </c>
      <c r="H47" s="82"/>
      <c r="I47" s="35"/>
      <c r="J47" s="29"/>
      <c r="K47" s="26"/>
      <c r="L47" s="25"/>
      <c r="M47" s="37" t="str">
        <f>IF(I47=0,"",VLOOKUP(I47,Municipalités!$A$2:$B$1290,2,TRUE))</f>
        <v/>
      </c>
    </row>
    <row r="48" spans="1:13" ht="30" customHeight="1" x14ac:dyDescent="0.25">
      <c r="A48" s="8"/>
      <c r="B48" s="8"/>
      <c r="C48" s="30"/>
      <c r="D48" s="8"/>
      <c r="E48" s="27"/>
      <c r="F48" s="31"/>
      <c r="G48" s="82" t="str">
        <f>IF(F48=0,"",VLOOKUP(F48,Employés!$A$2:$B$186,2,0))</f>
        <v/>
      </c>
      <c r="H48" s="82"/>
      <c r="I48" s="35"/>
      <c r="J48" s="29"/>
      <c r="K48" s="26"/>
      <c r="L48" s="25"/>
      <c r="M48" s="37" t="str">
        <f>IF(I48=0,"",VLOOKUP(I48,Municipalités!$A$2:$B$1290,2,TRUE))</f>
        <v/>
      </c>
    </row>
    <row r="49" spans="1:13" ht="30" customHeight="1" x14ac:dyDescent="0.25">
      <c r="A49" s="8"/>
      <c r="B49" s="8"/>
      <c r="C49" s="30"/>
      <c r="D49" s="8"/>
      <c r="E49" s="27"/>
      <c r="F49" s="31"/>
      <c r="G49" s="82" t="str">
        <f>IF(F49=0,"",VLOOKUP(F49,Employés!$A$2:$B$186,2,0))</f>
        <v/>
      </c>
      <c r="H49" s="82"/>
      <c r="I49" s="35"/>
      <c r="J49" s="29"/>
      <c r="K49" s="26"/>
      <c r="L49" s="25"/>
      <c r="M49" s="37" t="str">
        <f>IF(I49=0,"",VLOOKUP(I49,Municipalités!$A$2:$B$1290,2,TRUE))</f>
        <v/>
      </c>
    </row>
    <row r="50" spans="1:13" ht="30" customHeight="1" x14ac:dyDescent="0.25">
      <c r="A50" s="8"/>
      <c r="B50" s="8"/>
      <c r="C50" s="30"/>
      <c r="D50" s="8"/>
      <c r="E50" s="27"/>
      <c r="F50" s="31"/>
      <c r="G50" s="82" t="str">
        <f>IF(F50=0,"",VLOOKUP(F50,Employés!$A$2:$B$186,2,0))</f>
        <v/>
      </c>
      <c r="H50" s="82"/>
      <c r="I50" s="35"/>
      <c r="J50" s="29"/>
      <c r="K50" s="26"/>
      <c r="L50" s="25"/>
      <c r="M50" s="37" t="str">
        <f>IF(I50=0,"",VLOOKUP(I50,Municipalités!$A$2:$B$1290,2,TRUE))</f>
        <v/>
      </c>
    </row>
    <row r="51" spans="1:13" ht="30" customHeight="1" x14ac:dyDescent="0.25">
      <c r="A51" s="8"/>
      <c r="B51" s="8"/>
      <c r="C51" s="30"/>
      <c r="D51" s="8"/>
      <c r="E51" s="27"/>
      <c r="F51" s="31"/>
      <c r="G51" s="82" t="str">
        <f>IF(F51=0,"",VLOOKUP(F51,Employés!$A$2:$B$186,2,0))</f>
        <v/>
      </c>
      <c r="H51" s="82"/>
      <c r="I51" s="35"/>
      <c r="J51" s="29"/>
      <c r="K51" s="26"/>
      <c r="L51" s="25"/>
      <c r="M51" s="37" t="str">
        <f>IF(I51=0,"",VLOOKUP(I51,Municipalités!$A$2:$B$1290,2,TRUE))</f>
        <v/>
      </c>
    </row>
    <row r="52" spans="1:13" ht="30" customHeight="1" x14ac:dyDescent="0.25">
      <c r="A52" s="8"/>
      <c r="B52" s="8"/>
      <c r="C52" s="30"/>
      <c r="D52" s="8"/>
      <c r="E52" s="27"/>
      <c r="F52" s="31"/>
      <c r="G52" s="82" t="str">
        <f>IF(F52=0,"",VLOOKUP(F52,Employés!$A$2:$B$186,2,0))</f>
        <v/>
      </c>
      <c r="H52" s="82"/>
      <c r="I52" s="35"/>
      <c r="J52" s="29"/>
      <c r="K52" s="26"/>
      <c r="L52" s="25"/>
      <c r="M52" s="37" t="str">
        <f>IF(I52=0,"",VLOOKUP(I52,Municipalités!$A$2:$B$1290,2,TRUE))</f>
        <v/>
      </c>
    </row>
    <row r="53" spans="1:13" ht="30" customHeight="1" x14ac:dyDescent="0.25">
      <c r="A53" s="8"/>
      <c r="B53" s="8"/>
      <c r="C53" s="30"/>
      <c r="D53" s="8"/>
      <c r="E53" s="27"/>
      <c r="F53" s="31"/>
      <c r="G53" s="82" t="str">
        <f>IF(F53=0,"",VLOOKUP(F53,Employés!$A$2:$B$186,2,0))</f>
        <v/>
      </c>
      <c r="H53" s="82"/>
      <c r="I53" s="35"/>
      <c r="J53" s="29"/>
      <c r="K53" s="26"/>
      <c r="L53" s="25"/>
      <c r="M53" s="37" t="str">
        <f>IF(I53=0,"",VLOOKUP(I53,Municipalités!$A$2:$B$1290,2,TRUE))</f>
        <v/>
      </c>
    </row>
    <row r="54" spans="1:13" ht="30" customHeight="1" x14ac:dyDescent="0.25">
      <c r="A54" s="8"/>
      <c r="B54" s="8"/>
      <c r="C54" s="30"/>
      <c r="D54" s="8"/>
      <c r="E54" s="27"/>
      <c r="F54" s="31"/>
      <c r="G54" s="82" t="str">
        <f>IF(F54=0,"",VLOOKUP(F54,Employés!$A$2:$B$186,2,0))</f>
        <v/>
      </c>
      <c r="H54" s="82"/>
      <c r="I54" s="35"/>
      <c r="J54" s="29"/>
      <c r="K54" s="26"/>
      <c r="L54" s="25"/>
      <c r="M54" s="37" t="str">
        <f>IF(I54=0,"",VLOOKUP(I54,Municipalités!$A$2:$B$1290,2,TRUE))</f>
        <v/>
      </c>
    </row>
    <row r="55" spans="1:13" ht="30" customHeight="1" x14ac:dyDescent="0.25">
      <c r="A55" s="8"/>
      <c r="B55" s="8"/>
      <c r="C55" s="30"/>
      <c r="D55" s="8"/>
      <c r="E55" s="27"/>
      <c r="F55" s="31"/>
      <c r="G55" s="82" t="str">
        <f>IF(F55=0,"",VLOOKUP(F55,Employés!$A$2:$B$186,2,0))</f>
        <v/>
      </c>
      <c r="H55" s="82"/>
      <c r="I55" s="35"/>
      <c r="J55" s="29"/>
      <c r="K55" s="26"/>
      <c r="L55" s="25"/>
      <c r="M55" s="37" t="str">
        <f>IF(I55=0,"",VLOOKUP(I55,Municipalités!$A$2:$B$1290,2,TRUE))</f>
        <v/>
      </c>
    </row>
    <row r="56" spans="1:13" ht="30" customHeight="1" x14ac:dyDescent="0.25">
      <c r="A56" s="8"/>
      <c r="B56" s="8"/>
      <c r="C56" s="30"/>
      <c r="D56" s="8"/>
      <c r="E56" s="27"/>
      <c r="F56" s="31"/>
      <c r="G56" s="82" t="str">
        <f>IF(F56=0,"",VLOOKUP(F56,Employés!$A$2:$B$186,2,0))</f>
        <v/>
      </c>
      <c r="H56" s="82"/>
      <c r="I56" s="35"/>
      <c r="J56" s="29"/>
      <c r="K56" s="26"/>
      <c r="L56" s="25"/>
      <c r="M56" s="37" t="str">
        <f>IF(I56=0,"",VLOOKUP(I56,Municipalités!$A$2:$B$1290,2,TRUE))</f>
        <v/>
      </c>
    </row>
    <row r="57" spans="1:13" ht="30" customHeight="1" x14ac:dyDescent="0.25">
      <c r="A57" s="8"/>
      <c r="B57" s="8"/>
      <c r="C57" s="30"/>
      <c r="D57" s="8"/>
      <c r="E57" s="27"/>
      <c r="F57" s="31"/>
      <c r="G57" s="82" t="str">
        <f>IF(F57=0,"",VLOOKUP(F57,Employés!$A$2:$B$186,2,0))</f>
        <v/>
      </c>
      <c r="H57" s="82"/>
      <c r="I57" s="35"/>
      <c r="J57" s="29"/>
      <c r="K57" s="26"/>
      <c r="L57" s="25"/>
      <c r="M57" s="37" t="str">
        <f>IF(I57=0,"",VLOOKUP(I57,Municipalités!$A$2:$B$1290,2,TRUE))</f>
        <v/>
      </c>
    </row>
    <row r="58" spans="1:13" ht="30" customHeight="1" x14ac:dyDescent="0.25">
      <c r="A58" s="8"/>
      <c r="B58" s="8"/>
      <c r="C58" s="30"/>
      <c r="D58" s="8"/>
      <c r="E58" s="27"/>
      <c r="F58" s="31"/>
      <c r="G58" s="82" t="str">
        <f>IF(F58=0,"",VLOOKUP(F58,Employés!$A$2:$B$186,2,0))</f>
        <v/>
      </c>
      <c r="H58" s="82"/>
      <c r="I58" s="35"/>
      <c r="J58" s="29"/>
      <c r="K58" s="26"/>
      <c r="L58" s="25"/>
      <c r="M58" s="37" t="str">
        <f>IF(I58=0,"",VLOOKUP(I58,Municipalités!$A$2:$B$1290,2,TRUE))</f>
        <v/>
      </c>
    </row>
    <row r="59" spans="1:13" ht="30" customHeight="1" x14ac:dyDescent="0.25">
      <c r="A59" s="8"/>
      <c r="B59" s="8"/>
      <c r="C59" s="30"/>
      <c r="D59" s="8"/>
      <c r="E59" s="27"/>
      <c r="F59" s="31"/>
      <c r="G59" s="82" t="str">
        <f>IF(F59=0,"",VLOOKUP(F59,Employés!$A$2:$B$186,2,0))</f>
        <v/>
      </c>
      <c r="H59" s="82"/>
      <c r="I59" s="35"/>
      <c r="J59" s="29"/>
      <c r="K59" s="26"/>
      <c r="L59" s="25"/>
      <c r="M59" s="37" t="str">
        <f>IF(I59=0,"",VLOOKUP(I59,Municipalités!$A$2:$B$1290,2,TRUE))</f>
        <v/>
      </c>
    </row>
    <row r="60" spans="1:13" ht="30" customHeight="1" x14ac:dyDescent="0.25">
      <c r="A60" s="8"/>
      <c r="B60" s="8"/>
      <c r="C60" s="30"/>
      <c r="D60" s="8"/>
      <c r="E60" s="27"/>
      <c r="F60" s="31"/>
      <c r="G60" s="82" t="str">
        <f>IF(F60=0,"",VLOOKUP(F60,Employés!$A$2:$B$186,2,0))</f>
        <v/>
      </c>
      <c r="H60" s="82"/>
      <c r="I60" s="35"/>
      <c r="J60" s="29"/>
      <c r="K60" s="26"/>
      <c r="L60" s="25"/>
      <c r="M60" s="37" t="str">
        <f>IF(I60=0,"",VLOOKUP(I60,Municipalités!$A$2:$B$1290,2,TRUE))</f>
        <v/>
      </c>
    </row>
    <row r="61" spans="1:13" ht="30" customHeight="1" x14ac:dyDescent="0.25">
      <c r="A61" s="8"/>
      <c r="B61" s="8"/>
      <c r="C61" s="30"/>
      <c r="D61" s="8"/>
      <c r="E61" s="27"/>
      <c r="F61" s="31"/>
      <c r="G61" s="82" t="str">
        <f>IF(F61=0,"",VLOOKUP(F61,Employés!$A$2:$B$186,2,0))</f>
        <v/>
      </c>
      <c r="H61" s="82"/>
      <c r="I61" s="35"/>
      <c r="J61" s="29"/>
      <c r="K61" s="26"/>
      <c r="L61" s="25"/>
      <c r="M61" s="37" t="str">
        <f>IF(I61=0,"",VLOOKUP(I61,Municipalités!$A$2:$B$1290,2,TRUE))</f>
        <v/>
      </c>
    </row>
    <row r="62" spans="1:13" x14ac:dyDescent="0.25">
      <c r="C62" s="14"/>
    </row>
    <row r="63" spans="1:13" x14ac:dyDescent="0.25">
      <c r="C63" s="14"/>
    </row>
    <row r="64" spans="1:13" x14ac:dyDescent="0.25">
      <c r="C64" s="14"/>
    </row>
    <row r="65" spans="3:5" x14ac:dyDescent="0.25">
      <c r="C65" s="14"/>
    </row>
    <row r="66" spans="3:5" x14ac:dyDescent="0.25">
      <c r="C66" s="14"/>
    </row>
    <row r="67" spans="3:5" x14ac:dyDescent="0.25">
      <c r="C67" s="14"/>
    </row>
    <row r="68" spans="3:5" x14ac:dyDescent="0.25">
      <c r="C68" s="14"/>
    </row>
    <row r="69" spans="3:5" x14ac:dyDescent="0.25">
      <c r="C69" s="14"/>
    </row>
    <row r="70" spans="3:5" x14ac:dyDescent="0.25">
      <c r="C70" s="14"/>
    </row>
    <row r="71" spans="3:5" x14ac:dyDescent="0.25">
      <c r="C71" s="14"/>
    </row>
    <row r="72" spans="3:5" x14ac:dyDescent="0.25">
      <c r="C72" s="14"/>
    </row>
    <row r="73" spans="3:5" x14ac:dyDescent="0.25">
      <c r="C73" s="14"/>
    </row>
    <row r="74" spans="3:5" x14ac:dyDescent="0.25">
      <c r="C74" s="14"/>
    </row>
    <row r="75" spans="3:5" x14ac:dyDescent="0.25">
      <c r="C75" s="14"/>
    </row>
    <row r="76" spans="3:5" x14ac:dyDescent="0.25">
      <c r="C76" s="14"/>
    </row>
    <row r="77" spans="3:5" x14ac:dyDescent="0.25">
      <c r="C77" s="14"/>
    </row>
    <row r="78" spans="3:5" x14ac:dyDescent="0.25">
      <c r="C78" s="14"/>
      <c r="E78" s="21" t="s">
        <v>1420</v>
      </c>
    </row>
    <row r="79" spans="3:5" x14ac:dyDescent="0.25">
      <c r="C79" s="14"/>
    </row>
    <row r="80" spans="3:5" x14ac:dyDescent="0.25">
      <c r="C80" s="14"/>
    </row>
    <row r="81" spans="3:3" x14ac:dyDescent="0.25">
      <c r="C81" s="14"/>
    </row>
    <row r="82" spans="3:3" x14ac:dyDescent="0.25">
      <c r="C82" s="14"/>
    </row>
    <row r="83" spans="3:3" x14ac:dyDescent="0.25">
      <c r="C83" s="14"/>
    </row>
    <row r="84" spans="3:3" x14ac:dyDescent="0.25">
      <c r="C84" s="14"/>
    </row>
    <row r="85" spans="3:3" x14ac:dyDescent="0.25">
      <c r="C85" s="14"/>
    </row>
    <row r="86" spans="3:3" x14ac:dyDescent="0.25">
      <c r="C86" s="14"/>
    </row>
    <row r="87" spans="3:3" x14ac:dyDescent="0.25">
      <c r="C87" s="14"/>
    </row>
    <row r="88" spans="3:3" x14ac:dyDescent="0.25">
      <c r="C88" s="14"/>
    </row>
    <row r="89" spans="3:3" x14ac:dyDescent="0.25">
      <c r="C89" s="14"/>
    </row>
    <row r="90" spans="3:3" x14ac:dyDescent="0.25">
      <c r="C90" s="14"/>
    </row>
    <row r="91" spans="3:3" x14ac:dyDescent="0.25">
      <c r="C91" s="14"/>
    </row>
    <row r="92" spans="3:3" x14ac:dyDescent="0.25">
      <c r="C92" s="14"/>
    </row>
    <row r="93" spans="3:3" x14ac:dyDescent="0.25">
      <c r="C93" s="14"/>
    </row>
    <row r="94" spans="3:3" x14ac:dyDescent="0.25">
      <c r="C94" s="14"/>
    </row>
    <row r="95" spans="3:3" x14ac:dyDescent="0.25">
      <c r="C95" s="14"/>
    </row>
    <row r="96" spans="3:3" x14ac:dyDescent="0.25">
      <c r="C96" s="14"/>
    </row>
    <row r="97" spans="3:3" x14ac:dyDescent="0.25">
      <c r="C97" s="14"/>
    </row>
    <row r="98" spans="3:3" x14ac:dyDescent="0.25">
      <c r="C98" s="14"/>
    </row>
  </sheetData>
  <mergeCells count="67">
    <mergeCell ref="G59:H59"/>
    <mergeCell ref="G60:H60"/>
    <mergeCell ref="G61:H61"/>
    <mergeCell ref="G53:H53"/>
    <mergeCell ref="G54:H54"/>
    <mergeCell ref="G55:H55"/>
    <mergeCell ref="G56:H56"/>
    <mergeCell ref="G57:H57"/>
    <mergeCell ref="G58:H58"/>
    <mergeCell ref="G52:H52"/>
    <mergeCell ref="G41:H41"/>
    <mergeCell ref="G42:H42"/>
    <mergeCell ref="G43:H43"/>
    <mergeCell ref="G44:H44"/>
    <mergeCell ref="G45:H45"/>
    <mergeCell ref="G46:H46"/>
    <mergeCell ref="G47:H47"/>
    <mergeCell ref="G48:H48"/>
    <mergeCell ref="G49:H49"/>
    <mergeCell ref="G50:H50"/>
    <mergeCell ref="G51:H51"/>
    <mergeCell ref="G40:H40"/>
    <mergeCell ref="G29:H29"/>
    <mergeCell ref="G30:H30"/>
    <mergeCell ref="G31:H31"/>
    <mergeCell ref="G32:H32"/>
    <mergeCell ref="G33:H33"/>
    <mergeCell ref="G34:H34"/>
    <mergeCell ref="G35:H35"/>
    <mergeCell ref="G36:H36"/>
    <mergeCell ref="G37:H37"/>
    <mergeCell ref="G38:H38"/>
    <mergeCell ref="G39:H39"/>
    <mergeCell ref="G28:H28"/>
    <mergeCell ref="G17:H17"/>
    <mergeCell ref="G18:H18"/>
    <mergeCell ref="G19:H19"/>
    <mergeCell ref="G20:H20"/>
    <mergeCell ref="G21:H21"/>
    <mergeCell ref="G22:H22"/>
    <mergeCell ref="G23:H23"/>
    <mergeCell ref="G24:H24"/>
    <mergeCell ref="G25:H25"/>
    <mergeCell ref="G26:H26"/>
    <mergeCell ref="G27:H27"/>
    <mergeCell ref="M2:M4"/>
    <mergeCell ref="G16:H16"/>
    <mergeCell ref="I6:I7"/>
    <mergeCell ref="J6:J7"/>
    <mergeCell ref="K6:M6"/>
    <mergeCell ref="G8:H8"/>
    <mergeCell ref="G9:H9"/>
    <mergeCell ref="G10:H10"/>
    <mergeCell ref="G11:H11"/>
    <mergeCell ref="G12:H12"/>
    <mergeCell ref="G13:H13"/>
    <mergeCell ref="G14:H14"/>
    <mergeCell ref="G15:H15"/>
    <mergeCell ref="E1:F4"/>
    <mergeCell ref="L1:L2"/>
    <mergeCell ref="A6:A7"/>
    <mergeCell ref="B6:B7"/>
    <mergeCell ref="C6:C7"/>
    <mergeCell ref="D6:D7"/>
    <mergeCell ref="E6:E7"/>
    <mergeCell ref="F6:F7"/>
    <mergeCell ref="G6:H7"/>
  </mergeCells>
  <conditionalFormatting sqref="C16:C21 C23:C45">
    <cfRule type="expression" dxfId="101" priority="7" stopIfTrue="1">
      <formula>#REF!=1</formula>
    </cfRule>
    <cfRule type="expression" priority="8" stopIfTrue="1">
      <formula>#REF!=2</formula>
    </cfRule>
    <cfRule type="expression" dxfId="100" priority="9" stopIfTrue="1">
      <formula>#REF!=3</formula>
    </cfRule>
  </conditionalFormatting>
  <conditionalFormatting sqref="C22">
    <cfRule type="expression" dxfId="99" priority="4" stopIfTrue="1">
      <formula>#REF!=1</formula>
    </cfRule>
    <cfRule type="expression" priority="5" stopIfTrue="1">
      <formula>#REF!=2</formula>
    </cfRule>
    <cfRule type="expression" dxfId="98" priority="6" stopIfTrue="1">
      <formula>#REF!=3</formula>
    </cfRule>
  </conditionalFormatting>
  <conditionalFormatting sqref="C46:C61">
    <cfRule type="expression" dxfId="97" priority="1" stopIfTrue="1">
      <formula>#REF!=1</formula>
    </cfRule>
    <cfRule type="expression" priority="2" stopIfTrue="1">
      <formula>#REF!=2</formula>
    </cfRule>
    <cfRule type="expression" dxfId="96" priority="3" stopIfTrue="1">
      <formula>#REF!=3</formula>
    </cfRule>
  </conditionalFormatting>
  <dataValidations count="2">
    <dataValidation operator="greaterThan" allowBlank="1" showDropDown="1" showInputMessage="1" showErrorMessage="1" errorTitle="Saisie incorrecte" error="Re-Saisir le numéro de dossier sous le format_x000a_000-000000-000" promptTitle="Saisie du numéro d'événement" prompt="000-000000-000_x000a_Ex. : 071-030901-001" sqref="J8:J39" xr:uid="{00000000-0002-0000-0E00-000000000000}"/>
    <dataValidation type="textLength" operator="greaterThanOrEqual" allowBlank="1" showInputMessage="1" showErrorMessage="1" errorTitle="Saisie incorrecte" error="Re-saisir le numéro d'entrée en utilisant 3 chiffres_x000a_Ex.: 001" promptTitle="Saisie du numéro d'entrée" prompt="Minimum 3 chiffres_x000a_Ex.: 001" sqref="C8:C39" xr:uid="{00000000-0002-0000-0E00-000001000000}">
      <formula1>3</formula1>
    </dataValidation>
  </dataValidations>
  <printOptions horizontalCentered="1" verticalCentered="1"/>
  <pageMargins left="0" right="0" top="0.31496062992125984" bottom="0.39370078740157483" header="0.15748031496062992" footer="0.19685039370078741"/>
  <pageSetup paperSize="5" scale="90" orientation="landscape" r:id="rId1"/>
  <headerFooter alignWithMargins="0">
    <oddFooter>&amp;R&amp;8Page &amp;P de &amp;N</oddFooter>
  </headerFooter>
  <drawing r:id="rId2"/>
  <legacyDrawing r:id="rId3"/>
  <controls>
    <mc:AlternateContent xmlns:mc="http://schemas.openxmlformats.org/markup-compatibility/2006">
      <mc:Choice Requires="x14">
        <control shapeId="156675" r:id="rId4" name="ComboBox2">
          <controlPr defaultSize="0" autoLine="0" r:id="rId5">
            <anchor moveWithCells="1">
              <from>
                <xdr:col>4</xdr:col>
                <xdr:colOff>0</xdr:colOff>
                <xdr:row>10</xdr:row>
                <xdr:rowOff>0</xdr:rowOff>
              </from>
              <to>
                <xdr:col>4</xdr:col>
                <xdr:colOff>2965450</xdr:colOff>
                <xdr:row>11</xdr:row>
                <xdr:rowOff>38100</xdr:rowOff>
              </to>
            </anchor>
          </controlPr>
        </control>
      </mc:Choice>
      <mc:Fallback>
        <control shapeId="156675" r:id="rId4" name="ComboBox2"/>
      </mc:Fallback>
    </mc:AlternateContent>
    <mc:AlternateContent xmlns:mc="http://schemas.openxmlformats.org/markup-compatibility/2006">
      <mc:Choice Requires="x14">
        <control shapeId="156674" r:id="rId6" name="ComboBox1">
          <controlPr defaultSize="0" autoLine="0" r:id="rId7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11</xdr:col>
                <xdr:colOff>1803400</xdr:colOff>
                <xdr:row>9</xdr:row>
                <xdr:rowOff>38100</xdr:rowOff>
              </to>
            </anchor>
          </controlPr>
        </control>
      </mc:Choice>
      <mc:Fallback>
        <control shapeId="156674" r:id="rId6" name="ComboBox1"/>
      </mc:Fallback>
    </mc:AlternateContent>
    <mc:AlternateContent xmlns:mc="http://schemas.openxmlformats.org/markup-compatibility/2006">
      <mc:Choice Requires="x14">
        <control shapeId="156673" r:id="rId8" name="Button 1">
          <controlPr defaultSize="0" print="0" autoFill="0" autoPict="0" macro="[0]!test2">
            <anchor moveWithCells="1">
              <from>
                <xdr:col>5</xdr:col>
                <xdr:colOff>222250</xdr:colOff>
                <xdr:row>1</xdr:row>
                <xdr:rowOff>139700</xdr:rowOff>
              </from>
              <to>
                <xdr:col>9</xdr:col>
                <xdr:colOff>1143000</xdr:colOff>
                <xdr:row>4</xdr:row>
                <xdr:rowOff>107950</xdr:rowOff>
              </to>
            </anchor>
          </controlPr>
        </control>
      </mc:Choice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73"/>
  <dimension ref="A1:M98"/>
  <sheetViews>
    <sheetView showGridLines="0" zoomScaleNormal="100" workbookViewId="0">
      <pane xSplit="3" ySplit="7" topLeftCell="F8" activePane="bottomRight" state="frozen"/>
      <selection activeCell="C8" sqref="C8"/>
      <selection pane="topRight" activeCell="C8" sqref="C8"/>
      <selection pane="bottomLeft" activeCell="C8" sqref="C8"/>
      <selection pane="bottomRight" activeCell="M2" sqref="M2:M5"/>
    </sheetView>
  </sheetViews>
  <sheetFormatPr baseColWidth="10" defaultColWidth="11.453125" defaultRowHeight="13" x14ac:dyDescent="0.25"/>
  <cols>
    <col min="1" max="2" width="5.6328125" style="1" customWidth="1"/>
    <col min="3" max="3" width="6.6328125" style="1" customWidth="1"/>
    <col min="4" max="4" width="7.54296875" style="1" customWidth="1"/>
    <col min="5" max="5" width="44.453125" style="21" customWidth="1"/>
    <col min="6" max="6" width="10.54296875" style="1" customWidth="1"/>
    <col min="7" max="7" width="13.90625" style="1" customWidth="1"/>
    <col min="8" max="8" width="4.6328125" style="1" hidden="1" customWidth="1"/>
    <col min="9" max="9" width="6.08984375" style="1" customWidth="1"/>
    <col min="10" max="10" width="26.54296875" style="1" customWidth="1"/>
    <col min="11" max="11" width="7.36328125" style="1" customWidth="1"/>
    <col min="12" max="12" width="27" style="24" customWidth="1"/>
    <col min="13" max="13" width="26" style="1" customWidth="1"/>
    <col min="14" max="16384" width="11.453125" style="1"/>
  </cols>
  <sheetData>
    <row r="1" spans="1:13" ht="12.75" customHeight="1" x14ac:dyDescent="0.25">
      <c r="E1" s="71" t="s">
        <v>1023</v>
      </c>
      <c r="F1" s="72"/>
      <c r="L1" s="73" t="s">
        <v>1021</v>
      </c>
      <c r="M1" s="51" t="s">
        <v>1022</v>
      </c>
    </row>
    <row r="2" spans="1:13" ht="12.75" customHeight="1" x14ac:dyDescent="0.25">
      <c r="E2" s="72"/>
      <c r="F2" s="72"/>
      <c r="L2" s="74"/>
      <c r="M2" s="70">
        <f>'15'!M2:M5+1</f>
        <v>42720</v>
      </c>
    </row>
    <row r="3" spans="1:13" ht="12.75" customHeight="1" x14ac:dyDescent="0.25">
      <c r="E3" s="72"/>
      <c r="F3" s="72"/>
      <c r="L3" s="52"/>
      <c r="M3" s="70"/>
    </row>
    <row r="4" spans="1:13" ht="15.75" customHeight="1" x14ac:dyDescent="0.25">
      <c r="E4" s="72"/>
      <c r="F4" s="72"/>
      <c r="L4" s="49" t="s">
        <v>140</v>
      </c>
      <c r="M4" s="70"/>
    </row>
    <row r="5" spans="1:13" ht="21.9" customHeight="1" thickBot="1" x14ac:dyDescent="0.3">
      <c r="L5" s="36"/>
      <c r="M5" s="69">
        <f>M2</f>
        <v>42720</v>
      </c>
    </row>
    <row r="6" spans="1:13" ht="24.9" customHeight="1" x14ac:dyDescent="0.25">
      <c r="A6" s="75" t="s">
        <v>2351</v>
      </c>
      <c r="B6" s="75" t="s">
        <v>2350</v>
      </c>
      <c r="C6" s="76" t="s">
        <v>1362</v>
      </c>
      <c r="D6" s="75" t="s">
        <v>1153</v>
      </c>
      <c r="E6" s="75" t="s">
        <v>1016</v>
      </c>
      <c r="F6" s="76" t="s">
        <v>2352</v>
      </c>
      <c r="G6" s="76" t="s">
        <v>1017</v>
      </c>
      <c r="H6" s="79"/>
      <c r="I6" s="76" t="s">
        <v>1364</v>
      </c>
      <c r="J6" s="76" t="s">
        <v>1363</v>
      </c>
      <c r="K6" s="83" t="s">
        <v>1018</v>
      </c>
      <c r="L6" s="84"/>
      <c r="M6" s="84"/>
    </row>
    <row r="7" spans="1:13" ht="12.5" x14ac:dyDescent="0.25">
      <c r="A7" s="75"/>
      <c r="B7" s="75"/>
      <c r="C7" s="77"/>
      <c r="D7" s="75"/>
      <c r="E7" s="75"/>
      <c r="F7" s="78"/>
      <c r="G7" s="80"/>
      <c r="H7" s="81"/>
      <c r="I7" s="77"/>
      <c r="J7" s="77"/>
      <c r="K7" s="50" t="s">
        <v>1015</v>
      </c>
      <c r="L7" s="50" t="s">
        <v>1019</v>
      </c>
      <c r="M7" s="32" t="s">
        <v>1020</v>
      </c>
    </row>
    <row r="8" spans="1:13" ht="30" customHeight="1" x14ac:dyDescent="0.25">
      <c r="A8" s="45"/>
      <c r="B8" s="45"/>
      <c r="C8" s="30"/>
      <c r="D8" s="46"/>
      <c r="E8" s="27"/>
      <c r="F8" s="31"/>
      <c r="G8" s="82" t="str">
        <f>IF(F8=0,"",VLOOKUP(F8,Employés!$A$2:$B$186,2,0))</f>
        <v/>
      </c>
      <c r="H8" s="82"/>
      <c r="I8" s="34"/>
      <c r="J8" s="33"/>
      <c r="K8" s="19"/>
      <c r="L8" s="20" t="s">
        <v>1420</v>
      </c>
      <c r="M8" s="37" t="str">
        <f>IF(I8=0,"",VLOOKUP(I8,Municipalités!$A$2:$B$1290,2,TRUE))</f>
        <v/>
      </c>
    </row>
    <row r="9" spans="1:13" ht="30" customHeight="1" x14ac:dyDescent="0.25">
      <c r="A9" s="45"/>
      <c r="B9" s="45"/>
      <c r="C9" s="39"/>
      <c r="D9" s="47"/>
      <c r="E9" s="27"/>
      <c r="F9" s="31"/>
      <c r="G9" s="82" t="str">
        <f>IF(F9=0,"",VLOOKUP(F9,Employés!$A$2:$B$186,2,0))</f>
        <v/>
      </c>
      <c r="H9" s="82"/>
      <c r="I9" s="35"/>
      <c r="J9" s="33"/>
      <c r="K9" s="19"/>
      <c r="L9" s="20"/>
      <c r="M9" s="37" t="str">
        <f>IF(I9=0,"",VLOOKUP(I9,Municipalités!$A$2:$B$1290,2,TRUE))</f>
        <v/>
      </c>
    </row>
    <row r="10" spans="1:13" ht="30" customHeight="1" x14ac:dyDescent="0.25">
      <c r="A10" s="45"/>
      <c r="B10" s="45"/>
      <c r="C10" s="39"/>
      <c r="D10" s="48"/>
      <c r="E10" s="28"/>
      <c r="F10" s="31"/>
      <c r="G10" s="82" t="str">
        <f>IF(F10=0,"",VLOOKUP(F10,Employés!$A$2:$B$186,2,0))</f>
        <v/>
      </c>
      <c r="H10" s="82"/>
      <c r="I10" s="35"/>
      <c r="J10" s="29"/>
      <c r="K10" s="19"/>
      <c r="L10" s="20"/>
      <c r="M10" s="37" t="str">
        <f>IF(I10=0,"",VLOOKUP(I10,Municipalités!$A$2:$B$1290,2,TRUE))</f>
        <v/>
      </c>
    </row>
    <row r="11" spans="1:13" ht="30" customHeight="1" x14ac:dyDescent="0.25">
      <c r="A11" s="45"/>
      <c r="B11" s="45"/>
      <c r="C11" s="39"/>
      <c r="D11" s="47"/>
      <c r="E11" s="28" t="s">
        <v>1420</v>
      </c>
      <c r="F11" s="31"/>
      <c r="G11" s="82" t="str">
        <f>IF(F11=0,"",VLOOKUP(F11,Employés!$A$2:$B$186,2,0))</f>
        <v/>
      </c>
      <c r="H11" s="82"/>
      <c r="I11" s="35"/>
      <c r="J11" s="29"/>
      <c r="K11" s="19"/>
      <c r="L11" s="20"/>
      <c r="M11" s="37" t="str">
        <f>IF(I11=0,"",VLOOKUP(I11,Municipalités!$A$2:$B$1290,2,TRUE))</f>
        <v/>
      </c>
    </row>
    <row r="12" spans="1:13" ht="30" customHeight="1" x14ac:dyDescent="0.25">
      <c r="A12" s="45"/>
      <c r="B12" s="45"/>
      <c r="C12" s="39"/>
      <c r="D12" s="46"/>
      <c r="E12" s="27"/>
      <c r="F12" s="31"/>
      <c r="G12" s="82" t="str">
        <f>IF(F12=0,"",VLOOKUP(F12,Employés!$A$2:$B$186,2,0))</f>
        <v/>
      </c>
      <c r="H12" s="82"/>
      <c r="I12" s="35"/>
      <c r="J12" s="29"/>
      <c r="K12" s="19"/>
      <c r="L12" s="20"/>
      <c r="M12" s="37" t="str">
        <f>IF(I12=0,"",VLOOKUP(I12,Municipalités!$A$2:$B$1290,2,TRUE))</f>
        <v/>
      </c>
    </row>
    <row r="13" spans="1:13" ht="30" customHeight="1" x14ac:dyDescent="0.25">
      <c r="A13" s="45"/>
      <c r="B13" s="45"/>
      <c r="C13" s="39"/>
      <c r="D13" s="46"/>
      <c r="E13" s="27"/>
      <c r="F13" s="31"/>
      <c r="G13" s="82" t="str">
        <f>IF(F13=0,"",VLOOKUP(F13,Employés!$A$2:$B$186,2,0))</f>
        <v/>
      </c>
      <c r="H13" s="82"/>
      <c r="I13" s="35"/>
      <c r="J13" s="29"/>
      <c r="K13" s="19"/>
      <c r="L13" s="20"/>
      <c r="M13" s="37" t="str">
        <f>IF(I13=0,"",VLOOKUP(I13,Municipalités!$A$2:$B$1290,2,TRUE))</f>
        <v/>
      </c>
    </row>
    <row r="14" spans="1:13" ht="30" customHeight="1" x14ac:dyDescent="0.25">
      <c r="A14" s="45"/>
      <c r="B14" s="45"/>
      <c r="C14" s="39"/>
      <c r="D14" s="47"/>
      <c r="E14" s="27"/>
      <c r="F14" s="31"/>
      <c r="G14" s="82" t="str">
        <f>IF(F14=0,"",VLOOKUP(F14,Employés!$A$2:$B$186,2,0))</f>
        <v/>
      </c>
      <c r="H14" s="82"/>
      <c r="I14" s="35"/>
      <c r="J14" s="29"/>
      <c r="K14" s="19"/>
      <c r="L14" s="20"/>
      <c r="M14" s="37" t="str">
        <f>IF(I14=0,"",VLOOKUP(I14,Municipalités!$A$2:$B$1290,2,TRUE))</f>
        <v/>
      </c>
    </row>
    <row r="15" spans="1:13" ht="30" customHeight="1" x14ac:dyDescent="0.25">
      <c r="A15" s="45"/>
      <c r="B15" s="45"/>
      <c r="C15" s="39"/>
      <c r="D15" s="47"/>
      <c r="E15" s="27"/>
      <c r="F15" s="31"/>
      <c r="G15" s="82" t="str">
        <f>IF(F15=0,"",VLOOKUP(F15,Employés!$A$2:$B$186,2,0))</f>
        <v/>
      </c>
      <c r="H15" s="82"/>
      <c r="I15" s="35"/>
      <c r="J15" s="29"/>
      <c r="K15" s="19"/>
      <c r="L15" s="20"/>
      <c r="M15" s="37" t="str">
        <f>IF(I15=0,"",VLOOKUP(I15,Municipalités!$A$2:$B$1290,2,TRUE))</f>
        <v/>
      </c>
    </row>
    <row r="16" spans="1:13" ht="30" customHeight="1" x14ac:dyDescent="0.25">
      <c r="A16" s="45"/>
      <c r="B16" s="45"/>
      <c r="C16" s="39"/>
      <c r="D16" s="46"/>
      <c r="E16" s="27"/>
      <c r="F16" s="31"/>
      <c r="G16" s="82" t="str">
        <f>IF(F16=0,"",VLOOKUP(F16,Employés!$A$2:$B$186,2,0))</f>
        <v/>
      </c>
      <c r="H16" s="82"/>
      <c r="I16" s="35"/>
      <c r="J16" s="29"/>
      <c r="K16" s="19"/>
      <c r="L16" s="20"/>
      <c r="M16" s="37" t="str">
        <f>IF(I16=0,"",VLOOKUP(I16,Municipalités!$A$2:$B$1290,2,TRUE))</f>
        <v/>
      </c>
    </row>
    <row r="17" spans="1:13" ht="30" customHeight="1" x14ac:dyDescent="0.25">
      <c r="A17" s="45"/>
      <c r="B17" s="45"/>
      <c r="C17" s="39"/>
      <c r="D17" s="46"/>
      <c r="E17" s="27"/>
      <c r="F17" s="31"/>
      <c r="G17" s="82" t="str">
        <f>IF(F17=0,"",VLOOKUP(F17,Employés!$A$2:$B$186,2,0))</f>
        <v/>
      </c>
      <c r="H17" s="82"/>
      <c r="I17" s="35"/>
      <c r="J17" s="29"/>
      <c r="K17" s="19"/>
      <c r="L17" s="20"/>
      <c r="M17" s="37" t="str">
        <f>IF(I17=0,"",VLOOKUP(I17,Municipalités!$A$2:$B$1290,2,TRUE))</f>
        <v/>
      </c>
    </row>
    <row r="18" spans="1:13" ht="30" customHeight="1" x14ac:dyDescent="0.25">
      <c r="A18" s="45"/>
      <c r="B18" s="45"/>
      <c r="C18" s="39"/>
      <c r="D18" s="46"/>
      <c r="E18" s="27"/>
      <c r="F18" s="31"/>
      <c r="G18" s="82" t="str">
        <f>IF(F18=0,"",VLOOKUP(F18,Employés!$A$2:$B$186,2,0))</f>
        <v/>
      </c>
      <c r="H18" s="82"/>
      <c r="I18" s="35"/>
      <c r="J18" s="29"/>
      <c r="K18" s="19"/>
      <c r="L18" s="20"/>
      <c r="M18" s="37" t="str">
        <f>IF(I18=0,"",VLOOKUP(I18,Municipalités!$A$2:$B$1290,2,TRUE))</f>
        <v/>
      </c>
    </row>
    <row r="19" spans="1:13" ht="30" customHeight="1" x14ac:dyDescent="0.25">
      <c r="A19" s="45"/>
      <c r="B19" s="45"/>
      <c r="C19" s="39"/>
      <c r="D19" s="46"/>
      <c r="E19" s="27"/>
      <c r="F19" s="31"/>
      <c r="G19" s="82" t="str">
        <f>IF(F19=0,"",VLOOKUP(F19,Employés!$A$2:$B$186,2,0))</f>
        <v/>
      </c>
      <c r="H19" s="82"/>
      <c r="I19" s="35"/>
      <c r="J19" s="29"/>
      <c r="K19" s="19"/>
      <c r="L19" s="20"/>
      <c r="M19" s="37" t="str">
        <f>IF(I19=0,"",VLOOKUP(I19,Municipalités!$A$2:$B$1290,2,TRUE))</f>
        <v/>
      </c>
    </row>
    <row r="20" spans="1:13" ht="30" customHeight="1" x14ac:dyDescent="0.25">
      <c r="A20" s="45"/>
      <c r="B20" s="45"/>
      <c r="C20" s="39"/>
      <c r="D20" s="47"/>
      <c r="E20" s="27"/>
      <c r="F20" s="31"/>
      <c r="G20" s="82" t="str">
        <f>IF(F20=0,"",VLOOKUP(F20,Employés!$A$2:$B$186,2,0))</f>
        <v/>
      </c>
      <c r="H20" s="82"/>
      <c r="I20" s="35"/>
      <c r="J20" s="29"/>
      <c r="K20" s="19"/>
      <c r="L20" s="20"/>
      <c r="M20" s="37" t="str">
        <f>IF(I20=0,"",VLOOKUP(I20,Municipalités!$A$2:$B$1290,2,TRUE))</f>
        <v/>
      </c>
    </row>
    <row r="21" spans="1:13" ht="30" customHeight="1" x14ac:dyDescent="0.25">
      <c r="A21" s="45"/>
      <c r="B21" s="45"/>
      <c r="C21" s="39"/>
      <c r="D21" s="47"/>
      <c r="E21" s="27"/>
      <c r="F21" s="31"/>
      <c r="G21" s="82" t="str">
        <f>IF(F21=0,"",VLOOKUP(F21,Employés!$A$2:$B$186,2,0))</f>
        <v/>
      </c>
      <c r="H21" s="82"/>
      <c r="I21" s="35"/>
      <c r="J21" s="29"/>
      <c r="K21" s="19"/>
      <c r="L21" s="20"/>
      <c r="M21" s="37" t="str">
        <f>IF(I21=0,"",VLOOKUP(I21,Municipalités!$A$2:$B$1290,2,TRUE))</f>
        <v/>
      </c>
    </row>
    <row r="22" spans="1:13" ht="30" customHeight="1" x14ac:dyDescent="0.25">
      <c r="A22" s="45"/>
      <c r="B22" s="45"/>
      <c r="C22" s="39"/>
      <c r="D22" s="46"/>
      <c r="E22" s="27"/>
      <c r="F22" s="31"/>
      <c r="G22" s="82" t="str">
        <f>IF(F22=0,"",VLOOKUP(F22,Employés!$A$2:$B$186,2,0))</f>
        <v/>
      </c>
      <c r="H22" s="82"/>
      <c r="I22" s="35"/>
      <c r="J22" s="29"/>
      <c r="K22" s="19"/>
      <c r="L22" s="20"/>
      <c r="M22" s="37" t="str">
        <f>IF(I22=0,"",VLOOKUP(I22,Municipalités!$A$2:$B$1290,2,TRUE))</f>
        <v/>
      </c>
    </row>
    <row r="23" spans="1:13" ht="30" customHeight="1" x14ac:dyDescent="0.25">
      <c r="A23" s="45"/>
      <c r="B23" s="45"/>
      <c r="C23" s="39"/>
      <c r="D23" s="46"/>
      <c r="E23" s="27"/>
      <c r="F23" s="31"/>
      <c r="G23" s="82" t="str">
        <f>IF(F23=0,"",VLOOKUP(F23,Employés!$A$2:$B$186,2,0))</f>
        <v/>
      </c>
      <c r="H23" s="82"/>
      <c r="I23" s="35"/>
      <c r="J23" s="29"/>
      <c r="K23" s="19"/>
      <c r="L23" s="20"/>
      <c r="M23" s="37" t="str">
        <f>IF(I23=0,"",VLOOKUP(I23,Municipalités!$A$2:$B$1290,2,TRUE))</f>
        <v/>
      </c>
    </row>
    <row r="24" spans="1:13" ht="30" customHeight="1" x14ac:dyDescent="0.25">
      <c r="A24" s="45"/>
      <c r="B24" s="45"/>
      <c r="C24" s="39"/>
      <c r="D24" s="46"/>
      <c r="E24" s="27"/>
      <c r="F24" s="31"/>
      <c r="G24" s="82" t="str">
        <f>IF(F24=0,"",VLOOKUP(F24,Employés!$A$2:$B$186,2,0))</f>
        <v/>
      </c>
      <c r="H24" s="82"/>
      <c r="I24" s="35"/>
      <c r="J24" s="29"/>
      <c r="K24" s="19"/>
      <c r="L24" s="20"/>
      <c r="M24" s="37" t="str">
        <f>IF(I24=0,"",VLOOKUP(I24,Municipalités!$A$2:$B$1290,2,TRUE))</f>
        <v/>
      </c>
    </row>
    <row r="25" spans="1:13" ht="30" customHeight="1" x14ac:dyDescent="0.25">
      <c r="A25" s="45"/>
      <c r="B25" s="45"/>
      <c r="C25" s="39"/>
      <c r="D25" s="46"/>
      <c r="E25" s="27"/>
      <c r="F25" s="31"/>
      <c r="G25" s="82" t="str">
        <f>IF(F25=0,"",VLOOKUP(F25,Employés!$A$2:$B$186,2,0))</f>
        <v/>
      </c>
      <c r="H25" s="82"/>
      <c r="I25" s="35"/>
      <c r="J25" s="29"/>
      <c r="K25" s="19"/>
      <c r="L25" s="20"/>
      <c r="M25" s="37" t="str">
        <f>IF(I25=0,"",VLOOKUP(I25,Municipalités!$A$2:$B$1290,2,TRUE))</f>
        <v/>
      </c>
    </row>
    <row r="26" spans="1:13" ht="30" customHeight="1" x14ac:dyDescent="0.25">
      <c r="A26" s="45"/>
      <c r="B26" s="45"/>
      <c r="C26" s="39"/>
      <c r="D26" s="46"/>
      <c r="E26" s="27"/>
      <c r="F26" s="31"/>
      <c r="G26" s="82" t="str">
        <f>IF(F26=0,"",VLOOKUP(F26,Employés!$A$2:$B$186,2,0))</f>
        <v/>
      </c>
      <c r="H26" s="82"/>
      <c r="I26" s="35"/>
      <c r="J26" s="29"/>
      <c r="K26" s="19"/>
      <c r="L26" s="20"/>
      <c r="M26" s="37" t="str">
        <f>IF(I26=0,"",VLOOKUP(I26,Municipalités!$A$2:$B$1290,2,TRUE))</f>
        <v/>
      </c>
    </row>
    <row r="27" spans="1:13" ht="30" customHeight="1" x14ac:dyDescent="0.25">
      <c r="A27" s="45"/>
      <c r="B27" s="45"/>
      <c r="C27" s="39"/>
      <c r="D27" s="46"/>
      <c r="E27" s="27"/>
      <c r="F27" s="31"/>
      <c r="G27" s="82" t="str">
        <f>IF(F27=0,"",VLOOKUP(F27,Employés!$A$2:$B$186,2,0))</f>
        <v/>
      </c>
      <c r="H27" s="82"/>
      <c r="I27" s="35"/>
      <c r="J27" s="29"/>
      <c r="K27" s="19"/>
      <c r="L27" s="20"/>
      <c r="M27" s="37" t="str">
        <f>IF(I27=0,"",VLOOKUP(I27,Municipalités!$A$2:$B$1290,2,TRUE))</f>
        <v/>
      </c>
    </row>
    <row r="28" spans="1:13" ht="30" customHeight="1" x14ac:dyDescent="0.25">
      <c r="A28" s="45"/>
      <c r="B28" s="45"/>
      <c r="C28" s="39"/>
      <c r="D28" s="46"/>
      <c r="E28" s="27"/>
      <c r="F28" s="31"/>
      <c r="G28" s="82" t="str">
        <f>IF(F28=0,"",VLOOKUP(F28,Employés!$A$2:$B$186,2,0))</f>
        <v/>
      </c>
      <c r="H28" s="82"/>
      <c r="I28" s="35"/>
      <c r="J28" s="29"/>
      <c r="K28" s="19"/>
      <c r="L28" s="20"/>
      <c r="M28" s="37" t="str">
        <f>IF(I28=0,"",VLOOKUP(I28,Municipalités!$A$2:$B$1290,2,TRUE))</f>
        <v/>
      </c>
    </row>
    <row r="29" spans="1:13" ht="30" customHeight="1" x14ac:dyDescent="0.25">
      <c r="A29" s="45"/>
      <c r="B29" s="45"/>
      <c r="C29" s="39"/>
      <c r="D29" s="46"/>
      <c r="E29" s="27"/>
      <c r="F29" s="31"/>
      <c r="G29" s="82" t="str">
        <f>IF(F29=0,"",VLOOKUP(F29,Employés!$A$2:$B$186,2,0))</f>
        <v/>
      </c>
      <c r="H29" s="82"/>
      <c r="I29" s="35"/>
      <c r="J29" s="29"/>
      <c r="K29" s="19"/>
      <c r="L29" s="20"/>
      <c r="M29" s="37" t="str">
        <f>IF(I29=0,"",VLOOKUP(I29,Municipalités!$A$2:$B$1290,2,TRUE))</f>
        <v/>
      </c>
    </row>
    <row r="30" spans="1:13" ht="30" customHeight="1" x14ac:dyDescent="0.25">
      <c r="A30" s="45"/>
      <c r="B30" s="45"/>
      <c r="C30" s="39"/>
      <c r="D30" s="46"/>
      <c r="E30" s="27"/>
      <c r="F30" s="31"/>
      <c r="G30" s="82" t="str">
        <f>IF(F30=0,"",VLOOKUP(F30,Employés!$A$2:$B$186,2,0))</f>
        <v/>
      </c>
      <c r="H30" s="82"/>
      <c r="I30" s="35"/>
      <c r="J30" s="29"/>
      <c r="K30" s="19"/>
      <c r="L30" s="20"/>
      <c r="M30" s="37" t="str">
        <f>IF(I30=0,"",VLOOKUP(I30,Municipalités!$A$2:$B$1290,2,TRUE))</f>
        <v/>
      </c>
    </row>
    <row r="31" spans="1:13" ht="30" customHeight="1" x14ac:dyDescent="0.25">
      <c r="A31" s="45"/>
      <c r="B31" s="45"/>
      <c r="C31" s="39"/>
      <c r="D31" s="47"/>
      <c r="E31" s="27"/>
      <c r="F31" s="31"/>
      <c r="G31" s="82" t="str">
        <f>IF(F31=0,"",VLOOKUP(F31,Employés!$A$2:$B$186,2,0))</f>
        <v/>
      </c>
      <c r="H31" s="82"/>
      <c r="I31" s="35"/>
      <c r="J31" s="29"/>
      <c r="K31" s="19"/>
      <c r="L31" s="20"/>
      <c r="M31" s="37" t="str">
        <f>IF(I31=0,"",VLOOKUP(I31,Municipalités!$A$2:$B$1290,2,TRUE))</f>
        <v/>
      </c>
    </row>
    <row r="32" spans="1:13" ht="30" customHeight="1" x14ac:dyDescent="0.25">
      <c r="A32" s="45"/>
      <c r="B32" s="45"/>
      <c r="C32" s="39"/>
      <c r="D32" s="46"/>
      <c r="E32" s="27"/>
      <c r="F32" s="31"/>
      <c r="G32" s="82" t="str">
        <f>IF(F32=0,"",VLOOKUP(F32,Employés!$A$2:$B$186,2,0))</f>
        <v/>
      </c>
      <c r="H32" s="82"/>
      <c r="I32" s="35"/>
      <c r="J32" s="29"/>
      <c r="K32" s="19"/>
      <c r="L32" s="20"/>
      <c r="M32" s="37" t="str">
        <f>IF(I32=0,"",VLOOKUP(I32,Municipalités!$A$2:$B$1290,2,TRUE))</f>
        <v/>
      </c>
    </row>
    <row r="33" spans="1:13" ht="30" customHeight="1" x14ac:dyDescent="0.25">
      <c r="A33" s="45"/>
      <c r="B33" s="45"/>
      <c r="C33" s="39"/>
      <c r="D33" s="46"/>
      <c r="E33" s="27"/>
      <c r="F33" s="31"/>
      <c r="G33" s="82" t="str">
        <f>IF(F33=0,"",VLOOKUP(F33,Employés!$A$2:$B$186,2,0))</f>
        <v/>
      </c>
      <c r="H33" s="82"/>
      <c r="I33" s="35"/>
      <c r="J33" s="29"/>
      <c r="K33" s="19"/>
      <c r="L33" s="20"/>
      <c r="M33" s="37" t="str">
        <f>IF(I33=0,"",VLOOKUP(I33,Municipalités!$A$2:$B$1290,2,TRUE))</f>
        <v/>
      </c>
    </row>
    <row r="34" spans="1:13" ht="30" customHeight="1" x14ac:dyDescent="0.25">
      <c r="A34" s="45"/>
      <c r="B34" s="45"/>
      <c r="C34" s="39"/>
      <c r="D34" s="46"/>
      <c r="E34" s="27"/>
      <c r="F34" s="31"/>
      <c r="G34" s="82" t="str">
        <f>IF(F34=0,"",VLOOKUP(F34,Employés!$A$2:$B$186,2,0))</f>
        <v/>
      </c>
      <c r="H34" s="82"/>
      <c r="I34" s="35"/>
      <c r="J34" s="29"/>
      <c r="K34" s="19"/>
      <c r="L34" s="20"/>
      <c r="M34" s="37" t="str">
        <f>IF(I34=0,"",VLOOKUP(I34,Municipalités!$A$2:$B$1290,2,TRUE))</f>
        <v/>
      </c>
    </row>
    <row r="35" spans="1:13" ht="30" customHeight="1" x14ac:dyDescent="0.25">
      <c r="A35" s="45"/>
      <c r="B35" s="45"/>
      <c r="C35" s="30"/>
      <c r="D35" s="46"/>
      <c r="E35" s="27"/>
      <c r="F35" s="31"/>
      <c r="G35" s="82" t="str">
        <f>IF(F35=0,"",VLOOKUP(F35,Employés!$A$2:$B$186,2,0))</f>
        <v/>
      </c>
      <c r="H35" s="82"/>
      <c r="I35" s="35"/>
      <c r="J35" s="29"/>
      <c r="K35" s="19"/>
      <c r="L35" s="20"/>
      <c r="M35" s="37" t="str">
        <f>IF(I35=0,"",VLOOKUP(I35,Municipalités!$A$2:$B$1290,2,TRUE))</f>
        <v/>
      </c>
    </row>
    <row r="36" spans="1:13" ht="30" customHeight="1" x14ac:dyDescent="0.25">
      <c r="A36" s="45"/>
      <c r="B36" s="45"/>
      <c r="C36" s="30"/>
      <c r="D36" s="46"/>
      <c r="E36" s="27"/>
      <c r="F36" s="31"/>
      <c r="G36" s="82" t="str">
        <f>IF(F36=0,"",VLOOKUP(F36,Employés!$A$2:$B$186,2,0))</f>
        <v/>
      </c>
      <c r="H36" s="82"/>
      <c r="I36" s="35"/>
      <c r="J36" s="29"/>
      <c r="K36" s="19"/>
      <c r="L36" s="20"/>
      <c r="M36" s="37" t="str">
        <f>IF(I36=0,"",VLOOKUP(I36,Municipalités!$A$2:$B$1290,2,TRUE))</f>
        <v/>
      </c>
    </row>
    <row r="37" spans="1:13" ht="30" customHeight="1" x14ac:dyDescent="0.25">
      <c r="A37" s="45"/>
      <c r="B37" s="45"/>
      <c r="C37" s="39"/>
      <c r="D37" s="46"/>
      <c r="E37" s="27"/>
      <c r="F37" s="31"/>
      <c r="G37" s="82" t="str">
        <f>IF(F37=0,"",VLOOKUP(F37,Employés!$A$2:$B$186,2,0))</f>
        <v/>
      </c>
      <c r="H37" s="82"/>
      <c r="I37" s="35"/>
      <c r="J37" s="29"/>
      <c r="K37" s="19"/>
      <c r="L37" s="20"/>
      <c r="M37" s="37" t="str">
        <f>IF(I37=0,"",VLOOKUP(I37,Municipalités!$A$2:$B$1290,2,TRUE))</f>
        <v/>
      </c>
    </row>
    <row r="38" spans="1:13" ht="30" customHeight="1" x14ac:dyDescent="0.25">
      <c r="A38" s="45"/>
      <c r="B38" s="45"/>
      <c r="C38" s="39"/>
      <c r="D38" s="47"/>
      <c r="E38" s="27"/>
      <c r="F38" s="31"/>
      <c r="G38" s="82" t="str">
        <f>IF(F38=0,"",VLOOKUP(F38,Employés!$A$2:$B$186,2,0))</f>
        <v/>
      </c>
      <c r="H38" s="82"/>
      <c r="I38" s="35"/>
      <c r="J38" s="29"/>
      <c r="K38" s="19"/>
      <c r="L38" s="20"/>
      <c r="M38" s="37" t="str">
        <f>IF(I38=0,"",VLOOKUP(I38,Municipalités!$A$2:$B$1290,2,TRUE))</f>
        <v/>
      </c>
    </row>
    <row r="39" spans="1:13" ht="30" customHeight="1" x14ac:dyDescent="0.25">
      <c r="A39" s="45"/>
      <c r="B39" s="45"/>
      <c r="C39" s="39"/>
      <c r="D39" s="45"/>
      <c r="E39" s="27"/>
      <c r="F39" s="31"/>
      <c r="G39" s="82" t="str">
        <f>IF(F39=0,"",VLOOKUP(F39,Employés!$A$2:$B$186,2,0))</f>
        <v/>
      </c>
      <c r="H39" s="82"/>
      <c r="I39" s="35"/>
      <c r="J39" s="29"/>
      <c r="K39" s="26"/>
      <c r="L39" s="25"/>
      <c r="M39" s="37" t="str">
        <f>IF(I39=0,"",VLOOKUP(I39,Municipalités!$A$2:$B$1290,2,TRUE))</f>
        <v/>
      </c>
    </row>
    <row r="40" spans="1:13" ht="30" customHeight="1" x14ac:dyDescent="0.25">
      <c r="A40" s="8"/>
      <c r="B40" s="8"/>
      <c r="C40" s="30"/>
      <c r="D40" s="8"/>
      <c r="E40" s="27"/>
      <c r="F40" s="31"/>
      <c r="G40" s="82" t="str">
        <f>IF(F40=0,"",VLOOKUP(F40,Employés!$A$2:$B$186,2,0))</f>
        <v/>
      </c>
      <c r="H40" s="82"/>
      <c r="I40" s="35"/>
      <c r="J40" s="29"/>
      <c r="K40" s="26"/>
      <c r="L40" s="25"/>
      <c r="M40" s="37" t="str">
        <f>IF(I40=0,"",VLOOKUP(I40,Municipalités!$A$2:$B$1290,2,TRUE))</f>
        <v/>
      </c>
    </row>
    <row r="41" spans="1:13" ht="30" customHeight="1" x14ac:dyDescent="0.25">
      <c r="A41" s="8"/>
      <c r="B41" s="8"/>
      <c r="C41" s="30"/>
      <c r="D41" s="8"/>
      <c r="E41" s="27"/>
      <c r="F41" s="31"/>
      <c r="G41" s="82" t="str">
        <f>IF(F41=0,"",VLOOKUP(F41,Employés!$A$2:$B$186,2,0))</f>
        <v/>
      </c>
      <c r="H41" s="82"/>
      <c r="I41" s="35"/>
      <c r="J41" s="29"/>
      <c r="K41" s="26"/>
      <c r="L41" s="25"/>
      <c r="M41" s="37" t="str">
        <f>IF(I41=0,"",VLOOKUP(I41,Municipalités!$A$2:$B$1290,2,TRUE))</f>
        <v/>
      </c>
    </row>
    <row r="42" spans="1:13" ht="30" customHeight="1" x14ac:dyDescent="0.25">
      <c r="A42" s="8"/>
      <c r="B42" s="8"/>
      <c r="C42" s="30"/>
      <c r="D42" s="8"/>
      <c r="E42" s="27"/>
      <c r="F42" s="31"/>
      <c r="G42" s="82" t="str">
        <f>IF(F42=0,"",VLOOKUP(F42,Employés!$A$2:$B$186,2,0))</f>
        <v/>
      </c>
      <c r="H42" s="82"/>
      <c r="I42" s="35"/>
      <c r="J42" s="29"/>
      <c r="K42" s="26"/>
      <c r="L42" s="25"/>
      <c r="M42" s="37" t="str">
        <f>IF(I42=0,"",VLOOKUP(I42,Municipalités!$A$2:$B$1290,2,TRUE))</f>
        <v/>
      </c>
    </row>
    <row r="43" spans="1:13" ht="30" customHeight="1" x14ac:dyDescent="0.25">
      <c r="A43" s="8"/>
      <c r="B43" s="8"/>
      <c r="C43" s="30"/>
      <c r="D43" s="8"/>
      <c r="E43" s="27" t="s">
        <v>1420</v>
      </c>
      <c r="F43" s="31"/>
      <c r="G43" s="82" t="str">
        <f>IF(F43=0,"",VLOOKUP(F43,Employés!$A$2:$B$186,2,0))</f>
        <v/>
      </c>
      <c r="H43" s="82"/>
      <c r="I43" s="35"/>
      <c r="J43" s="29"/>
      <c r="K43" s="26"/>
      <c r="L43" s="25" t="s">
        <v>1420</v>
      </c>
      <c r="M43" s="37" t="str">
        <f>IF(I43=0,"",VLOOKUP(I43,Municipalités!$A$2:$B$1290,2,TRUE))</f>
        <v/>
      </c>
    </row>
    <row r="44" spans="1:13" ht="30" customHeight="1" x14ac:dyDescent="0.25">
      <c r="A44" s="8"/>
      <c r="B44" s="8"/>
      <c r="C44" s="30"/>
      <c r="D44" s="8"/>
      <c r="E44" s="27"/>
      <c r="F44" s="31"/>
      <c r="G44" s="82" t="str">
        <f>IF(F44=0,"",VLOOKUP(F44,Employés!$A$2:$B$186,2,0))</f>
        <v/>
      </c>
      <c r="H44" s="82"/>
      <c r="I44" s="35"/>
      <c r="J44" s="29"/>
      <c r="K44" s="26"/>
      <c r="L44" s="25"/>
      <c r="M44" s="37" t="str">
        <f>IF(I44=0,"",VLOOKUP(I44,Municipalités!$A$2:$B$1290,2,TRUE))</f>
        <v/>
      </c>
    </row>
    <row r="45" spans="1:13" ht="30" customHeight="1" x14ac:dyDescent="0.25">
      <c r="A45" s="8"/>
      <c r="B45" s="8"/>
      <c r="C45" s="30"/>
      <c r="D45" s="8"/>
      <c r="E45" s="27"/>
      <c r="F45" s="31"/>
      <c r="G45" s="82" t="str">
        <f>IF(F45=0,"",VLOOKUP(F45,Employés!$A$2:$B$186,2,0))</f>
        <v/>
      </c>
      <c r="H45" s="82"/>
      <c r="I45" s="35"/>
      <c r="J45" s="29"/>
      <c r="K45" s="26"/>
      <c r="L45" s="25"/>
      <c r="M45" s="37" t="str">
        <f>IF(I45=0,"",VLOOKUP(I45,Municipalités!$A$2:$B$1290,2,TRUE))</f>
        <v/>
      </c>
    </row>
    <row r="46" spans="1:13" ht="30" customHeight="1" x14ac:dyDescent="0.25">
      <c r="A46" s="8"/>
      <c r="B46" s="8"/>
      <c r="C46" s="30"/>
      <c r="D46" s="8"/>
      <c r="E46" s="27"/>
      <c r="F46" s="31"/>
      <c r="G46" s="82" t="str">
        <f>IF(F46=0,"",VLOOKUP(F46,Employés!$A$2:$B$186,2,0))</f>
        <v/>
      </c>
      <c r="H46" s="82"/>
      <c r="I46" s="35"/>
      <c r="J46" s="29"/>
      <c r="K46" s="26"/>
      <c r="L46" s="25"/>
      <c r="M46" s="37" t="str">
        <f>IF(I46=0,"",VLOOKUP(I46,Municipalités!$A$2:$B$1290,2,TRUE))</f>
        <v/>
      </c>
    </row>
    <row r="47" spans="1:13" ht="30" customHeight="1" x14ac:dyDescent="0.25">
      <c r="A47" s="8"/>
      <c r="B47" s="8"/>
      <c r="C47" s="30"/>
      <c r="D47" s="8"/>
      <c r="E47" s="27"/>
      <c r="F47" s="31"/>
      <c r="G47" s="82" t="str">
        <f>IF(F47=0,"",VLOOKUP(F47,Employés!$A$2:$B$186,2,0))</f>
        <v/>
      </c>
      <c r="H47" s="82"/>
      <c r="I47" s="35"/>
      <c r="J47" s="29"/>
      <c r="K47" s="26"/>
      <c r="L47" s="25"/>
      <c r="M47" s="37" t="str">
        <f>IF(I47=0,"",VLOOKUP(I47,Municipalités!$A$2:$B$1290,2,TRUE))</f>
        <v/>
      </c>
    </row>
    <row r="48" spans="1:13" ht="30" customHeight="1" x14ac:dyDescent="0.25">
      <c r="A48" s="8"/>
      <c r="B48" s="8"/>
      <c r="C48" s="30"/>
      <c r="D48" s="8"/>
      <c r="E48" s="27"/>
      <c r="F48" s="31"/>
      <c r="G48" s="82" t="str">
        <f>IF(F48=0,"",VLOOKUP(F48,Employés!$A$2:$B$186,2,0))</f>
        <v/>
      </c>
      <c r="H48" s="82"/>
      <c r="I48" s="35"/>
      <c r="J48" s="29"/>
      <c r="K48" s="26"/>
      <c r="L48" s="25"/>
      <c r="M48" s="37" t="str">
        <f>IF(I48=0,"",VLOOKUP(I48,Municipalités!$A$2:$B$1290,2,TRUE))</f>
        <v/>
      </c>
    </row>
    <row r="49" spans="1:13" ht="30" customHeight="1" x14ac:dyDescent="0.25">
      <c r="A49" s="8"/>
      <c r="B49" s="8"/>
      <c r="C49" s="30"/>
      <c r="D49" s="8"/>
      <c r="E49" s="27"/>
      <c r="F49" s="31"/>
      <c r="G49" s="82" t="str">
        <f>IF(F49=0,"",VLOOKUP(F49,Employés!$A$2:$B$186,2,0))</f>
        <v/>
      </c>
      <c r="H49" s="82"/>
      <c r="I49" s="35"/>
      <c r="J49" s="29"/>
      <c r="K49" s="26"/>
      <c r="L49" s="25"/>
      <c r="M49" s="37" t="str">
        <f>IF(I49=0,"",VLOOKUP(I49,Municipalités!$A$2:$B$1290,2,TRUE))</f>
        <v/>
      </c>
    </row>
    <row r="50" spans="1:13" ht="30" customHeight="1" x14ac:dyDescent="0.25">
      <c r="A50" s="8"/>
      <c r="B50" s="8"/>
      <c r="C50" s="30"/>
      <c r="D50" s="8"/>
      <c r="E50" s="27"/>
      <c r="F50" s="31"/>
      <c r="G50" s="82" t="str">
        <f>IF(F50=0,"",VLOOKUP(F50,Employés!$A$2:$B$186,2,0))</f>
        <v/>
      </c>
      <c r="H50" s="82"/>
      <c r="I50" s="35"/>
      <c r="J50" s="29"/>
      <c r="K50" s="26"/>
      <c r="L50" s="25"/>
      <c r="M50" s="37" t="str">
        <f>IF(I50=0,"",VLOOKUP(I50,Municipalités!$A$2:$B$1290,2,TRUE))</f>
        <v/>
      </c>
    </row>
    <row r="51" spans="1:13" ht="30" customHeight="1" x14ac:dyDescent="0.25">
      <c r="A51" s="8"/>
      <c r="B51" s="8"/>
      <c r="C51" s="30"/>
      <c r="D51" s="8"/>
      <c r="E51" s="27"/>
      <c r="F51" s="31"/>
      <c r="G51" s="82" t="str">
        <f>IF(F51=0,"",VLOOKUP(F51,Employés!$A$2:$B$186,2,0))</f>
        <v/>
      </c>
      <c r="H51" s="82"/>
      <c r="I51" s="35"/>
      <c r="J51" s="29"/>
      <c r="K51" s="26"/>
      <c r="L51" s="25"/>
      <c r="M51" s="37" t="str">
        <f>IF(I51=0,"",VLOOKUP(I51,Municipalités!$A$2:$B$1290,2,TRUE))</f>
        <v/>
      </c>
    </row>
    <row r="52" spans="1:13" ht="30" customHeight="1" x14ac:dyDescent="0.25">
      <c r="A52" s="8"/>
      <c r="B52" s="8"/>
      <c r="C52" s="30"/>
      <c r="D52" s="8"/>
      <c r="E52" s="27"/>
      <c r="F52" s="31"/>
      <c r="G52" s="82" t="str">
        <f>IF(F52=0,"",VLOOKUP(F52,Employés!$A$2:$B$186,2,0))</f>
        <v/>
      </c>
      <c r="H52" s="82"/>
      <c r="I52" s="35"/>
      <c r="J52" s="29"/>
      <c r="K52" s="26"/>
      <c r="L52" s="25"/>
      <c r="M52" s="37" t="str">
        <f>IF(I52=0,"",VLOOKUP(I52,Municipalités!$A$2:$B$1290,2,TRUE))</f>
        <v/>
      </c>
    </row>
    <row r="53" spans="1:13" ht="30" customHeight="1" x14ac:dyDescent="0.25">
      <c r="A53" s="8"/>
      <c r="B53" s="8"/>
      <c r="C53" s="30"/>
      <c r="D53" s="8"/>
      <c r="E53" s="27"/>
      <c r="F53" s="31"/>
      <c r="G53" s="82" t="str">
        <f>IF(F53=0,"",VLOOKUP(F53,Employés!$A$2:$B$186,2,0))</f>
        <v/>
      </c>
      <c r="H53" s="82"/>
      <c r="I53" s="35"/>
      <c r="J53" s="29"/>
      <c r="K53" s="26"/>
      <c r="L53" s="25"/>
      <c r="M53" s="37" t="str">
        <f>IF(I53=0,"",VLOOKUP(I53,Municipalités!$A$2:$B$1290,2,TRUE))</f>
        <v/>
      </c>
    </row>
    <row r="54" spans="1:13" ht="30" customHeight="1" x14ac:dyDescent="0.25">
      <c r="A54" s="8"/>
      <c r="B54" s="8"/>
      <c r="C54" s="30"/>
      <c r="D54" s="8"/>
      <c r="E54" s="27"/>
      <c r="F54" s="31"/>
      <c r="G54" s="82" t="str">
        <f>IF(F54=0,"",VLOOKUP(F54,Employés!$A$2:$B$186,2,0))</f>
        <v/>
      </c>
      <c r="H54" s="82"/>
      <c r="I54" s="35"/>
      <c r="J54" s="29"/>
      <c r="K54" s="26"/>
      <c r="L54" s="25"/>
      <c r="M54" s="37" t="str">
        <f>IF(I54=0,"",VLOOKUP(I54,Municipalités!$A$2:$B$1290,2,TRUE))</f>
        <v/>
      </c>
    </row>
    <row r="55" spans="1:13" ht="30" customHeight="1" x14ac:dyDescent="0.25">
      <c r="A55" s="8"/>
      <c r="B55" s="8"/>
      <c r="C55" s="30"/>
      <c r="D55" s="8"/>
      <c r="E55" s="27"/>
      <c r="F55" s="31"/>
      <c r="G55" s="82" t="str">
        <f>IF(F55=0,"",VLOOKUP(F55,Employés!$A$2:$B$186,2,0))</f>
        <v/>
      </c>
      <c r="H55" s="82"/>
      <c r="I55" s="35"/>
      <c r="J55" s="29"/>
      <c r="K55" s="26"/>
      <c r="L55" s="25"/>
      <c r="M55" s="37" t="str">
        <f>IF(I55=0,"",VLOOKUP(I55,Municipalités!$A$2:$B$1290,2,TRUE))</f>
        <v/>
      </c>
    </row>
    <row r="56" spans="1:13" ht="30" customHeight="1" x14ac:dyDescent="0.25">
      <c r="A56" s="8"/>
      <c r="B56" s="8"/>
      <c r="C56" s="30"/>
      <c r="D56" s="8"/>
      <c r="E56" s="27"/>
      <c r="F56" s="31"/>
      <c r="G56" s="82" t="str">
        <f>IF(F56=0,"",VLOOKUP(F56,Employés!$A$2:$B$186,2,0))</f>
        <v/>
      </c>
      <c r="H56" s="82"/>
      <c r="I56" s="35"/>
      <c r="J56" s="29"/>
      <c r="K56" s="26"/>
      <c r="L56" s="25"/>
      <c r="M56" s="37" t="str">
        <f>IF(I56=0,"",VLOOKUP(I56,Municipalités!$A$2:$B$1290,2,TRUE))</f>
        <v/>
      </c>
    </row>
    <row r="57" spans="1:13" ht="30" customHeight="1" x14ac:dyDescent="0.25">
      <c r="A57" s="8"/>
      <c r="B57" s="8"/>
      <c r="C57" s="30"/>
      <c r="D57" s="8"/>
      <c r="E57" s="27"/>
      <c r="F57" s="31"/>
      <c r="G57" s="82" t="str">
        <f>IF(F57=0,"",VLOOKUP(F57,Employés!$A$2:$B$186,2,0))</f>
        <v/>
      </c>
      <c r="H57" s="82"/>
      <c r="I57" s="35"/>
      <c r="J57" s="29"/>
      <c r="K57" s="26"/>
      <c r="L57" s="25"/>
      <c r="M57" s="37" t="str">
        <f>IF(I57=0,"",VLOOKUP(I57,Municipalités!$A$2:$B$1290,2,TRUE))</f>
        <v/>
      </c>
    </row>
    <row r="58" spans="1:13" ht="30" customHeight="1" x14ac:dyDescent="0.25">
      <c r="A58" s="8"/>
      <c r="B58" s="8"/>
      <c r="C58" s="30"/>
      <c r="D58" s="8"/>
      <c r="E58" s="27"/>
      <c r="F58" s="31"/>
      <c r="G58" s="82" t="str">
        <f>IF(F58=0,"",VLOOKUP(F58,Employés!$A$2:$B$186,2,0))</f>
        <v/>
      </c>
      <c r="H58" s="82"/>
      <c r="I58" s="35"/>
      <c r="J58" s="29"/>
      <c r="K58" s="26"/>
      <c r="L58" s="25"/>
      <c r="M58" s="37" t="str">
        <f>IF(I58=0,"",VLOOKUP(I58,Municipalités!$A$2:$B$1290,2,TRUE))</f>
        <v/>
      </c>
    </row>
    <row r="59" spans="1:13" ht="30" customHeight="1" x14ac:dyDescent="0.25">
      <c r="A59" s="8"/>
      <c r="B59" s="8"/>
      <c r="C59" s="30"/>
      <c r="D59" s="8"/>
      <c r="E59" s="27"/>
      <c r="F59" s="31"/>
      <c r="G59" s="82" t="str">
        <f>IF(F59=0,"",VLOOKUP(F59,Employés!$A$2:$B$186,2,0))</f>
        <v/>
      </c>
      <c r="H59" s="82"/>
      <c r="I59" s="35"/>
      <c r="J59" s="29"/>
      <c r="K59" s="26"/>
      <c r="L59" s="25"/>
      <c r="M59" s="37" t="str">
        <f>IF(I59=0,"",VLOOKUP(I59,Municipalités!$A$2:$B$1290,2,TRUE))</f>
        <v/>
      </c>
    </row>
    <row r="60" spans="1:13" ht="30" customHeight="1" x14ac:dyDescent="0.25">
      <c r="A60" s="8"/>
      <c r="B60" s="8"/>
      <c r="C60" s="30"/>
      <c r="D60" s="8"/>
      <c r="E60" s="27"/>
      <c r="F60" s="31"/>
      <c r="G60" s="82" t="str">
        <f>IF(F60=0,"",VLOOKUP(F60,Employés!$A$2:$B$186,2,0))</f>
        <v/>
      </c>
      <c r="H60" s="82"/>
      <c r="I60" s="35"/>
      <c r="J60" s="29"/>
      <c r="K60" s="26"/>
      <c r="L60" s="25"/>
      <c r="M60" s="37" t="str">
        <f>IF(I60=0,"",VLOOKUP(I60,Municipalités!$A$2:$B$1290,2,TRUE))</f>
        <v/>
      </c>
    </row>
    <row r="61" spans="1:13" ht="30" customHeight="1" x14ac:dyDescent="0.25">
      <c r="A61" s="8"/>
      <c r="B61" s="8"/>
      <c r="C61" s="30"/>
      <c r="D61" s="8"/>
      <c r="E61" s="27"/>
      <c r="F61" s="31"/>
      <c r="G61" s="82" t="str">
        <f>IF(F61=0,"",VLOOKUP(F61,Employés!$A$2:$B$186,2,0))</f>
        <v/>
      </c>
      <c r="H61" s="82"/>
      <c r="I61" s="35"/>
      <c r="J61" s="29"/>
      <c r="K61" s="26"/>
      <c r="L61" s="25"/>
      <c r="M61" s="37" t="str">
        <f>IF(I61=0,"",VLOOKUP(I61,Municipalités!$A$2:$B$1290,2,TRUE))</f>
        <v/>
      </c>
    </row>
    <row r="62" spans="1:13" x14ac:dyDescent="0.25">
      <c r="C62" s="14"/>
    </row>
    <row r="63" spans="1:13" x14ac:dyDescent="0.25">
      <c r="C63" s="14"/>
    </row>
    <row r="64" spans="1:13" x14ac:dyDescent="0.25">
      <c r="C64" s="14"/>
    </row>
    <row r="65" spans="3:5" x14ac:dyDescent="0.25">
      <c r="C65" s="14"/>
    </row>
    <row r="66" spans="3:5" x14ac:dyDescent="0.25">
      <c r="C66" s="14"/>
    </row>
    <row r="67" spans="3:5" x14ac:dyDescent="0.25">
      <c r="C67" s="14"/>
    </row>
    <row r="68" spans="3:5" x14ac:dyDescent="0.25">
      <c r="C68" s="14"/>
    </row>
    <row r="69" spans="3:5" x14ac:dyDescent="0.25">
      <c r="C69" s="14"/>
    </row>
    <row r="70" spans="3:5" x14ac:dyDescent="0.25">
      <c r="C70" s="14"/>
    </row>
    <row r="71" spans="3:5" x14ac:dyDescent="0.25">
      <c r="C71" s="14"/>
    </row>
    <row r="72" spans="3:5" x14ac:dyDescent="0.25">
      <c r="C72" s="14"/>
    </row>
    <row r="73" spans="3:5" x14ac:dyDescent="0.25">
      <c r="C73" s="14"/>
    </row>
    <row r="74" spans="3:5" x14ac:dyDescent="0.25">
      <c r="C74" s="14"/>
    </row>
    <row r="75" spans="3:5" x14ac:dyDescent="0.25">
      <c r="C75" s="14"/>
    </row>
    <row r="76" spans="3:5" x14ac:dyDescent="0.25">
      <c r="C76" s="14"/>
    </row>
    <row r="77" spans="3:5" x14ac:dyDescent="0.25">
      <c r="C77" s="14"/>
    </row>
    <row r="78" spans="3:5" x14ac:dyDescent="0.25">
      <c r="C78" s="14"/>
      <c r="E78" s="21" t="s">
        <v>1420</v>
      </c>
    </row>
    <row r="79" spans="3:5" x14ac:dyDescent="0.25">
      <c r="C79" s="14"/>
    </row>
    <row r="80" spans="3:5" x14ac:dyDescent="0.25">
      <c r="C80" s="14"/>
    </row>
    <row r="81" spans="3:3" x14ac:dyDescent="0.25">
      <c r="C81" s="14"/>
    </row>
    <row r="82" spans="3:3" x14ac:dyDescent="0.25">
      <c r="C82" s="14"/>
    </row>
    <row r="83" spans="3:3" x14ac:dyDescent="0.25">
      <c r="C83" s="14"/>
    </row>
    <row r="84" spans="3:3" x14ac:dyDescent="0.25">
      <c r="C84" s="14"/>
    </row>
    <row r="85" spans="3:3" x14ac:dyDescent="0.25">
      <c r="C85" s="14"/>
    </row>
    <row r="86" spans="3:3" x14ac:dyDescent="0.25">
      <c r="C86" s="14"/>
    </row>
    <row r="87" spans="3:3" x14ac:dyDescent="0.25">
      <c r="C87" s="14"/>
    </row>
    <row r="88" spans="3:3" x14ac:dyDescent="0.25">
      <c r="C88" s="14"/>
    </row>
    <row r="89" spans="3:3" x14ac:dyDescent="0.25">
      <c r="C89" s="14"/>
    </row>
    <row r="90" spans="3:3" x14ac:dyDescent="0.25">
      <c r="C90" s="14"/>
    </row>
    <row r="91" spans="3:3" x14ac:dyDescent="0.25">
      <c r="C91" s="14"/>
    </row>
    <row r="92" spans="3:3" x14ac:dyDescent="0.25">
      <c r="C92" s="14"/>
    </row>
    <row r="93" spans="3:3" x14ac:dyDescent="0.25">
      <c r="C93" s="14"/>
    </row>
    <row r="94" spans="3:3" x14ac:dyDescent="0.25">
      <c r="C94" s="14"/>
    </row>
    <row r="95" spans="3:3" x14ac:dyDescent="0.25">
      <c r="C95" s="14"/>
    </row>
    <row r="96" spans="3:3" x14ac:dyDescent="0.25">
      <c r="C96" s="14"/>
    </row>
    <row r="97" spans="3:3" x14ac:dyDescent="0.25">
      <c r="C97" s="14"/>
    </row>
    <row r="98" spans="3:3" x14ac:dyDescent="0.25">
      <c r="C98" s="14"/>
    </row>
  </sheetData>
  <mergeCells count="67">
    <mergeCell ref="G59:H59"/>
    <mergeCell ref="G60:H60"/>
    <mergeCell ref="G61:H61"/>
    <mergeCell ref="G53:H53"/>
    <mergeCell ref="G54:H54"/>
    <mergeCell ref="G55:H55"/>
    <mergeCell ref="G56:H56"/>
    <mergeCell ref="G57:H57"/>
    <mergeCell ref="G58:H58"/>
    <mergeCell ref="G52:H52"/>
    <mergeCell ref="G41:H41"/>
    <mergeCell ref="G42:H42"/>
    <mergeCell ref="G43:H43"/>
    <mergeCell ref="G44:H44"/>
    <mergeCell ref="G45:H45"/>
    <mergeCell ref="G46:H46"/>
    <mergeCell ref="G47:H47"/>
    <mergeCell ref="G48:H48"/>
    <mergeCell ref="G49:H49"/>
    <mergeCell ref="G50:H50"/>
    <mergeCell ref="G51:H51"/>
    <mergeCell ref="G40:H40"/>
    <mergeCell ref="G29:H29"/>
    <mergeCell ref="G30:H30"/>
    <mergeCell ref="G31:H31"/>
    <mergeCell ref="G32:H32"/>
    <mergeCell ref="G33:H33"/>
    <mergeCell ref="G34:H34"/>
    <mergeCell ref="G35:H35"/>
    <mergeCell ref="G36:H36"/>
    <mergeCell ref="G37:H37"/>
    <mergeCell ref="G38:H38"/>
    <mergeCell ref="G39:H39"/>
    <mergeCell ref="G28:H28"/>
    <mergeCell ref="G17:H17"/>
    <mergeCell ref="G18:H18"/>
    <mergeCell ref="G19:H19"/>
    <mergeCell ref="G20:H20"/>
    <mergeCell ref="G21:H21"/>
    <mergeCell ref="G22:H22"/>
    <mergeCell ref="G23:H23"/>
    <mergeCell ref="G24:H24"/>
    <mergeCell ref="G25:H25"/>
    <mergeCell ref="G26:H26"/>
    <mergeCell ref="G27:H27"/>
    <mergeCell ref="M2:M4"/>
    <mergeCell ref="G16:H16"/>
    <mergeCell ref="I6:I7"/>
    <mergeCell ref="J6:J7"/>
    <mergeCell ref="K6:M6"/>
    <mergeCell ref="G8:H8"/>
    <mergeCell ref="G9:H9"/>
    <mergeCell ref="G10:H10"/>
    <mergeCell ref="G11:H11"/>
    <mergeCell ref="G12:H12"/>
    <mergeCell ref="G13:H13"/>
    <mergeCell ref="G14:H14"/>
    <mergeCell ref="G15:H15"/>
    <mergeCell ref="E1:F4"/>
    <mergeCell ref="L1:L2"/>
    <mergeCell ref="A6:A7"/>
    <mergeCell ref="B6:B7"/>
    <mergeCell ref="C6:C7"/>
    <mergeCell ref="D6:D7"/>
    <mergeCell ref="E6:E7"/>
    <mergeCell ref="F6:F7"/>
    <mergeCell ref="G6:H7"/>
  </mergeCells>
  <conditionalFormatting sqref="C16:C21 C23:C45">
    <cfRule type="expression" dxfId="95" priority="7" stopIfTrue="1">
      <formula>#REF!=1</formula>
    </cfRule>
    <cfRule type="expression" priority="8" stopIfTrue="1">
      <formula>#REF!=2</formula>
    </cfRule>
    <cfRule type="expression" dxfId="94" priority="9" stopIfTrue="1">
      <formula>#REF!=3</formula>
    </cfRule>
  </conditionalFormatting>
  <conditionalFormatting sqref="C22">
    <cfRule type="expression" dxfId="93" priority="4" stopIfTrue="1">
      <formula>#REF!=1</formula>
    </cfRule>
    <cfRule type="expression" priority="5" stopIfTrue="1">
      <formula>#REF!=2</formula>
    </cfRule>
    <cfRule type="expression" dxfId="92" priority="6" stopIfTrue="1">
      <formula>#REF!=3</formula>
    </cfRule>
  </conditionalFormatting>
  <conditionalFormatting sqref="C46:C61">
    <cfRule type="expression" dxfId="91" priority="1" stopIfTrue="1">
      <formula>#REF!=1</formula>
    </cfRule>
    <cfRule type="expression" priority="2" stopIfTrue="1">
      <formula>#REF!=2</formula>
    </cfRule>
    <cfRule type="expression" dxfId="90" priority="3" stopIfTrue="1">
      <formula>#REF!=3</formula>
    </cfRule>
  </conditionalFormatting>
  <dataValidations count="2">
    <dataValidation type="textLength" operator="greaterThanOrEqual" allowBlank="1" showInputMessage="1" showErrorMessage="1" errorTitle="Saisie incorrecte" error="Re-saisir le numéro d'entrée en utilisant 3 chiffres_x000a_Ex.: 001" promptTitle="Saisie du numéro d'entrée" prompt="Minimum 3 chiffres_x000a_Ex.: 001" sqref="C8:C39" xr:uid="{00000000-0002-0000-0F00-000000000000}">
      <formula1>3</formula1>
    </dataValidation>
    <dataValidation operator="greaterThan" allowBlank="1" showDropDown="1" showInputMessage="1" showErrorMessage="1" errorTitle="Saisie incorrecte" error="Re-Saisir le numéro de dossier sous le format_x000a_000-000000-000" promptTitle="Saisie du numéro d'événement" prompt="000-000000-000_x000a_Ex. : 071-030901-001" sqref="J8:J39" xr:uid="{00000000-0002-0000-0F00-000001000000}"/>
  </dataValidations>
  <printOptions horizontalCentered="1" verticalCentered="1"/>
  <pageMargins left="0" right="0" top="0.31496062992125984" bottom="0.39370078740157483" header="0.15748031496062992" footer="0.19685039370078741"/>
  <pageSetup paperSize="5" scale="90" orientation="landscape" r:id="rId1"/>
  <headerFooter alignWithMargins="0">
    <oddFooter>&amp;R&amp;8Page &amp;P de &amp;N</oddFooter>
  </headerFooter>
  <drawing r:id="rId2"/>
  <legacyDrawing r:id="rId3"/>
  <controls>
    <mc:AlternateContent xmlns:mc="http://schemas.openxmlformats.org/markup-compatibility/2006">
      <mc:Choice Requires="x14">
        <control shapeId="157699" r:id="rId4" name="ComboBox2">
          <controlPr defaultSize="0" autoLine="0" r:id="rId5">
            <anchor moveWithCells="1">
              <from>
                <xdr:col>4</xdr:col>
                <xdr:colOff>0</xdr:colOff>
                <xdr:row>10</xdr:row>
                <xdr:rowOff>0</xdr:rowOff>
              </from>
              <to>
                <xdr:col>4</xdr:col>
                <xdr:colOff>2965450</xdr:colOff>
                <xdr:row>11</xdr:row>
                <xdr:rowOff>38100</xdr:rowOff>
              </to>
            </anchor>
          </controlPr>
        </control>
      </mc:Choice>
      <mc:Fallback>
        <control shapeId="157699" r:id="rId4" name="ComboBox2"/>
      </mc:Fallback>
    </mc:AlternateContent>
    <mc:AlternateContent xmlns:mc="http://schemas.openxmlformats.org/markup-compatibility/2006">
      <mc:Choice Requires="x14">
        <control shapeId="157698" r:id="rId6" name="ComboBox1">
          <controlPr defaultSize="0" autoLine="0" r:id="rId7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11</xdr:col>
                <xdr:colOff>1803400</xdr:colOff>
                <xdr:row>9</xdr:row>
                <xdr:rowOff>38100</xdr:rowOff>
              </to>
            </anchor>
          </controlPr>
        </control>
      </mc:Choice>
      <mc:Fallback>
        <control shapeId="157698" r:id="rId6" name="ComboBox1"/>
      </mc:Fallback>
    </mc:AlternateContent>
    <mc:AlternateContent xmlns:mc="http://schemas.openxmlformats.org/markup-compatibility/2006">
      <mc:Choice Requires="x14">
        <control shapeId="157697" r:id="rId8" name="Button 1">
          <controlPr defaultSize="0" print="0" autoFill="0" autoPict="0" macro="[0]!test2">
            <anchor moveWithCells="1">
              <from>
                <xdr:col>5</xdr:col>
                <xdr:colOff>222250</xdr:colOff>
                <xdr:row>1</xdr:row>
                <xdr:rowOff>139700</xdr:rowOff>
              </from>
              <to>
                <xdr:col>9</xdr:col>
                <xdr:colOff>1143000</xdr:colOff>
                <xdr:row>4</xdr:row>
                <xdr:rowOff>107950</xdr:rowOff>
              </to>
            </anchor>
          </controlPr>
        </control>
      </mc:Choice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74"/>
  <dimension ref="A1:M98"/>
  <sheetViews>
    <sheetView showGridLines="0" zoomScaleNormal="100" workbookViewId="0">
      <pane xSplit="3" ySplit="7" topLeftCell="D8" activePane="bottomRight" state="frozen"/>
      <selection activeCell="C8" sqref="C8"/>
      <selection pane="topRight" activeCell="C8" sqref="C8"/>
      <selection pane="bottomLeft" activeCell="C8" sqref="C8"/>
      <selection pane="bottomRight" activeCell="E8" sqref="E8"/>
    </sheetView>
  </sheetViews>
  <sheetFormatPr baseColWidth="10" defaultColWidth="11.453125" defaultRowHeight="13" x14ac:dyDescent="0.25"/>
  <cols>
    <col min="1" max="2" width="5.6328125" style="1" customWidth="1"/>
    <col min="3" max="3" width="6.6328125" style="1" customWidth="1"/>
    <col min="4" max="4" width="7.54296875" style="1" customWidth="1"/>
    <col min="5" max="5" width="44.453125" style="21" customWidth="1"/>
    <col min="6" max="6" width="10.54296875" style="1" customWidth="1"/>
    <col min="7" max="7" width="13.90625" style="1" customWidth="1"/>
    <col min="8" max="8" width="4.6328125" style="1" hidden="1" customWidth="1"/>
    <col min="9" max="9" width="6.08984375" style="1" customWidth="1"/>
    <col min="10" max="10" width="26.54296875" style="1" customWidth="1"/>
    <col min="11" max="11" width="7.36328125" style="1" customWidth="1"/>
    <col min="12" max="12" width="27" style="24" customWidth="1"/>
    <col min="13" max="13" width="26" style="1" customWidth="1"/>
    <col min="14" max="16384" width="11.453125" style="1"/>
  </cols>
  <sheetData>
    <row r="1" spans="1:13" ht="12.75" customHeight="1" x14ac:dyDescent="0.25">
      <c r="E1" s="71" t="s">
        <v>1023</v>
      </c>
      <c r="F1" s="72"/>
      <c r="L1" s="73" t="s">
        <v>1021</v>
      </c>
      <c r="M1" s="51" t="s">
        <v>1022</v>
      </c>
    </row>
    <row r="2" spans="1:13" ht="12.75" customHeight="1" x14ac:dyDescent="0.25">
      <c r="E2" s="72"/>
      <c r="F2" s="72"/>
      <c r="L2" s="74"/>
      <c r="M2" s="70">
        <f>'16'!M2:M5+1</f>
        <v>42721</v>
      </c>
    </row>
    <row r="3" spans="1:13" ht="12.75" customHeight="1" x14ac:dyDescent="0.25">
      <c r="E3" s="72"/>
      <c r="F3" s="72"/>
      <c r="L3" s="52"/>
      <c r="M3" s="70"/>
    </row>
    <row r="4" spans="1:13" ht="15.75" customHeight="1" x14ac:dyDescent="0.25">
      <c r="E4" s="72"/>
      <c r="F4" s="72"/>
      <c r="L4" s="49" t="s">
        <v>140</v>
      </c>
      <c r="M4" s="70"/>
    </row>
    <row r="5" spans="1:13" ht="21.9" customHeight="1" thickBot="1" x14ac:dyDescent="0.3">
      <c r="L5" s="36"/>
      <c r="M5" s="69">
        <f>M2</f>
        <v>42721</v>
      </c>
    </row>
    <row r="6" spans="1:13" ht="24.9" customHeight="1" x14ac:dyDescent="0.25">
      <c r="A6" s="75" t="s">
        <v>2351</v>
      </c>
      <c r="B6" s="75" t="s">
        <v>2350</v>
      </c>
      <c r="C6" s="76" t="s">
        <v>1362</v>
      </c>
      <c r="D6" s="75" t="s">
        <v>1153</v>
      </c>
      <c r="E6" s="75" t="s">
        <v>1016</v>
      </c>
      <c r="F6" s="76" t="s">
        <v>2352</v>
      </c>
      <c r="G6" s="76" t="s">
        <v>1017</v>
      </c>
      <c r="H6" s="79"/>
      <c r="I6" s="76" t="s">
        <v>1364</v>
      </c>
      <c r="J6" s="76" t="s">
        <v>1363</v>
      </c>
      <c r="K6" s="83" t="s">
        <v>1018</v>
      </c>
      <c r="L6" s="84"/>
      <c r="M6" s="84"/>
    </row>
    <row r="7" spans="1:13" ht="12.5" x14ac:dyDescent="0.25">
      <c r="A7" s="75"/>
      <c r="B7" s="75"/>
      <c r="C7" s="77"/>
      <c r="D7" s="75"/>
      <c r="E7" s="75"/>
      <c r="F7" s="78"/>
      <c r="G7" s="80"/>
      <c r="H7" s="81"/>
      <c r="I7" s="77"/>
      <c r="J7" s="77"/>
      <c r="K7" s="50" t="s">
        <v>1015</v>
      </c>
      <c r="L7" s="50" t="s">
        <v>1019</v>
      </c>
      <c r="M7" s="32" t="s">
        <v>1020</v>
      </c>
    </row>
    <row r="8" spans="1:13" ht="30" customHeight="1" x14ac:dyDescent="0.25">
      <c r="A8" s="45"/>
      <c r="B8" s="45"/>
      <c r="C8" s="39"/>
      <c r="D8" s="46"/>
      <c r="E8" s="27"/>
      <c r="F8" s="31"/>
      <c r="G8" s="82"/>
      <c r="H8" s="82"/>
      <c r="I8" s="34"/>
      <c r="J8" s="33"/>
      <c r="K8" s="19"/>
      <c r="L8" s="20"/>
      <c r="M8" s="37"/>
    </row>
    <row r="9" spans="1:13" ht="30" customHeight="1" x14ac:dyDescent="0.25">
      <c r="A9" s="45"/>
      <c r="B9" s="45"/>
      <c r="C9" s="39"/>
      <c r="D9" s="47"/>
      <c r="E9" s="27"/>
      <c r="F9" s="31"/>
      <c r="G9" s="82"/>
      <c r="H9" s="82"/>
      <c r="I9" s="35"/>
      <c r="J9" s="33"/>
      <c r="K9" s="19"/>
      <c r="L9" s="20"/>
      <c r="M9" s="37"/>
    </row>
    <row r="10" spans="1:13" ht="30" customHeight="1" x14ac:dyDescent="0.25">
      <c r="A10" s="45"/>
      <c r="B10" s="45"/>
      <c r="C10" s="39"/>
      <c r="D10" s="48"/>
      <c r="E10" s="28"/>
      <c r="F10" s="31"/>
      <c r="G10" s="82"/>
      <c r="H10" s="82"/>
      <c r="I10" s="35"/>
      <c r="J10" s="29"/>
      <c r="K10" s="19"/>
      <c r="L10" s="20"/>
      <c r="M10" s="37"/>
    </row>
    <row r="11" spans="1:13" ht="30" customHeight="1" x14ac:dyDescent="0.25">
      <c r="A11" s="45"/>
      <c r="B11" s="45"/>
      <c r="C11" s="39"/>
      <c r="D11" s="47"/>
      <c r="E11" s="28" t="s">
        <v>1420</v>
      </c>
      <c r="F11" s="31"/>
      <c r="G11" s="82" t="str">
        <f>IF(F11=0,"",VLOOKUP(F11,Employés!$A$2:$B$186,2,0))</f>
        <v/>
      </c>
      <c r="H11" s="82"/>
      <c r="I11" s="35"/>
      <c r="J11" s="29"/>
      <c r="K11" s="19"/>
      <c r="L11" s="20"/>
      <c r="M11" s="37" t="str">
        <f>IF(I11=0,"",VLOOKUP(I11,Municipalités!$A$2:$B$1290,2,TRUE))</f>
        <v/>
      </c>
    </row>
    <row r="12" spans="1:13" ht="30" customHeight="1" x14ac:dyDescent="0.25">
      <c r="A12" s="45"/>
      <c r="B12" s="45"/>
      <c r="C12" s="39"/>
      <c r="D12" s="46"/>
      <c r="E12" s="27" t="s">
        <v>1420</v>
      </c>
      <c r="F12" s="31"/>
      <c r="G12" s="82" t="str">
        <f>IF(F12=0,"",VLOOKUP(F12,Employés!$A$2:$B$186,2,0))</f>
        <v/>
      </c>
      <c r="H12" s="82"/>
      <c r="I12" s="35"/>
      <c r="J12" s="29"/>
      <c r="K12" s="19"/>
      <c r="L12" s="20"/>
      <c r="M12" s="37" t="str">
        <f>IF(I12=0,"",VLOOKUP(I12,Municipalités!$A$2:$B$1290,2,TRUE))</f>
        <v/>
      </c>
    </row>
    <row r="13" spans="1:13" ht="30" customHeight="1" x14ac:dyDescent="0.25">
      <c r="A13" s="45"/>
      <c r="B13" s="45"/>
      <c r="C13" s="39"/>
      <c r="D13" s="46"/>
      <c r="E13" s="27"/>
      <c r="F13" s="31"/>
      <c r="G13" s="82" t="str">
        <f>IF(F13=0,"",VLOOKUP(F13,Employés!$A$2:$B$186,2,0))</f>
        <v/>
      </c>
      <c r="H13" s="82"/>
      <c r="I13" s="35"/>
      <c r="J13" s="29"/>
      <c r="K13" s="19"/>
      <c r="L13" s="20"/>
      <c r="M13" s="37" t="str">
        <f>IF(I13=0,"",VLOOKUP(I13,Municipalités!$A$2:$B$1290,2,TRUE))</f>
        <v/>
      </c>
    </row>
    <row r="14" spans="1:13" ht="30" customHeight="1" x14ac:dyDescent="0.25">
      <c r="A14" s="45"/>
      <c r="B14" s="45"/>
      <c r="C14" s="39"/>
      <c r="D14" s="47"/>
      <c r="E14" s="27"/>
      <c r="F14" s="31"/>
      <c r="G14" s="82" t="str">
        <f>IF(F14=0,"",VLOOKUP(F14,Employés!$A$2:$B$186,2,0))</f>
        <v/>
      </c>
      <c r="H14" s="82"/>
      <c r="I14" s="35"/>
      <c r="J14" s="29"/>
      <c r="K14" s="19"/>
      <c r="L14" s="20"/>
      <c r="M14" s="37" t="str">
        <f>IF(I14=0,"",VLOOKUP(I14,Municipalités!$A$2:$B$1290,2,TRUE))</f>
        <v/>
      </c>
    </row>
    <row r="15" spans="1:13" ht="30" customHeight="1" x14ac:dyDescent="0.25">
      <c r="A15" s="45"/>
      <c r="B15" s="45"/>
      <c r="C15" s="39"/>
      <c r="D15" s="47"/>
      <c r="E15" s="27"/>
      <c r="F15" s="31"/>
      <c r="G15" s="82" t="str">
        <f>IF(F15=0,"",VLOOKUP(F15,Employés!$A$2:$B$186,2,0))</f>
        <v/>
      </c>
      <c r="H15" s="82"/>
      <c r="I15" s="35"/>
      <c r="J15" s="29"/>
      <c r="K15" s="19"/>
      <c r="L15" s="20"/>
      <c r="M15" s="37" t="str">
        <f>IF(I15=0,"",VLOOKUP(I15,Municipalités!$A$2:$B$1290,2,TRUE))</f>
        <v/>
      </c>
    </row>
    <row r="16" spans="1:13" ht="30" customHeight="1" x14ac:dyDescent="0.25">
      <c r="A16" s="45"/>
      <c r="B16" s="45"/>
      <c r="C16" s="39"/>
      <c r="D16" s="46"/>
      <c r="E16" s="27"/>
      <c r="F16" s="31"/>
      <c r="G16" s="82" t="str">
        <f>IF(F16=0,"",VLOOKUP(F16,Employés!$A$2:$B$186,2,0))</f>
        <v/>
      </c>
      <c r="H16" s="82"/>
      <c r="I16" s="35"/>
      <c r="J16" s="29"/>
      <c r="K16" s="19"/>
      <c r="L16" s="20"/>
      <c r="M16" s="37" t="str">
        <f>IF(I16=0,"",VLOOKUP(I16,Municipalités!$A$2:$B$1290,2,TRUE))</f>
        <v/>
      </c>
    </row>
    <row r="17" spans="1:13" ht="30" customHeight="1" x14ac:dyDescent="0.25">
      <c r="A17" s="45"/>
      <c r="B17" s="45"/>
      <c r="C17" s="39"/>
      <c r="D17" s="46"/>
      <c r="E17" s="27"/>
      <c r="F17" s="31"/>
      <c r="G17" s="82" t="str">
        <f>IF(F17=0,"",VLOOKUP(F17,Employés!$A$2:$B$186,2,0))</f>
        <v/>
      </c>
      <c r="H17" s="82"/>
      <c r="I17" s="35"/>
      <c r="J17" s="29"/>
      <c r="K17" s="19"/>
      <c r="L17" s="20"/>
      <c r="M17" s="37" t="str">
        <f>IF(I17=0,"",VLOOKUP(I17,Municipalités!$A$2:$B$1290,2,TRUE))</f>
        <v/>
      </c>
    </row>
    <row r="18" spans="1:13" ht="30" customHeight="1" x14ac:dyDescent="0.25">
      <c r="A18" s="45"/>
      <c r="B18" s="45"/>
      <c r="C18" s="39"/>
      <c r="D18" s="46"/>
      <c r="E18" s="27"/>
      <c r="F18" s="31"/>
      <c r="G18" s="82" t="str">
        <f>IF(F18=0,"",VLOOKUP(F18,Employés!$A$2:$B$186,2,0))</f>
        <v/>
      </c>
      <c r="H18" s="82"/>
      <c r="I18" s="35"/>
      <c r="J18" s="29"/>
      <c r="K18" s="19"/>
      <c r="L18" s="20"/>
      <c r="M18" s="37" t="str">
        <f>IF(I18=0,"",VLOOKUP(I18,Municipalités!$A$2:$B$1290,2,TRUE))</f>
        <v/>
      </c>
    </row>
    <row r="19" spans="1:13" ht="30" customHeight="1" x14ac:dyDescent="0.25">
      <c r="A19" s="45"/>
      <c r="B19" s="45"/>
      <c r="C19" s="39"/>
      <c r="D19" s="46"/>
      <c r="E19" s="27"/>
      <c r="F19" s="31"/>
      <c r="G19" s="82" t="str">
        <f>IF(F19=0,"",VLOOKUP(F19,Employés!$A$2:$B$186,2,0))</f>
        <v/>
      </c>
      <c r="H19" s="82"/>
      <c r="I19" s="35"/>
      <c r="J19" s="29"/>
      <c r="K19" s="19"/>
      <c r="L19" s="20"/>
      <c r="M19" s="37" t="str">
        <f>IF(I19=0,"",VLOOKUP(I19,Municipalités!$A$2:$B$1290,2,TRUE))</f>
        <v/>
      </c>
    </row>
    <row r="20" spans="1:13" ht="30" customHeight="1" x14ac:dyDescent="0.25">
      <c r="A20" s="45"/>
      <c r="B20" s="45"/>
      <c r="C20" s="39"/>
      <c r="D20" s="47"/>
      <c r="E20" s="27"/>
      <c r="F20" s="31"/>
      <c r="G20" s="82" t="str">
        <f>IF(F20=0,"",VLOOKUP(F20,Employés!$A$2:$B$186,2,0))</f>
        <v/>
      </c>
      <c r="H20" s="82"/>
      <c r="I20" s="35"/>
      <c r="J20" s="29"/>
      <c r="K20" s="19"/>
      <c r="L20" s="20"/>
      <c r="M20" s="37" t="str">
        <f>IF(I20=0,"",VLOOKUP(I20,Municipalités!$A$2:$B$1290,2,TRUE))</f>
        <v/>
      </c>
    </row>
    <row r="21" spans="1:13" ht="30" customHeight="1" x14ac:dyDescent="0.25">
      <c r="A21" s="45"/>
      <c r="B21" s="45"/>
      <c r="C21" s="39"/>
      <c r="D21" s="47"/>
      <c r="E21" s="27"/>
      <c r="F21" s="31"/>
      <c r="G21" s="82" t="str">
        <f>IF(F21=0,"",VLOOKUP(F21,Employés!$A$2:$B$186,2,0))</f>
        <v/>
      </c>
      <c r="H21" s="82"/>
      <c r="I21" s="35"/>
      <c r="J21" s="29"/>
      <c r="K21" s="19"/>
      <c r="L21" s="20"/>
      <c r="M21" s="37" t="str">
        <f>IF(I21=0,"",VLOOKUP(I21,Municipalités!$A$2:$B$1290,2,TRUE))</f>
        <v/>
      </c>
    </row>
    <row r="22" spans="1:13" ht="30" customHeight="1" x14ac:dyDescent="0.25">
      <c r="A22" s="45"/>
      <c r="B22" s="45"/>
      <c r="C22" s="39"/>
      <c r="D22" s="46"/>
      <c r="E22" s="27"/>
      <c r="F22" s="31"/>
      <c r="G22" s="82" t="str">
        <f>IF(F22=0,"",VLOOKUP(F22,Employés!$A$2:$B$186,2,0))</f>
        <v/>
      </c>
      <c r="H22" s="82"/>
      <c r="I22" s="35"/>
      <c r="J22" s="29"/>
      <c r="K22" s="19"/>
      <c r="L22" s="20"/>
      <c r="M22" s="37" t="str">
        <f>IF(I22=0,"",VLOOKUP(I22,Municipalités!$A$2:$B$1290,2,TRUE))</f>
        <v/>
      </c>
    </row>
    <row r="23" spans="1:13" ht="30" customHeight="1" x14ac:dyDescent="0.25">
      <c r="A23" s="45"/>
      <c r="B23" s="45"/>
      <c r="C23" s="39"/>
      <c r="D23" s="46"/>
      <c r="E23" s="27"/>
      <c r="F23" s="31"/>
      <c r="G23" s="82" t="str">
        <f>IF(F23=0,"",VLOOKUP(F23,Employés!$A$2:$B$186,2,0))</f>
        <v/>
      </c>
      <c r="H23" s="82"/>
      <c r="I23" s="35"/>
      <c r="J23" s="29"/>
      <c r="K23" s="19"/>
      <c r="L23" s="20"/>
      <c r="M23" s="37" t="str">
        <f>IF(I23=0,"",VLOOKUP(I23,Municipalités!$A$2:$B$1290,2,TRUE))</f>
        <v/>
      </c>
    </row>
    <row r="24" spans="1:13" ht="30" customHeight="1" x14ac:dyDescent="0.25">
      <c r="A24" s="45"/>
      <c r="B24" s="45"/>
      <c r="C24" s="39"/>
      <c r="D24" s="46"/>
      <c r="E24" s="27"/>
      <c r="F24" s="31"/>
      <c r="G24" s="82" t="str">
        <f>IF(F24=0,"",VLOOKUP(F24,Employés!$A$2:$B$186,2,0))</f>
        <v/>
      </c>
      <c r="H24" s="82"/>
      <c r="I24" s="35"/>
      <c r="J24" s="29"/>
      <c r="K24" s="19"/>
      <c r="L24" s="20"/>
      <c r="M24" s="37" t="str">
        <f>IF(I24=0,"",VLOOKUP(I24,Municipalités!$A$2:$B$1290,2,TRUE))</f>
        <v/>
      </c>
    </row>
    <row r="25" spans="1:13" ht="30" customHeight="1" x14ac:dyDescent="0.25">
      <c r="A25" s="45"/>
      <c r="B25" s="45"/>
      <c r="C25" s="39"/>
      <c r="D25" s="46"/>
      <c r="E25" s="27"/>
      <c r="F25" s="31"/>
      <c r="G25" s="82" t="str">
        <f>IF(F25=0,"",VLOOKUP(F25,Employés!$A$2:$B$186,2,0))</f>
        <v/>
      </c>
      <c r="H25" s="82"/>
      <c r="I25" s="35"/>
      <c r="J25" s="29"/>
      <c r="K25" s="19"/>
      <c r="L25" s="20"/>
      <c r="M25" s="37" t="str">
        <f>IF(I25=0,"",VLOOKUP(I25,Municipalités!$A$2:$B$1290,2,TRUE))</f>
        <v/>
      </c>
    </row>
    <row r="26" spans="1:13" ht="30" customHeight="1" x14ac:dyDescent="0.25">
      <c r="A26" s="45"/>
      <c r="B26" s="45"/>
      <c r="C26" s="39"/>
      <c r="D26" s="46"/>
      <c r="E26" s="27"/>
      <c r="F26" s="31"/>
      <c r="G26" s="82" t="str">
        <f>IF(F26=0,"",VLOOKUP(F26,Employés!$A$2:$B$186,2,0))</f>
        <v/>
      </c>
      <c r="H26" s="82"/>
      <c r="I26" s="35"/>
      <c r="J26" s="29"/>
      <c r="K26" s="19"/>
      <c r="L26" s="20"/>
      <c r="M26" s="37" t="str">
        <f>IF(I26=0,"",VLOOKUP(I26,Municipalités!$A$2:$B$1290,2,TRUE))</f>
        <v/>
      </c>
    </row>
    <row r="27" spans="1:13" ht="30" customHeight="1" x14ac:dyDescent="0.25">
      <c r="A27" s="45"/>
      <c r="B27" s="45"/>
      <c r="C27" s="39"/>
      <c r="D27" s="46"/>
      <c r="E27" s="27"/>
      <c r="F27" s="31"/>
      <c r="G27" s="82" t="str">
        <f>IF(F27=0,"",VLOOKUP(F27,Employés!$A$2:$B$186,2,0))</f>
        <v/>
      </c>
      <c r="H27" s="82"/>
      <c r="I27" s="35"/>
      <c r="J27" s="29"/>
      <c r="K27" s="19"/>
      <c r="L27" s="20"/>
      <c r="M27" s="37" t="str">
        <f>IF(I27=0,"",VLOOKUP(I27,Municipalités!$A$2:$B$1290,2,TRUE))</f>
        <v/>
      </c>
    </row>
    <row r="28" spans="1:13" ht="30" customHeight="1" x14ac:dyDescent="0.25">
      <c r="A28" s="45"/>
      <c r="B28" s="45"/>
      <c r="C28" s="39"/>
      <c r="D28" s="46"/>
      <c r="E28" s="27"/>
      <c r="F28" s="31"/>
      <c r="G28" s="82" t="str">
        <f>IF(F28=0,"",VLOOKUP(F28,Employés!$A$2:$B$186,2,0))</f>
        <v/>
      </c>
      <c r="H28" s="82"/>
      <c r="I28" s="35"/>
      <c r="J28" s="29"/>
      <c r="K28" s="19"/>
      <c r="L28" s="20"/>
      <c r="M28" s="37" t="str">
        <f>IF(I28=0,"",VLOOKUP(I28,Municipalités!$A$2:$B$1290,2,TRUE))</f>
        <v/>
      </c>
    </row>
    <row r="29" spans="1:13" ht="30" customHeight="1" x14ac:dyDescent="0.25">
      <c r="A29" s="45"/>
      <c r="B29" s="45"/>
      <c r="C29" s="39"/>
      <c r="D29" s="46"/>
      <c r="E29" s="27"/>
      <c r="F29" s="31"/>
      <c r="G29" s="82" t="str">
        <f>IF(F29=0,"",VLOOKUP(F29,Employés!$A$2:$B$186,2,0))</f>
        <v/>
      </c>
      <c r="H29" s="82"/>
      <c r="I29" s="35"/>
      <c r="J29" s="29"/>
      <c r="K29" s="19"/>
      <c r="L29" s="20"/>
      <c r="M29" s="37" t="str">
        <f>IF(I29=0,"",VLOOKUP(I29,Municipalités!$A$2:$B$1290,2,TRUE))</f>
        <v/>
      </c>
    </row>
    <row r="30" spans="1:13" ht="30" customHeight="1" x14ac:dyDescent="0.25">
      <c r="A30" s="45"/>
      <c r="B30" s="45"/>
      <c r="C30" s="39"/>
      <c r="D30" s="46"/>
      <c r="E30" s="27"/>
      <c r="F30" s="31"/>
      <c r="G30" s="82" t="str">
        <f>IF(F30=0,"",VLOOKUP(F30,Employés!$A$2:$B$186,2,0))</f>
        <v/>
      </c>
      <c r="H30" s="82"/>
      <c r="I30" s="35"/>
      <c r="J30" s="29"/>
      <c r="K30" s="19"/>
      <c r="L30" s="20"/>
      <c r="M30" s="37" t="str">
        <f>IF(I30=0,"",VLOOKUP(I30,Municipalités!$A$2:$B$1290,2,TRUE))</f>
        <v/>
      </c>
    </row>
    <row r="31" spans="1:13" ht="30" customHeight="1" x14ac:dyDescent="0.25">
      <c r="A31" s="45"/>
      <c r="B31" s="45"/>
      <c r="C31" s="39"/>
      <c r="D31" s="47"/>
      <c r="E31" s="27"/>
      <c r="F31" s="31"/>
      <c r="G31" s="82" t="str">
        <f>IF(F31=0,"",VLOOKUP(F31,Employés!$A$2:$B$186,2,0))</f>
        <v/>
      </c>
      <c r="H31" s="82"/>
      <c r="I31" s="35"/>
      <c r="J31" s="29"/>
      <c r="K31" s="19"/>
      <c r="L31" s="20"/>
      <c r="M31" s="37" t="str">
        <f>IF(I31=0,"",VLOOKUP(I31,Municipalités!$A$2:$B$1290,2,TRUE))</f>
        <v/>
      </c>
    </row>
    <row r="32" spans="1:13" ht="30" customHeight="1" x14ac:dyDescent="0.25">
      <c r="A32" s="45"/>
      <c r="B32" s="45"/>
      <c r="C32" s="39"/>
      <c r="D32" s="46"/>
      <c r="E32" s="27"/>
      <c r="F32" s="31"/>
      <c r="G32" s="82" t="str">
        <f>IF(F32=0,"",VLOOKUP(F32,Employés!$A$2:$B$186,2,0))</f>
        <v/>
      </c>
      <c r="H32" s="82"/>
      <c r="I32" s="35"/>
      <c r="J32" s="29"/>
      <c r="K32" s="19"/>
      <c r="L32" s="20"/>
      <c r="M32" s="37" t="str">
        <f>IF(I32=0,"",VLOOKUP(I32,Municipalités!$A$2:$B$1290,2,TRUE))</f>
        <v/>
      </c>
    </row>
    <row r="33" spans="1:13" ht="30" customHeight="1" x14ac:dyDescent="0.25">
      <c r="A33" s="45"/>
      <c r="B33" s="45"/>
      <c r="C33" s="39"/>
      <c r="D33" s="46"/>
      <c r="E33" s="27"/>
      <c r="F33" s="31"/>
      <c r="G33" s="82" t="str">
        <f>IF(F33=0,"",VLOOKUP(F33,Employés!$A$2:$B$186,2,0))</f>
        <v/>
      </c>
      <c r="H33" s="82"/>
      <c r="I33" s="35"/>
      <c r="J33" s="29"/>
      <c r="K33" s="19"/>
      <c r="L33" s="20"/>
      <c r="M33" s="37" t="str">
        <f>IF(I33=0,"",VLOOKUP(I33,Municipalités!$A$2:$B$1290,2,TRUE))</f>
        <v/>
      </c>
    </row>
    <row r="34" spans="1:13" ht="30" customHeight="1" x14ac:dyDescent="0.25">
      <c r="A34" s="45"/>
      <c r="B34" s="45"/>
      <c r="C34" s="39"/>
      <c r="D34" s="46"/>
      <c r="E34" s="27"/>
      <c r="F34" s="31"/>
      <c r="G34" s="82" t="str">
        <f>IF(F34=0,"",VLOOKUP(F34,Employés!$A$2:$B$186,2,0))</f>
        <v/>
      </c>
      <c r="H34" s="82"/>
      <c r="I34" s="35"/>
      <c r="J34" s="29"/>
      <c r="K34" s="19"/>
      <c r="L34" s="20"/>
      <c r="M34" s="37" t="str">
        <f>IF(I34=0,"",VLOOKUP(I34,Municipalités!$A$2:$B$1290,2,TRUE))</f>
        <v/>
      </c>
    </row>
    <row r="35" spans="1:13" ht="30" customHeight="1" x14ac:dyDescent="0.25">
      <c r="A35" s="45"/>
      <c r="B35" s="45"/>
      <c r="C35" s="30"/>
      <c r="D35" s="46"/>
      <c r="E35" s="27"/>
      <c r="F35" s="31"/>
      <c r="G35" s="82" t="str">
        <f>IF(F35=0,"",VLOOKUP(F35,Employés!$A$2:$B$186,2,0))</f>
        <v/>
      </c>
      <c r="H35" s="82"/>
      <c r="I35" s="35"/>
      <c r="J35" s="29"/>
      <c r="K35" s="19"/>
      <c r="L35" s="20"/>
      <c r="M35" s="37" t="str">
        <f>IF(I35=0,"",VLOOKUP(I35,Municipalités!$A$2:$B$1290,2,TRUE))</f>
        <v/>
      </c>
    </row>
    <row r="36" spans="1:13" ht="30" customHeight="1" x14ac:dyDescent="0.25">
      <c r="A36" s="45"/>
      <c r="B36" s="45"/>
      <c r="C36" s="30"/>
      <c r="D36" s="46"/>
      <c r="E36" s="27"/>
      <c r="F36" s="31"/>
      <c r="G36" s="82" t="str">
        <f>IF(F36=0,"",VLOOKUP(F36,Employés!$A$2:$B$186,2,0))</f>
        <v/>
      </c>
      <c r="H36" s="82"/>
      <c r="I36" s="35"/>
      <c r="J36" s="29"/>
      <c r="K36" s="19"/>
      <c r="L36" s="20"/>
      <c r="M36" s="37" t="str">
        <f>IF(I36=0,"",VLOOKUP(I36,Municipalités!$A$2:$B$1290,2,TRUE))</f>
        <v/>
      </c>
    </row>
    <row r="37" spans="1:13" ht="30" customHeight="1" x14ac:dyDescent="0.25">
      <c r="A37" s="45"/>
      <c r="B37" s="45"/>
      <c r="C37" s="39"/>
      <c r="D37" s="46"/>
      <c r="E37" s="27"/>
      <c r="F37" s="31"/>
      <c r="G37" s="82" t="str">
        <f>IF(F37=0,"",VLOOKUP(F37,Employés!$A$2:$B$186,2,0))</f>
        <v/>
      </c>
      <c r="H37" s="82"/>
      <c r="I37" s="35"/>
      <c r="J37" s="29"/>
      <c r="K37" s="19"/>
      <c r="L37" s="20"/>
      <c r="M37" s="37" t="str">
        <f>IF(I37=0,"",VLOOKUP(I37,Municipalités!$A$2:$B$1290,2,TRUE))</f>
        <v/>
      </c>
    </row>
    <row r="38" spans="1:13" ht="30" customHeight="1" x14ac:dyDescent="0.25">
      <c r="A38" s="45"/>
      <c r="B38" s="45"/>
      <c r="C38" s="39"/>
      <c r="D38" s="47"/>
      <c r="E38" s="27"/>
      <c r="F38" s="31"/>
      <c r="G38" s="82" t="str">
        <f>IF(F38=0,"",VLOOKUP(F38,Employés!$A$2:$B$186,2,0))</f>
        <v/>
      </c>
      <c r="H38" s="82"/>
      <c r="I38" s="35"/>
      <c r="J38" s="29"/>
      <c r="K38" s="19"/>
      <c r="L38" s="20"/>
      <c r="M38" s="37" t="str">
        <f>IF(I38=0,"",VLOOKUP(I38,Municipalités!$A$2:$B$1290,2,TRUE))</f>
        <v/>
      </c>
    </row>
    <row r="39" spans="1:13" ht="30" customHeight="1" x14ac:dyDescent="0.25">
      <c r="A39" s="45"/>
      <c r="B39" s="45"/>
      <c r="C39" s="39"/>
      <c r="D39" s="45"/>
      <c r="E39" s="27"/>
      <c r="F39" s="31"/>
      <c r="G39" s="82" t="str">
        <f>IF(F39=0,"",VLOOKUP(F39,Employés!$A$2:$B$186,2,0))</f>
        <v/>
      </c>
      <c r="H39" s="82"/>
      <c r="I39" s="35"/>
      <c r="J39" s="29"/>
      <c r="K39" s="26"/>
      <c r="L39" s="25"/>
      <c r="M39" s="37" t="str">
        <f>IF(I39=0,"",VLOOKUP(I39,Municipalités!$A$2:$B$1290,2,TRUE))</f>
        <v/>
      </c>
    </row>
    <row r="40" spans="1:13" ht="30" customHeight="1" x14ac:dyDescent="0.25">
      <c r="A40" s="8"/>
      <c r="B40" s="8"/>
      <c r="C40" s="30"/>
      <c r="D40" s="8"/>
      <c r="E40" s="27"/>
      <c r="F40" s="31"/>
      <c r="G40" s="82" t="str">
        <f>IF(F40=0,"",VLOOKUP(F40,Employés!$A$2:$B$186,2,0))</f>
        <v/>
      </c>
      <c r="H40" s="82"/>
      <c r="I40" s="35"/>
      <c r="J40" s="29"/>
      <c r="K40" s="26"/>
      <c r="L40" s="25"/>
      <c r="M40" s="37" t="str">
        <f>IF(I40=0,"",VLOOKUP(I40,Municipalités!$A$2:$B$1290,2,TRUE))</f>
        <v/>
      </c>
    </row>
    <row r="41" spans="1:13" ht="30" customHeight="1" x14ac:dyDescent="0.25">
      <c r="A41" s="8"/>
      <c r="B41" s="8"/>
      <c r="C41" s="30"/>
      <c r="D41" s="8"/>
      <c r="E41" s="27"/>
      <c r="F41" s="31"/>
      <c r="G41" s="82" t="str">
        <f>IF(F41=0,"",VLOOKUP(F41,Employés!$A$2:$B$186,2,0))</f>
        <v/>
      </c>
      <c r="H41" s="82"/>
      <c r="I41" s="35"/>
      <c r="J41" s="29"/>
      <c r="K41" s="26"/>
      <c r="L41" s="25"/>
      <c r="M41" s="37" t="str">
        <f>IF(I41=0,"",VLOOKUP(I41,Municipalités!$A$2:$B$1290,2,TRUE))</f>
        <v/>
      </c>
    </row>
    <row r="42" spans="1:13" ht="30" customHeight="1" x14ac:dyDescent="0.25">
      <c r="A42" s="8"/>
      <c r="B42" s="8"/>
      <c r="C42" s="30"/>
      <c r="D42" s="8"/>
      <c r="E42" s="27"/>
      <c r="F42" s="31"/>
      <c r="G42" s="82" t="str">
        <f>IF(F42=0,"",VLOOKUP(F42,Employés!$A$2:$B$186,2,0))</f>
        <v/>
      </c>
      <c r="H42" s="82"/>
      <c r="I42" s="35"/>
      <c r="J42" s="29"/>
      <c r="K42" s="26"/>
      <c r="L42" s="25"/>
      <c r="M42" s="37" t="str">
        <f>IF(I42=0,"",VLOOKUP(I42,Municipalités!$A$2:$B$1290,2,TRUE))</f>
        <v/>
      </c>
    </row>
    <row r="43" spans="1:13" ht="30" customHeight="1" x14ac:dyDescent="0.25">
      <c r="A43" s="8"/>
      <c r="B43" s="8"/>
      <c r="C43" s="30"/>
      <c r="D43" s="8"/>
      <c r="E43" s="27" t="s">
        <v>1420</v>
      </c>
      <c r="F43" s="31"/>
      <c r="G43" s="82" t="str">
        <f>IF(F43=0,"",VLOOKUP(F43,Employés!$A$2:$B$186,2,0))</f>
        <v/>
      </c>
      <c r="H43" s="82"/>
      <c r="I43" s="35"/>
      <c r="J43" s="29"/>
      <c r="K43" s="26"/>
      <c r="L43" s="25" t="s">
        <v>1420</v>
      </c>
      <c r="M43" s="37" t="str">
        <f>IF(I43=0,"",VLOOKUP(I43,Municipalités!$A$2:$B$1290,2,TRUE))</f>
        <v/>
      </c>
    </row>
    <row r="44" spans="1:13" ht="30" customHeight="1" x14ac:dyDescent="0.25">
      <c r="A44" s="8"/>
      <c r="B44" s="8"/>
      <c r="C44" s="30"/>
      <c r="D44" s="8"/>
      <c r="E44" s="27"/>
      <c r="F44" s="31"/>
      <c r="G44" s="82" t="str">
        <f>IF(F44=0,"",VLOOKUP(F44,Employés!$A$2:$B$186,2,0))</f>
        <v/>
      </c>
      <c r="H44" s="82"/>
      <c r="I44" s="35"/>
      <c r="J44" s="29"/>
      <c r="K44" s="26"/>
      <c r="L44" s="25"/>
      <c r="M44" s="37" t="str">
        <f>IF(I44=0,"",VLOOKUP(I44,Municipalités!$A$2:$B$1290,2,TRUE))</f>
        <v/>
      </c>
    </row>
    <row r="45" spans="1:13" ht="30" customHeight="1" x14ac:dyDescent="0.25">
      <c r="A45" s="8"/>
      <c r="B45" s="8"/>
      <c r="C45" s="30"/>
      <c r="D45" s="8"/>
      <c r="E45" s="27"/>
      <c r="F45" s="31"/>
      <c r="G45" s="82" t="str">
        <f>IF(F45=0,"",VLOOKUP(F45,Employés!$A$2:$B$186,2,0))</f>
        <v/>
      </c>
      <c r="H45" s="82"/>
      <c r="I45" s="35"/>
      <c r="J45" s="29"/>
      <c r="K45" s="26"/>
      <c r="L45" s="25"/>
      <c r="M45" s="37" t="str">
        <f>IF(I45=0,"",VLOOKUP(I45,Municipalités!$A$2:$B$1290,2,TRUE))</f>
        <v/>
      </c>
    </row>
    <row r="46" spans="1:13" ht="30" customHeight="1" x14ac:dyDescent="0.25">
      <c r="A46" s="8"/>
      <c r="B46" s="8"/>
      <c r="C46" s="30"/>
      <c r="D46" s="8"/>
      <c r="E46" s="27"/>
      <c r="F46" s="31"/>
      <c r="G46" s="82" t="str">
        <f>IF(F46=0,"",VLOOKUP(F46,Employés!$A$2:$B$186,2,0))</f>
        <v/>
      </c>
      <c r="H46" s="82"/>
      <c r="I46" s="35"/>
      <c r="J46" s="29"/>
      <c r="K46" s="26"/>
      <c r="L46" s="25"/>
      <c r="M46" s="37" t="str">
        <f>IF(I46=0,"",VLOOKUP(I46,Municipalités!$A$2:$B$1290,2,TRUE))</f>
        <v/>
      </c>
    </row>
    <row r="47" spans="1:13" ht="30" customHeight="1" x14ac:dyDescent="0.25">
      <c r="A47" s="8"/>
      <c r="B47" s="8"/>
      <c r="C47" s="30"/>
      <c r="D47" s="8"/>
      <c r="E47" s="27"/>
      <c r="F47" s="31"/>
      <c r="G47" s="82" t="str">
        <f>IF(F47=0,"",VLOOKUP(F47,Employés!$A$2:$B$186,2,0))</f>
        <v/>
      </c>
      <c r="H47" s="82"/>
      <c r="I47" s="35"/>
      <c r="J47" s="29"/>
      <c r="K47" s="26"/>
      <c r="L47" s="25"/>
      <c r="M47" s="37" t="str">
        <f>IF(I47=0,"",VLOOKUP(I47,Municipalités!$A$2:$B$1290,2,TRUE))</f>
        <v/>
      </c>
    </row>
    <row r="48" spans="1:13" ht="30" customHeight="1" x14ac:dyDescent="0.25">
      <c r="A48" s="8"/>
      <c r="B48" s="8"/>
      <c r="C48" s="30"/>
      <c r="D48" s="8"/>
      <c r="E48" s="27"/>
      <c r="F48" s="31"/>
      <c r="G48" s="82" t="str">
        <f>IF(F48=0,"",VLOOKUP(F48,Employés!$A$2:$B$186,2,0))</f>
        <v/>
      </c>
      <c r="H48" s="82"/>
      <c r="I48" s="35"/>
      <c r="J48" s="29"/>
      <c r="K48" s="26"/>
      <c r="L48" s="25"/>
      <c r="M48" s="37" t="str">
        <f>IF(I48=0,"",VLOOKUP(I48,Municipalités!$A$2:$B$1290,2,TRUE))</f>
        <v/>
      </c>
    </row>
    <row r="49" spans="1:13" ht="30" customHeight="1" x14ac:dyDescent="0.25">
      <c r="A49" s="8"/>
      <c r="B49" s="8"/>
      <c r="C49" s="30"/>
      <c r="D49" s="8"/>
      <c r="E49" s="27"/>
      <c r="F49" s="31"/>
      <c r="G49" s="82" t="str">
        <f>IF(F49=0,"",VLOOKUP(F49,Employés!$A$2:$B$186,2,0))</f>
        <v/>
      </c>
      <c r="H49" s="82"/>
      <c r="I49" s="35"/>
      <c r="J49" s="29"/>
      <c r="K49" s="26"/>
      <c r="L49" s="25"/>
      <c r="M49" s="37" t="str">
        <f>IF(I49=0,"",VLOOKUP(I49,Municipalités!$A$2:$B$1290,2,TRUE))</f>
        <v/>
      </c>
    </row>
    <row r="50" spans="1:13" ht="30" customHeight="1" x14ac:dyDescent="0.25">
      <c r="A50" s="8"/>
      <c r="B50" s="8"/>
      <c r="C50" s="30"/>
      <c r="D50" s="8"/>
      <c r="E50" s="27"/>
      <c r="F50" s="31"/>
      <c r="G50" s="82" t="str">
        <f>IF(F50=0,"",VLOOKUP(F50,Employés!$A$2:$B$186,2,0))</f>
        <v/>
      </c>
      <c r="H50" s="82"/>
      <c r="I50" s="35"/>
      <c r="J50" s="29"/>
      <c r="K50" s="26"/>
      <c r="L50" s="25"/>
      <c r="M50" s="37" t="str">
        <f>IF(I50=0,"",VLOOKUP(I50,Municipalités!$A$2:$B$1290,2,TRUE))</f>
        <v/>
      </c>
    </row>
    <row r="51" spans="1:13" ht="30" customHeight="1" x14ac:dyDescent="0.25">
      <c r="A51" s="8"/>
      <c r="B51" s="8"/>
      <c r="C51" s="30"/>
      <c r="D51" s="8"/>
      <c r="E51" s="27"/>
      <c r="F51" s="31"/>
      <c r="G51" s="82" t="str">
        <f>IF(F51=0,"",VLOOKUP(F51,Employés!$A$2:$B$186,2,0))</f>
        <v/>
      </c>
      <c r="H51" s="82"/>
      <c r="I51" s="35"/>
      <c r="J51" s="29"/>
      <c r="K51" s="26"/>
      <c r="L51" s="25"/>
      <c r="M51" s="37" t="str">
        <f>IF(I51=0,"",VLOOKUP(I51,Municipalités!$A$2:$B$1290,2,TRUE))</f>
        <v/>
      </c>
    </row>
    <row r="52" spans="1:13" ht="30" customHeight="1" x14ac:dyDescent="0.25">
      <c r="A52" s="8"/>
      <c r="B52" s="8"/>
      <c r="C52" s="30"/>
      <c r="D52" s="8"/>
      <c r="E52" s="27"/>
      <c r="F52" s="31"/>
      <c r="G52" s="82" t="str">
        <f>IF(F52=0,"",VLOOKUP(F52,Employés!$A$2:$B$186,2,0))</f>
        <v/>
      </c>
      <c r="H52" s="82"/>
      <c r="I52" s="35"/>
      <c r="J52" s="29"/>
      <c r="K52" s="26"/>
      <c r="L52" s="25"/>
      <c r="M52" s="37" t="str">
        <f>IF(I52=0,"",VLOOKUP(I52,Municipalités!$A$2:$B$1290,2,TRUE))</f>
        <v/>
      </c>
    </row>
    <row r="53" spans="1:13" ht="30" customHeight="1" x14ac:dyDescent="0.25">
      <c r="A53" s="8"/>
      <c r="B53" s="8"/>
      <c r="C53" s="30"/>
      <c r="D53" s="8"/>
      <c r="E53" s="27"/>
      <c r="F53" s="31"/>
      <c r="G53" s="82" t="str">
        <f>IF(F53=0,"",VLOOKUP(F53,Employés!$A$2:$B$186,2,0))</f>
        <v/>
      </c>
      <c r="H53" s="82"/>
      <c r="I53" s="35"/>
      <c r="J53" s="29"/>
      <c r="K53" s="26"/>
      <c r="L53" s="25"/>
      <c r="M53" s="37" t="str">
        <f>IF(I53=0,"",VLOOKUP(I53,Municipalités!$A$2:$B$1290,2,TRUE))</f>
        <v/>
      </c>
    </row>
    <row r="54" spans="1:13" ht="30" customHeight="1" x14ac:dyDescent="0.25">
      <c r="A54" s="8"/>
      <c r="B54" s="8"/>
      <c r="C54" s="30"/>
      <c r="D54" s="8"/>
      <c r="E54" s="27"/>
      <c r="F54" s="31"/>
      <c r="G54" s="82" t="str">
        <f>IF(F54=0,"",VLOOKUP(F54,Employés!$A$2:$B$186,2,0))</f>
        <v/>
      </c>
      <c r="H54" s="82"/>
      <c r="I54" s="35"/>
      <c r="J54" s="29"/>
      <c r="K54" s="26"/>
      <c r="L54" s="25"/>
      <c r="M54" s="37" t="str">
        <f>IF(I54=0,"",VLOOKUP(I54,Municipalités!$A$2:$B$1290,2,TRUE))</f>
        <v/>
      </c>
    </row>
    <row r="55" spans="1:13" ht="30" customHeight="1" x14ac:dyDescent="0.25">
      <c r="A55" s="8"/>
      <c r="B55" s="8"/>
      <c r="C55" s="30"/>
      <c r="D55" s="8"/>
      <c r="E55" s="27"/>
      <c r="F55" s="31"/>
      <c r="G55" s="82" t="str">
        <f>IF(F55=0,"",VLOOKUP(F55,Employés!$A$2:$B$186,2,0))</f>
        <v/>
      </c>
      <c r="H55" s="82"/>
      <c r="I55" s="35"/>
      <c r="J55" s="29"/>
      <c r="K55" s="26"/>
      <c r="L55" s="25"/>
      <c r="M55" s="37" t="str">
        <f>IF(I55=0,"",VLOOKUP(I55,Municipalités!$A$2:$B$1290,2,TRUE))</f>
        <v/>
      </c>
    </row>
    <row r="56" spans="1:13" ht="30" customHeight="1" x14ac:dyDescent="0.25">
      <c r="A56" s="8"/>
      <c r="B56" s="8"/>
      <c r="C56" s="30"/>
      <c r="D56" s="8"/>
      <c r="E56" s="27"/>
      <c r="F56" s="31"/>
      <c r="G56" s="82" t="str">
        <f>IF(F56=0,"",VLOOKUP(F56,Employés!$A$2:$B$186,2,0))</f>
        <v/>
      </c>
      <c r="H56" s="82"/>
      <c r="I56" s="35"/>
      <c r="J56" s="29"/>
      <c r="K56" s="26"/>
      <c r="L56" s="25"/>
      <c r="M56" s="37" t="str">
        <f>IF(I56=0,"",VLOOKUP(I56,Municipalités!$A$2:$B$1290,2,TRUE))</f>
        <v/>
      </c>
    </row>
    <row r="57" spans="1:13" ht="30" customHeight="1" x14ac:dyDescent="0.25">
      <c r="A57" s="8"/>
      <c r="B57" s="8"/>
      <c r="C57" s="30"/>
      <c r="D57" s="8"/>
      <c r="E57" s="27"/>
      <c r="F57" s="31"/>
      <c r="G57" s="82" t="str">
        <f>IF(F57=0,"",VLOOKUP(F57,Employés!$A$2:$B$186,2,0))</f>
        <v/>
      </c>
      <c r="H57" s="82"/>
      <c r="I57" s="35"/>
      <c r="J57" s="29"/>
      <c r="K57" s="26"/>
      <c r="L57" s="25"/>
      <c r="M57" s="37" t="str">
        <f>IF(I57=0,"",VLOOKUP(I57,Municipalités!$A$2:$B$1290,2,TRUE))</f>
        <v/>
      </c>
    </row>
    <row r="58" spans="1:13" ht="30" customHeight="1" x14ac:dyDescent="0.25">
      <c r="A58" s="8"/>
      <c r="B58" s="8"/>
      <c r="C58" s="30"/>
      <c r="D58" s="8"/>
      <c r="E58" s="27"/>
      <c r="F58" s="31"/>
      <c r="G58" s="82" t="str">
        <f>IF(F58=0,"",VLOOKUP(F58,Employés!$A$2:$B$186,2,0))</f>
        <v/>
      </c>
      <c r="H58" s="82"/>
      <c r="I58" s="35"/>
      <c r="J58" s="29"/>
      <c r="K58" s="26"/>
      <c r="L58" s="25"/>
      <c r="M58" s="37" t="str">
        <f>IF(I58=0,"",VLOOKUP(I58,Municipalités!$A$2:$B$1290,2,TRUE))</f>
        <v/>
      </c>
    </row>
    <row r="59" spans="1:13" ht="30" customHeight="1" x14ac:dyDescent="0.25">
      <c r="A59" s="8"/>
      <c r="B59" s="8"/>
      <c r="C59" s="30"/>
      <c r="D59" s="8"/>
      <c r="E59" s="27"/>
      <c r="F59" s="31"/>
      <c r="G59" s="82" t="str">
        <f>IF(F59=0,"",VLOOKUP(F59,Employés!$A$2:$B$186,2,0))</f>
        <v/>
      </c>
      <c r="H59" s="82"/>
      <c r="I59" s="35"/>
      <c r="J59" s="29"/>
      <c r="K59" s="26"/>
      <c r="L59" s="25"/>
      <c r="M59" s="37" t="str">
        <f>IF(I59=0,"",VLOOKUP(I59,Municipalités!$A$2:$B$1290,2,TRUE))</f>
        <v/>
      </c>
    </row>
    <row r="60" spans="1:13" ht="30" customHeight="1" x14ac:dyDescent="0.25">
      <c r="A60" s="8"/>
      <c r="B60" s="8"/>
      <c r="C60" s="30"/>
      <c r="D60" s="8"/>
      <c r="E60" s="27"/>
      <c r="F60" s="31"/>
      <c r="G60" s="82" t="str">
        <f>IF(F60=0,"",VLOOKUP(F60,Employés!$A$2:$B$186,2,0))</f>
        <v/>
      </c>
      <c r="H60" s="82"/>
      <c r="I60" s="35"/>
      <c r="J60" s="29"/>
      <c r="K60" s="26"/>
      <c r="L60" s="25"/>
      <c r="M60" s="37" t="str">
        <f>IF(I60=0,"",VLOOKUP(I60,Municipalités!$A$2:$B$1290,2,TRUE))</f>
        <v/>
      </c>
    </row>
    <row r="61" spans="1:13" ht="30" customHeight="1" x14ac:dyDescent="0.25">
      <c r="A61" s="8"/>
      <c r="B61" s="8"/>
      <c r="C61" s="30"/>
      <c r="D61" s="8"/>
      <c r="E61" s="27"/>
      <c r="F61" s="31"/>
      <c r="G61" s="82" t="str">
        <f>IF(F61=0,"",VLOOKUP(F61,Employés!$A$2:$B$186,2,0))</f>
        <v/>
      </c>
      <c r="H61" s="82"/>
      <c r="I61" s="35"/>
      <c r="J61" s="29"/>
      <c r="K61" s="26"/>
      <c r="L61" s="25"/>
      <c r="M61" s="37" t="str">
        <f>IF(I61=0,"",VLOOKUP(I61,Municipalités!$A$2:$B$1290,2,TRUE))</f>
        <v/>
      </c>
    </row>
    <row r="62" spans="1:13" x14ac:dyDescent="0.25">
      <c r="C62" s="14"/>
    </row>
    <row r="63" spans="1:13" x14ac:dyDescent="0.25">
      <c r="C63" s="14"/>
    </row>
    <row r="64" spans="1:13" x14ac:dyDescent="0.25">
      <c r="C64" s="14"/>
    </row>
    <row r="65" spans="3:5" x14ac:dyDescent="0.25">
      <c r="C65" s="14"/>
    </row>
    <row r="66" spans="3:5" x14ac:dyDescent="0.25">
      <c r="C66" s="14"/>
    </row>
    <row r="67" spans="3:5" x14ac:dyDescent="0.25">
      <c r="C67" s="14"/>
    </row>
    <row r="68" spans="3:5" x14ac:dyDescent="0.25">
      <c r="C68" s="14"/>
    </row>
    <row r="69" spans="3:5" x14ac:dyDescent="0.25">
      <c r="C69" s="14"/>
    </row>
    <row r="70" spans="3:5" x14ac:dyDescent="0.25">
      <c r="C70" s="14"/>
    </row>
    <row r="71" spans="3:5" x14ac:dyDescent="0.25">
      <c r="C71" s="14"/>
    </row>
    <row r="72" spans="3:5" x14ac:dyDescent="0.25">
      <c r="C72" s="14"/>
    </row>
    <row r="73" spans="3:5" x14ac:dyDescent="0.25">
      <c r="C73" s="14"/>
    </row>
    <row r="74" spans="3:5" x14ac:dyDescent="0.25">
      <c r="C74" s="14"/>
    </row>
    <row r="75" spans="3:5" x14ac:dyDescent="0.25">
      <c r="C75" s="14"/>
    </row>
    <row r="76" spans="3:5" x14ac:dyDescent="0.25">
      <c r="C76" s="14"/>
    </row>
    <row r="77" spans="3:5" x14ac:dyDescent="0.25">
      <c r="C77" s="14"/>
    </row>
    <row r="78" spans="3:5" x14ac:dyDescent="0.25">
      <c r="C78" s="14"/>
      <c r="E78" s="21" t="s">
        <v>1420</v>
      </c>
    </row>
    <row r="79" spans="3:5" x14ac:dyDescent="0.25">
      <c r="C79" s="14"/>
    </row>
    <row r="80" spans="3:5" x14ac:dyDescent="0.25">
      <c r="C80" s="14"/>
    </row>
    <row r="81" spans="3:3" x14ac:dyDescent="0.25">
      <c r="C81" s="14"/>
    </row>
    <row r="82" spans="3:3" x14ac:dyDescent="0.25">
      <c r="C82" s="14"/>
    </row>
    <row r="83" spans="3:3" x14ac:dyDescent="0.25">
      <c r="C83" s="14"/>
    </row>
    <row r="84" spans="3:3" x14ac:dyDescent="0.25">
      <c r="C84" s="14"/>
    </row>
    <row r="85" spans="3:3" x14ac:dyDescent="0.25">
      <c r="C85" s="14"/>
    </row>
    <row r="86" spans="3:3" x14ac:dyDescent="0.25">
      <c r="C86" s="14"/>
    </row>
    <row r="87" spans="3:3" x14ac:dyDescent="0.25">
      <c r="C87" s="14"/>
    </row>
    <row r="88" spans="3:3" x14ac:dyDescent="0.25">
      <c r="C88" s="14"/>
    </row>
    <row r="89" spans="3:3" x14ac:dyDescent="0.25">
      <c r="C89" s="14"/>
    </row>
    <row r="90" spans="3:3" x14ac:dyDescent="0.25">
      <c r="C90" s="14"/>
    </row>
    <row r="91" spans="3:3" x14ac:dyDescent="0.25">
      <c r="C91" s="14"/>
    </row>
    <row r="92" spans="3:3" x14ac:dyDescent="0.25">
      <c r="C92" s="14"/>
    </row>
    <row r="93" spans="3:3" x14ac:dyDescent="0.25">
      <c r="C93" s="14"/>
    </row>
    <row r="94" spans="3:3" x14ac:dyDescent="0.25">
      <c r="C94" s="14"/>
    </row>
    <row r="95" spans="3:3" x14ac:dyDescent="0.25">
      <c r="C95" s="14"/>
    </row>
    <row r="96" spans="3:3" x14ac:dyDescent="0.25">
      <c r="C96" s="14"/>
    </row>
    <row r="97" spans="3:3" x14ac:dyDescent="0.25">
      <c r="C97" s="14"/>
    </row>
    <row r="98" spans="3:3" x14ac:dyDescent="0.25">
      <c r="C98" s="14"/>
    </row>
  </sheetData>
  <mergeCells count="67">
    <mergeCell ref="G59:H59"/>
    <mergeCell ref="G60:H60"/>
    <mergeCell ref="G61:H61"/>
    <mergeCell ref="G53:H53"/>
    <mergeCell ref="G54:H54"/>
    <mergeCell ref="G55:H55"/>
    <mergeCell ref="G56:H56"/>
    <mergeCell ref="G57:H57"/>
    <mergeCell ref="G58:H58"/>
    <mergeCell ref="G52:H52"/>
    <mergeCell ref="G41:H41"/>
    <mergeCell ref="G42:H42"/>
    <mergeCell ref="G43:H43"/>
    <mergeCell ref="G44:H44"/>
    <mergeCell ref="G45:H45"/>
    <mergeCell ref="G46:H46"/>
    <mergeCell ref="G47:H47"/>
    <mergeCell ref="G48:H48"/>
    <mergeCell ref="G49:H49"/>
    <mergeCell ref="G50:H50"/>
    <mergeCell ref="G51:H51"/>
    <mergeCell ref="G40:H40"/>
    <mergeCell ref="G29:H29"/>
    <mergeCell ref="G30:H30"/>
    <mergeCell ref="G31:H31"/>
    <mergeCell ref="G32:H32"/>
    <mergeCell ref="G33:H33"/>
    <mergeCell ref="G34:H34"/>
    <mergeCell ref="G35:H35"/>
    <mergeCell ref="G36:H36"/>
    <mergeCell ref="G37:H37"/>
    <mergeCell ref="G38:H38"/>
    <mergeCell ref="G39:H39"/>
    <mergeCell ref="G28:H28"/>
    <mergeCell ref="G17:H17"/>
    <mergeCell ref="G18:H18"/>
    <mergeCell ref="G19:H19"/>
    <mergeCell ref="G20:H20"/>
    <mergeCell ref="G21:H21"/>
    <mergeCell ref="G22:H22"/>
    <mergeCell ref="G23:H23"/>
    <mergeCell ref="G24:H24"/>
    <mergeCell ref="G25:H25"/>
    <mergeCell ref="G26:H26"/>
    <mergeCell ref="G27:H27"/>
    <mergeCell ref="M2:M4"/>
    <mergeCell ref="G16:H16"/>
    <mergeCell ref="I6:I7"/>
    <mergeCell ref="J6:J7"/>
    <mergeCell ref="K6:M6"/>
    <mergeCell ref="G8:H8"/>
    <mergeCell ref="G9:H9"/>
    <mergeCell ref="G10:H10"/>
    <mergeCell ref="G11:H11"/>
    <mergeCell ref="G12:H12"/>
    <mergeCell ref="G13:H13"/>
    <mergeCell ref="G14:H14"/>
    <mergeCell ref="G15:H15"/>
    <mergeCell ref="E1:F4"/>
    <mergeCell ref="L1:L2"/>
    <mergeCell ref="A6:A7"/>
    <mergeCell ref="B6:B7"/>
    <mergeCell ref="C6:C7"/>
    <mergeCell ref="D6:D7"/>
    <mergeCell ref="E6:E7"/>
    <mergeCell ref="F6:F7"/>
    <mergeCell ref="G6:H7"/>
  </mergeCells>
  <conditionalFormatting sqref="C16:C21 C23:C45">
    <cfRule type="expression" dxfId="89" priority="7" stopIfTrue="1">
      <formula>#REF!=1</formula>
    </cfRule>
    <cfRule type="expression" priority="8" stopIfTrue="1">
      <formula>#REF!=2</formula>
    </cfRule>
    <cfRule type="expression" dxfId="88" priority="9" stopIfTrue="1">
      <formula>#REF!=3</formula>
    </cfRule>
  </conditionalFormatting>
  <conditionalFormatting sqref="C22">
    <cfRule type="expression" dxfId="87" priority="4" stopIfTrue="1">
      <formula>#REF!=1</formula>
    </cfRule>
    <cfRule type="expression" priority="5" stopIfTrue="1">
      <formula>#REF!=2</formula>
    </cfRule>
    <cfRule type="expression" dxfId="86" priority="6" stopIfTrue="1">
      <formula>#REF!=3</formula>
    </cfRule>
  </conditionalFormatting>
  <conditionalFormatting sqref="C46:C61">
    <cfRule type="expression" dxfId="85" priority="1" stopIfTrue="1">
      <formula>#REF!=1</formula>
    </cfRule>
    <cfRule type="expression" priority="2" stopIfTrue="1">
      <formula>#REF!=2</formula>
    </cfRule>
    <cfRule type="expression" dxfId="84" priority="3" stopIfTrue="1">
      <formula>#REF!=3</formula>
    </cfRule>
  </conditionalFormatting>
  <dataValidations count="2">
    <dataValidation operator="greaterThan" allowBlank="1" showDropDown="1" showInputMessage="1" showErrorMessage="1" errorTitle="Saisie incorrecte" error="Re-Saisir le numéro de dossier sous le format_x000a_000-000000-000" promptTitle="Saisie du numéro d'événement" prompt="000-000000-000_x000a_Ex. : 071-030901-001" sqref="J8:J39" xr:uid="{00000000-0002-0000-1000-000000000000}"/>
    <dataValidation type="textLength" operator="greaterThanOrEqual" allowBlank="1" showInputMessage="1" showErrorMessage="1" errorTitle="Saisie incorrecte" error="Re-saisir le numéro d'entrée en utilisant 3 chiffres_x000a_Ex.: 001" promptTitle="Saisie du numéro d'entrée" prompt="Minimum 3 chiffres_x000a_Ex.: 001" sqref="C8:C39" xr:uid="{00000000-0002-0000-1000-000001000000}">
      <formula1>3</formula1>
    </dataValidation>
  </dataValidations>
  <printOptions horizontalCentered="1" verticalCentered="1"/>
  <pageMargins left="0" right="0" top="0.31496062992125984" bottom="0.39370078740157483" header="0.15748031496062992" footer="0.19685039370078741"/>
  <pageSetup paperSize="5" scale="90" orientation="landscape" r:id="rId1"/>
  <headerFooter alignWithMargins="0">
    <oddFooter>&amp;R&amp;8Page &amp;P de &amp;N</oddFooter>
  </headerFooter>
  <drawing r:id="rId2"/>
  <legacyDrawing r:id="rId3"/>
  <controls>
    <mc:AlternateContent xmlns:mc="http://schemas.openxmlformats.org/markup-compatibility/2006">
      <mc:Choice Requires="x14">
        <control shapeId="158723" r:id="rId4" name="ComboBox2">
          <controlPr defaultSize="0" autoLine="0" r:id="rId5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4</xdr:col>
                <xdr:colOff>3048000</xdr:colOff>
                <xdr:row>8</xdr:row>
                <xdr:rowOff>38100</xdr:rowOff>
              </to>
            </anchor>
          </controlPr>
        </control>
      </mc:Choice>
      <mc:Fallback>
        <control shapeId="158723" r:id="rId4" name="ComboBox2"/>
      </mc:Fallback>
    </mc:AlternateContent>
    <mc:AlternateContent xmlns:mc="http://schemas.openxmlformats.org/markup-compatibility/2006">
      <mc:Choice Requires="x14">
        <control shapeId="158722" r:id="rId6" name="ComboBox1">
          <controlPr defaultSize="0" autoLine="0" r:id="rId7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11</xdr:col>
                <xdr:colOff>1803400</xdr:colOff>
                <xdr:row>9</xdr:row>
                <xdr:rowOff>38100</xdr:rowOff>
              </to>
            </anchor>
          </controlPr>
        </control>
      </mc:Choice>
      <mc:Fallback>
        <control shapeId="158722" r:id="rId6" name="ComboBox1"/>
      </mc:Fallback>
    </mc:AlternateContent>
    <mc:AlternateContent xmlns:mc="http://schemas.openxmlformats.org/markup-compatibility/2006">
      <mc:Choice Requires="x14">
        <control shapeId="158721" r:id="rId8" name="Button 1">
          <controlPr defaultSize="0" print="0" autoFill="0" autoPict="0" macro="[0]!test2">
            <anchor moveWithCells="1">
              <from>
                <xdr:col>5</xdr:col>
                <xdr:colOff>222250</xdr:colOff>
                <xdr:row>1</xdr:row>
                <xdr:rowOff>139700</xdr:rowOff>
              </from>
              <to>
                <xdr:col>9</xdr:col>
                <xdr:colOff>1143000</xdr:colOff>
                <xdr:row>4</xdr:row>
                <xdr:rowOff>107950</xdr:rowOff>
              </to>
            </anchor>
          </controlPr>
        </control>
      </mc:Choice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75"/>
  <dimension ref="A1:M98"/>
  <sheetViews>
    <sheetView showGridLines="0" zoomScaleNormal="100" workbookViewId="0">
      <pane xSplit="3" ySplit="7" topLeftCell="F8" activePane="bottomRight" state="frozen"/>
      <selection activeCell="C8" sqref="C8"/>
      <selection pane="topRight" activeCell="C8" sqref="C8"/>
      <selection pane="bottomLeft" activeCell="C8" sqref="C8"/>
      <selection pane="bottomRight" activeCell="M2" sqref="M2:M5"/>
    </sheetView>
  </sheetViews>
  <sheetFormatPr baseColWidth="10" defaultColWidth="11.453125" defaultRowHeight="13" x14ac:dyDescent="0.25"/>
  <cols>
    <col min="1" max="2" width="5.6328125" style="1" customWidth="1"/>
    <col min="3" max="3" width="6.6328125" style="1" customWidth="1"/>
    <col min="4" max="4" width="7.54296875" style="1" customWidth="1"/>
    <col min="5" max="5" width="44.453125" style="21" customWidth="1"/>
    <col min="6" max="6" width="10.54296875" style="1" customWidth="1"/>
    <col min="7" max="7" width="13.90625" style="1" customWidth="1"/>
    <col min="8" max="8" width="4.6328125" style="1" hidden="1" customWidth="1"/>
    <col min="9" max="9" width="6.08984375" style="1" customWidth="1"/>
    <col min="10" max="10" width="26.54296875" style="1" customWidth="1"/>
    <col min="11" max="11" width="7.36328125" style="1" customWidth="1"/>
    <col min="12" max="12" width="27" style="24" customWidth="1"/>
    <col min="13" max="13" width="26" style="1" customWidth="1"/>
    <col min="14" max="16384" width="11.453125" style="1"/>
  </cols>
  <sheetData>
    <row r="1" spans="1:13" ht="12.75" customHeight="1" x14ac:dyDescent="0.25">
      <c r="E1" s="71" t="s">
        <v>1023</v>
      </c>
      <c r="F1" s="72"/>
      <c r="L1" s="73" t="s">
        <v>1021</v>
      </c>
      <c r="M1" s="51" t="s">
        <v>1022</v>
      </c>
    </row>
    <row r="2" spans="1:13" ht="12.75" customHeight="1" x14ac:dyDescent="0.25">
      <c r="E2" s="72"/>
      <c r="F2" s="72"/>
      <c r="L2" s="74"/>
      <c r="M2" s="70">
        <f>'17'!M2:M5+1</f>
        <v>42722</v>
      </c>
    </row>
    <row r="3" spans="1:13" ht="12.75" customHeight="1" x14ac:dyDescent="0.25">
      <c r="E3" s="72"/>
      <c r="F3" s="72"/>
      <c r="L3" s="52"/>
      <c r="M3" s="70"/>
    </row>
    <row r="4" spans="1:13" ht="15.75" customHeight="1" x14ac:dyDescent="0.25">
      <c r="E4" s="72"/>
      <c r="F4" s="72"/>
      <c r="L4" s="49" t="s">
        <v>140</v>
      </c>
      <c r="M4" s="70"/>
    </row>
    <row r="5" spans="1:13" ht="21.9" customHeight="1" thickBot="1" x14ac:dyDescent="0.3">
      <c r="L5" s="36"/>
      <c r="M5" s="69">
        <f>M2</f>
        <v>42722</v>
      </c>
    </row>
    <row r="6" spans="1:13" ht="24.9" customHeight="1" x14ac:dyDescent="0.25">
      <c r="A6" s="75" t="s">
        <v>2351</v>
      </c>
      <c r="B6" s="75" t="s">
        <v>2350</v>
      </c>
      <c r="C6" s="76" t="s">
        <v>1362</v>
      </c>
      <c r="D6" s="75" t="s">
        <v>1153</v>
      </c>
      <c r="E6" s="75" t="s">
        <v>1016</v>
      </c>
      <c r="F6" s="76" t="s">
        <v>2352</v>
      </c>
      <c r="G6" s="76" t="s">
        <v>1017</v>
      </c>
      <c r="H6" s="79"/>
      <c r="I6" s="76" t="s">
        <v>1364</v>
      </c>
      <c r="J6" s="76" t="s">
        <v>1363</v>
      </c>
      <c r="K6" s="83" t="s">
        <v>1018</v>
      </c>
      <c r="L6" s="84"/>
      <c r="M6" s="84"/>
    </row>
    <row r="7" spans="1:13" ht="12.5" x14ac:dyDescent="0.25">
      <c r="A7" s="75"/>
      <c r="B7" s="75"/>
      <c r="C7" s="77"/>
      <c r="D7" s="75"/>
      <c r="E7" s="75"/>
      <c r="F7" s="78"/>
      <c r="G7" s="80"/>
      <c r="H7" s="81"/>
      <c r="I7" s="77"/>
      <c r="J7" s="77"/>
      <c r="K7" s="50" t="s">
        <v>1015</v>
      </c>
      <c r="L7" s="50" t="s">
        <v>1019</v>
      </c>
      <c r="M7" s="32" t="s">
        <v>1020</v>
      </c>
    </row>
    <row r="8" spans="1:13" ht="30" customHeight="1" x14ac:dyDescent="0.25">
      <c r="A8" s="45"/>
      <c r="B8" s="45"/>
      <c r="C8" s="30"/>
      <c r="D8" s="46"/>
      <c r="E8" s="27"/>
      <c r="F8" s="31"/>
      <c r="G8" s="82" t="str">
        <f>IF(F8=0,"",VLOOKUP(F8,Employés!$A$2:$B$186,2,0))</f>
        <v/>
      </c>
      <c r="H8" s="82"/>
      <c r="I8" s="34"/>
      <c r="J8" s="33"/>
      <c r="K8" s="19"/>
      <c r="L8" s="20" t="s">
        <v>1420</v>
      </c>
      <c r="M8" s="37" t="str">
        <f>IF(I8=0,"",VLOOKUP(I8,Municipalités!$A$2:$B$1290,2,TRUE))</f>
        <v/>
      </c>
    </row>
    <row r="9" spans="1:13" ht="30" customHeight="1" x14ac:dyDescent="0.25">
      <c r="A9" s="45"/>
      <c r="B9" s="45"/>
      <c r="C9" s="39"/>
      <c r="D9" s="47"/>
      <c r="E9" s="27"/>
      <c r="F9" s="31"/>
      <c r="G9" s="82" t="str">
        <f>IF(F9=0,"",VLOOKUP(F9,Employés!$A$2:$B$186,2,0))</f>
        <v/>
      </c>
      <c r="H9" s="82"/>
      <c r="I9" s="35"/>
      <c r="J9" s="33"/>
      <c r="K9" s="19"/>
      <c r="L9" s="20"/>
      <c r="M9" s="37" t="str">
        <f>IF(I9=0,"",VLOOKUP(I9,Municipalités!$A$2:$B$1290,2,TRUE))</f>
        <v/>
      </c>
    </row>
    <row r="10" spans="1:13" ht="30" customHeight="1" x14ac:dyDescent="0.25">
      <c r="A10" s="45"/>
      <c r="B10" s="45"/>
      <c r="C10" s="39"/>
      <c r="D10" s="48"/>
      <c r="E10" s="28"/>
      <c r="F10" s="31"/>
      <c r="G10" s="82" t="str">
        <f>IF(F10=0,"",VLOOKUP(F10,Employés!$A$2:$B$186,2,0))</f>
        <v/>
      </c>
      <c r="H10" s="82"/>
      <c r="I10" s="35"/>
      <c r="J10" s="29"/>
      <c r="K10" s="19"/>
      <c r="L10" s="20"/>
      <c r="M10" s="37" t="str">
        <f>IF(I10=0,"",VLOOKUP(I10,Municipalités!$A$2:$B$1290,2,TRUE))</f>
        <v/>
      </c>
    </row>
    <row r="11" spans="1:13" ht="30" customHeight="1" x14ac:dyDescent="0.25">
      <c r="A11" s="45"/>
      <c r="B11" s="45"/>
      <c r="C11" s="39"/>
      <c r="D11" s="47"/>
      <c r="E11" s="28" t="s">
        <v>1420</v>
      </c>
      <c r="F11" s="31"/>
      <c r="G11" s="82" t="str">
        <f>IF(F11=0,"",VLOOKUP(F11,Employés!$A$2:$B$186,2,0))</f>
        <v/>
      </c>
      <c r="H11" s="82"/>
      <c r="I11" s="35"/>
      <c r="J11" s="29"/>
      <c r="K11" s="19"/>
      <c r="L11" s="20"/>
      <c r="M11" s="37" t="str">
        <f>IF(I11=0,"",VLOOKUP(I11,Municipalités!$A$2:$B$1290,2,TRUE))</f>
        <v/>
      </c>
    </row>
    <row r="12" spans="1:13" ht="30" customHeight="1" x14ac:dyDescent="0.25">
      <c r="A12" s="45"/>
      <c r="B12" s="45"/>
      <c r="C12" s="39"/>
      <c r="D12" s="46"/>
      <c r="E12" s="27"/>
      <c r="F12" s="31"/>
      <c r="G12" s="82" t="str">
        <f>IF(F12=0,"",VLOOKUP(F12,Employés!$A$2:$B$186,2,0))</f>
        <v/>
      </c>
      <c r="H12" s="82"/>
      <c r="I12" s="35"/>
      <c r="J12" s="29"/>
      <c r="K12" s="19"/>
      <c r="L12" s="20"/>
      <c r="M12" s="37" t="str">
        <f>IF(I12=0,"",VLOOKUP(I12,Municipalités!$A$2:$B$1290,2,TRUE))</f>
        <v/>
      </c>
    </row>
    <row r="13" spans="1:13" ht="30" customHeight="1" x14ac:dyDescent="0.25">
      <c r="A13" s="45"/>
      <c r="B13" s="45"/>
      <c r="C13" s="39"/>
      <c r="D13" s="46"/>
      <c r="E13" s="27"/>
      <c r="F13" s="31"/>
      <c r="G13" s="82" t="str">
        <f>IF(F13=0,"",VLOOKUP(F13,Employés!$A$2:$B$186,2,0))</f>
        <v/>
      </c>
      <c r="H13" s="82"/>
      <c r="I13" s="35"/>
      <c r="J13" s="29"/>
      <c r="K13" s="19"/>
      <c r="L13" s="20"/>
      <c r="M13" s="37" t="str">
        <f>IF(I13=0,"",VLOOKUP(I13,Municipalités!$A$2:$B$1290,2,TRUE))</f>
        <v/>
      </c>
    </row>
    <row r="14" spans="1:13" ht="30" customHeight="1" x14ac:dyDescent="0.25">
      <c r="A14" s="45"/>
      <c r="B14" s="45"/>
      <c r="C14" s="39"/>
      <c r="D14" s="47"/>
      <c r="E14" s="27"/>
      <c r="F14" s="31"/>
      <c r="G14" s="82" t="str">
        <f>IF(F14=0,"",VLOOKUP(F14,Employés!$A$2:$B$186,2,0))</f>
        <v/>
      </c>
      <c r="H14" s="82"/>
      <c r="I14" s="35"/>
      <c r="J14" s="29"/>
      <c r="K14" s="19"/>
      <c r="L14" s="20"/>
      <c r="M14" s="37" t="str">
        <f>IF(I14=0,"",VLOOKUP(I14,Municipalités!$A$2:$B$1290,2,TRUE))</f>
        <v/>
      </c>
    </row>
    <row r="15" spans="1:13" ht="30" customHeight="1" x14ac:dyDescent="0.25">
      <c r="A15" s="45"/>
      <c r="B15" s="45"/>
      <c r="C15" s="39"/>
      <c r="D15" s="47"/>
      <c r="E15" s="27"/>
      <c r="F15" s="31"/>
      <c r="G15" s="82" t="str">
        <f>IF(F15=0,"",VLOOKUP(F15,Employés!$A$2:$B$186,2,0))</f>
        <v/>
      </c>
      <c r="H15" s="82"/>
      <c r="I15" s="35"/>
      <c r="J15" s="29"/>
      <c r="K15" s="19"/>
      <c r="L15" s="20"/>
      <c r="M15" s="37" t="str">
        <f>IF(I15=0,"",VLOOKUP(I15,Municipalités!$A$2:$B$1290,2,TRUE))</f>
        <v/>
      </c>
    </row>
    <row r="16" spans="1:13" ht="30" customHeight="1" x14ac:dyDescent="0.25">
      <c r="A16" s="45"/>
      <c r="B16" s="45"/>
      <c r="C16" s="39"/>
      <c r="D16" s="46"/>
      <c r="E16" s="27"/>
      <c r="F16" s="31"/>
      <c r="G16" s="82" t="str">
        <f>IF(F16=0,"",VLOOKUP(F16,Employés!$A$2:$B$186,2,0))</f>
        <v/>
      </c>
      <c r="H16" s="82"/>
      <c r="I16" s="35"/>
      <c r="J16" s="29"/>
      <c r="K16" s="19"/>
      <c r="L16" s="20"/>
      <c r="M16" s="37" t="str">
        <f>IF(I16=0,"",VLOOKUP(I16,Municipalités!$A$2:$B$1290,2,TRUE))</f>
        <v/>
      </c>
    </row>
    <row r="17" spans="1:13" ht="30" customHeight="1" x14ac:dyDescent="0.25">
      <c r="A17" s="45"/>
      <c r="B17" s="45"/>
      <c r="C17" s="39"/>
      <c r="D17" s="46"/>
      <c r="E17" s="27"/>
      <c r="F17" s="31"/>
      <c r="G17" s="82" t="str">
        <f>IF(F17=0,"",VLOOKUP(F17,Employés!$A$2:$B$186,2,0))</f>
        <v/>
      </c>
      <c r="H17" s="82"/>
      <c r="I17" s="35"/>
      <c r="J17" s="29"/>
      <c r="K17" s="19"/>
      <c r="L17" s="20"/>
      <c r="M17" s="37" t="str">
        <f>IF(I17=0,"",VLOOKUP(I17,Municipalités!$A$2:$B$1290,2,TRUE))</f>
        <v/>
      </c>
    </row>
    <row r="18" spans="1:13" ht="30" customHeight="1" x14ac:dyDescent="0.25">
      <c r="A18" s="45"/>
      <c r="B18" s="45"/>
      <c r="C18" s="39"/>
      <c r="D18" s="46"/>
      <c r="E18" s="27"/>
      <c r="F18" s="31"/>
      <c r="G18" s="82" t="str">
        <f>IF(F18=0,"",VLOOKUP(F18,Employés!$A$2:$B$186,2,0))</f>
        <v/>
      </c>
      <c r="H18" s="82"/>
      <c r="I18" s="35"/>
      <c r="J18" s="29"/>
      <c r="K18" s="19"/>
      <c r="L18" s="20"/>
      <c r="M18" s="37" t="str">
        <f>IF(I18=0,"",VLOOKUP(I18,Municipalités!$A$2:$B$1290,2,TRUE))</f>
        <v/>
      </c>
    </row>
    <row r="19" spans="1:13" ht="30" customHeight="1" x14ac:dyDescent="0.25">
      <c r="A19" s="45"/>
      <c r="B19" s="45"/>
      <c r="C19" s="39"/>
      <c r="D19" s="46"/>
      <c r="E19" s="27"/>
      <c r="F19" s="31"/>
      <c r="G19" s="82" t="str">
        <f>IF(F19=0,"",VLOOKUP(F19,Employés!$A$2:$B$186,2,0))</f>
        <v/>
      </c>
      <c r="H19" s="82"/>
      <c r="I19" s="35"/>
      <c r="J19" s="29"/>
      <c r="K19" s="19"/>
      <c r="L19" s="20"/>
      <c r="M19" s="37" t="str">
        <f>IF(I19=0,"",VLOOKUP(I19,Municipalités!$A$2:$B$1290,2,TRUE))</f>
        <v/>
      </c>
    </row>
    <row r="20" spans="1:13" ht="30" customHeight="1" x14ac:dyDescent="0.25">
      <c r="A20" s="45"/>
      <c r="B20" s="45"/>
      <c r="C20" s="39"/>
      <c r="D20" s="47"/>
      <c r="E20" s="27"/>
      <c r="F20" s="31"/>
      <c r="G20" s="82" t="str">
        <f>IF(F20=0,"",VLOOKUP(F20,Employés!$A$2:$B$186,2,0))</f>
        <v/>
      </c>
      <c r="H20" s="82"/>
      <c r="I20" s="35"/>
      <c r="J20" s="29"/>
      <c r="K20" s="19"/>
      <c r="L20" s="20"/>
      <c r="M20" s="37" t="str">
        <f>IF(I20=0,"",VLOOKUP(I20,Municipalités!$A$2:$B$1290,2,TRUE))</f>
        <v/>
      </c>
    </row>
    <row r="21" spans="1:13" ht="30" customHeight="1" x14ac:dyDescent="0.25">
      <c r="A21" s="45"/>
      <c r="B21" s="45"/>
      <c r="C21" s="39"/>
      <c r="D21" s="47"/>
      <c r="E21" s="27"/>
      <c r="F21" s="31"/>
      <c r="G21" s="82" t="str">
        <f>IF(F21=0,"",VLOOKUP(F21,Employés!$A$2:$B$186,2,0))</f>
        <v/>
      </c>
      <c r="H21" s="82"/>
      <c r="I21" s="35"/>
      <c r="J21" s="29"/>
      <c r="K21" s="19"/>
      <c r="L21" s="20"/>
      <c r="M21" s="37" t="str">
        <f>IF(I21=0,"",VLOOKUP(I21,Municipalités!$A$2:$B$1290,2,TRUE))</f>
        <v/>
      </c>
    </row>
    <row r="22" spans="1:13" ht="30" customHeight="1" x14ac:dyDescent="0.25">
      <c r="A22" s="45"/>
      <c r="B22" s="45"/>
      <c r="C22" s="39"/>
      <c r="D22" s="46"/>
      <c r="E22" s="27"/>
      <c r="F22" s="31"/>
      <c r="G22" s="82" t="str">
        <f>IF(F22=0,"",VLOOKUP(F22,Employés!$A$2:$B$186,2,0))</f>
        <v/>
      </c>
      <c r="H22" s="82"/>
      <c r="I22" s="35"/>
      <c r="J22" s="29"/>
      <c r="K22" s="19"/>
      <c r="L22" s="20"/>
      <c r="M22" s="37" t="str">
        <f>IF(I22=0,"",VLOOKUP(I22,Municipalités!$A$2:$B$1290,2,TRUE))</f>
        <v/>
      </c>
    </row>
    <row r="23" spans="1:13" ht="30" customHeight="1" x14ac:dyDescent="0.25">
      <c r="A23" s="45"/>
      <c r="B23" s="45"/>
      <c r="C23" s="39"/>
      <c r="D23" s="46"/>
      <c r="E23" s="27"/>
      <c r="F23" s="31"/>
      <c r="G23" s="82" t="str">
        <f>IF(F23=0,"",VLOOKUP(F23,Employés!$A$2:$B$186,2,0))</f>
        <v/>
      </c>
      <c r="H23" s="82"/>
      <c r="I23" s="35"/>
      <c r="J23" s="29"/>
      <c r="K23" s="19"/>
      <c r="L23" s="20"/>
      <c r="M23" s="37" t="str">
        <f>IF(I23=0,"",VLOOKUP(I23,Municipalités!$A$2:$B$1290,2,TRUE))</f>
        <v/>
      </c>
    </row>
    <row r="24" spans="1:13" ht="30" customHeight="1" x14ac:dyDescent="0.25">
      <c r="A24" s="45"/>
      <c r="B24" s="45"/>
      <c r="C24" s="39"/>
      <c r="D24" s="46"/>
      <c r="E24" s="27"/>
      <c r="F24" s="31"/>
      <c r="G24" s="82" t="str">
        <f>IF(F24=0,"",VLOOKUP(F24,Employés!$A$2:$B$186,2,0))</f>
        <v/>
      </c>
      <c r="H24" s="82"/>
      <c r="I24" s="35"/>
      <c r="J24" s="29"/>
      <c r="K24" s="19"/>
      <c r="L24" s="20"/>
      <c r="M24" s="37" t="str">
        <f>IF(I24=0,"",VLOOKUP(I24,Municipalités!$A$2:$B$1290,2,TRUE))</f>
        <v/>
      </c>
    </row>
    <row r="25" spans="1:13" ht="30" customHeight="1" x14ac:dyDescent="0.25">
      <c r="A25" s="45"/>
      <c r="B25" s="45"/>
      <c r="C25" s="39"/>
      <c r="D25" s="46"/>
      <c r="E25" s="27"/>
      <c r="F25" s="31"/>
      <c r="G25" s="82" t="str">
        <f>IF(F25=0,"",VLOOKUP(F25,Employés!$A$2:$B$186,2,0))</f>
        <v/>
      </c>
      <c r="H25" s="82"/>
      <c r="I25" s="35"/>
      <c r="J25" s="29"/>
      <c r="K25" s="19"/>
      <c r="L25" s="20"/>
      <c r="M25" s="37" t="str">
        <f>IF(I25=0,"",VLOOKUP(I25,Municipalités!$A$2:$B$1290,2,TRUE))</f>
        <v/>
      </c>
    </row>
    <row r="26" spans="1:13" ht="30" customHeight="1" x14ac:dyDescent="0.25">
      <c r="A26" s="45"/>
      <c r="B26" s="45"/>
      <c r="C26" s="39"/>
      <c r="D26" s="46"/>
      <c r="E26" s="27"/>
      <c r="F26" s="31"/>
      <c r="G26" s="82" t="str">
        <f>IF(F26=0,"",VLOOKUP(F26,Employés!$A$2:$B$186,2,0))</f>
        <v/>
      </c>
      <c r="H26" s="82"/>
      <c r="I26" s="35"/>
      <c r="J26" s="29"/>
      <c r="K26" s="19"/>
      <c r="L26" s="20"/>
      <c r="M26" s="37" t="str">
        <f>IF(I26=0,"",VLOOKUP(I26,Municipalités!$A$2:$B$1290,2,TRUE))</f>
        <v/>
      </c>
    </row>
    <row r="27" spans="1:13" ht="30" customHeight="1" x14ac:dyDescent="0.25">
      <c r="A27" s="45"/>
      <c r="B27" s="45"/>
      <c r="C27" s="39"/>
      <c r="D27" s="46"/>
      <c r="E27" s="27"/>
      <c r="F27" s="31"/>
      <c r="G27" s="82" t="str">
        <f>IF(F27=0,"",VLOOKUP(F27,Employés!$A$2:$B$186,2,0))</f>
        <v/>
      </c>
      <c r="H27" s="82"/>
      <c r="I27" s="35"/>
      <c r="J27" s="29"/>
      <c r="K27" s="19"/>
      <c r="L27" s="20"/>
      <c r="M27" s="37" t="str">
        <f>IF(I27=0,"",VLOOKUP(I27,Municipalités!$A$2:$B$1290,2,TRUE))</f>
        <v/>
      </c>
    </row>
    <row r="28" spans="1:13" ht="30" customHeight="1" x14ac:dyDescent="0.25">
      <c r="A28" s="45"/>
      <c r="B28" s="45"/>
      <c r="C28" s="39"/>
      <c r="D28" s="46"/>
      <c r="E28" s="27"/>
      <c r="F28" s="31"/>
      <c r="G28" s="82" t="str">
        <f>IF(F28=0,"",VLOOKUP(F28,Employés!$A$2:$B$186,2,0))</f>
        <v/>
      </c>
      <c r="H28" s="82"/>
      <c r="I28" s="35"/>
      <c r="J28" s="29"/>
      <c r="K28" s="19"/>
      <c r="L28" s="20"/>
      <c r="M28" s="37" t="str">
        <f>IF(I28=0,"",VLOOKUP(I28,Municipalités!$A$2:$B$1290,2,TRUE))</f>
        <v/>
      </c>
    </row>
    <row r="29" spans="1:13" ht="30" customHeight="1" x14ac:dyDescent="0.25">
      <c r="A29" s="45"/>
      <c r="B29" s="45"/>
      <c r="C29" s="39"/>
      <c r="D29" s="46"/>
      <c r="E29" s="27"/>
      <c r="F29" s="31"/>
      <c r="G29" s="82" t="str">
        <f>IF(F29=0,"",VLOOKUP(F29,Employés!$A$2:$B$186,2,0))</f>
        <v/>
      </c>
      <c r="H29" s="82"/>
      <c r="I29" s="35"/>
      <c r="J29" s="29"/>
      <c r="K29" s="19"/>
      <c r="L29" s="20"/>
      <c r="M29" s="37" t="str">
        <f>IF(I29=0,"",VLOOKUP(I29,Municipalités!$A$2:$B$1290,2,TRUE))</f>
        <v/>
      </c>
    </row>
    <row r="30" spans="1:13" ht="30" customHeight="1" x14ac:dyDescent="0.25">
      <c r="A30" s="45"/>
      <c r="B30" s="45"/>
      <c r="C30" s="39"/>
      <c r="D30" s="46"/>
      <c r="E30" s="27"/>
      <c r="F30" s="31"/>
      <c r="G30" s="82" t="str">
        <f>IF(F30=0,"",VLOOKUP(F30,Employés!$A$2:$B$186,2,0))</f>
        <v/>
      </c>
      <c r="H30" s="82"/>
      <c r="I30" s="35"/>
      <c r="J30" s="29"/>
      <c r="K30" s="19"/>
      <c r="L30" s="20"/>
      <c r="M30" s="37" t="str">
        <f>IF(I30=0,"",VLOOKUP(I30,Municipalités!$A$2:$B$1290,2,TRUE))</f>
        <v/>
      </c>
    </row>
    <row r="31" spans="1:13" ht="30" customHeight="1" x14ac:dyDescent="0.25">
      <c r="A31" s="45"/>
      <c r="B31" s="45"/>
      <c r="C31" s="39"/>
      <c r="D31" s="47"/>
      <c r="E31" s="27"/>
      <c r="F31" s="31"/>
      <c r="G31" s="82" t="str">
        <f>IF(F31=0,"",VLOOKUP(F31,Employés!$A$2:$B$186,2,0))</f>
        <v/>
      </c>
      <c r="H31" s="82"/>
      <c r="I31" s="35"/>
      <c r="J31" s="29"/>
      <c r="K31" s="19"/>
      <c r="L31" s="20"/>
      <c r="M31" s="37" t="str">
        <f>IF(I31=0,"",VLOOKUP(I31,Municipalités!$A$2:$B$1290,2,TRUE))</f>
        <v/>
      </c>
    </row>
    <row r="32" spans="1:13" ht="30" customHeight="1" x14ac:dyDescent="0.25">
      <c r="A32" s="45"/>
      <c r="B32" s="45"/>
      <c r="C32" s="39"/>
      <c r="D32" s="46"/>
      <c r="E32" s="27"/>
      <c r="F32" s="31"/>
      <c r="G32" s="82" t="str">
        <f>IF(F32=0,"",VLOOKUP(F32,Employés!$A$2:$B$186,2,0))</f>
        <v/>
      </c>
      <c r="H32" s="82"/>
      <c r="I32" s="35"/>
      <c r="J32" s="29"/>
      <c r="K32" s="19"/>
      <c r="L32" s="20"/>
      <c r="M32" s="37" t="str">
        <f>IF(I32=0,"",VLOOKUP(I32,Municipalités!$A$2:$B$1290,2,TRUE))</f>
        <v/>
      </c>
    </row>
    <row r="33" spans="1:13" ht="30" customHeight="1" x14ac:dyDescent="0.25">
      <c r="A33" s="45"/>
      <c r="B33" s="45"/>
      <c r="C33" s="39"/>
      <c r="D33" s="46"/>
      <c r="E33" s="27"/>
      <c r="F33" s="31"/>
      <c r="G33" s="82" t="str">
        <f>IF(F33=0,"",VLOOKUP(F33,Employés!$A$2:$B$186,2,0))</f>
        <v/>
      </c>
      <c r="H33" s="82"/>
      <c r="I33" s="35"/>
      <c r="J33" s="29"/>
      <c r="K33" s="19"/>
      <c r="L33" s="20"/>
      <c r="M33" s="37" t="str">
        <f>IF(I33=0,"",VLOOKUP(I33,Municipalités!$A$2:$B$1290,2,TRUE))</f>
        <v/>
      </c>
    </row>
    <row r="34" spans="1:13" ht="30" customHeight="1" x14ac:dyDescent="0.25">
      <c r="A34" s="45"/>
      <c r="B34" s="45"/>
      <c r="C34" s="39"/>
      <c r="D34" s="46"/>
      <c r="E34" s="27"/>
      <c r="F34" s="31"/>
      <c r="G34" s="82" t="str">
        <f>IF(F34=0,"",VLOOKUP(F34,Employés!$A$2:$B$186,2,0))</f>
        <v/>
      </c>
      <c r="H34" s="82"/>
      <c r="I34" s="35"/>
      <c r="J34" s="29"/>
      <c r="K34" s="19"/>
      <c r="L34" s="20"/>
      <c r="M34" s="37" t="str">
        <f>IF(I34=0,"",VLOOKUP(I34,Municipalités!$A$2:$B$1290,2,TRUE))</f>
        <v/>
      </c>
    </row>
    <row r="35" spans="1:13" ht="30" customHeight="1" x14ac:dyDescent="0.25">
      <c r="A35" s="45"/>
      <c r="B35" s="45"/>
      <c r="C35" s="30"/>
      <c r="D35" s="46"/>
      <c r="E35" s="27"/>
      <c r="F35" s="31"/>
      <c r="G35" s="82" t="str">
        <f>IF(F35=0,"",VLOOKUP(F35,Employés!$A$2:$B$186,2,0))</f>
        <v/>
      </c>
      <c r="H35" s="82"/>
      <c r="I35" s="35"/>
      <c r="J35" s="29"/>
      <c r="K35" s="19"/>
      <c r="L35" s="20"/>
      <c r="M35" s="37" t="str">
        <f>IF(I35=0,"",VLOOKUP(I35,Municipalités!$A$2:$B$1290,2,TRUE))</f>
        <v/>
      </c>
    </row>
    <row r="36" spans="1:13" ht="30" customHeight="1" x14ac:dyDescent="0.25">
      <c r="A36" s="45"/>
      <c r="B36" s="45"/>
      <c r="C36" s="30"/>
      <c r="D36" s="46"/>
      <c r="E36" s="27"/>
      <c r="F36" s="31"/>
      <c r="G36" s="82" t="str">
        <f>IF(F36=0,"",VLOOKUP(F36,Employés!$A$2:$B$186,2,0))</f>
        <v/>
      </c>
      <c r="H36" s="82"/>
      <c r="I36" s="35"/>
      <c r="J36" s="29"/>
      <c r="K36" s="19"/>
      <c r="L36" s="20"/>
      <c r="M36" s="37" t="str">
        <f>IF(I36=0,"",VLOOKUP(I36,Municipalités!$A$2:$B$1290,2,TRUE))</f>
        <v/>
      </c>
    </row>
    <row r="37" spans="1:13" ht="30" customHeight="1" x14ac:dyDescent="0.25">
      <c r="A37" s="45"/>
      <c r="B37" s="45"/>
      <c r="C37" s="39"/>
      <c r="D37" s="46"/>
      <c r="E37" s="27"/>
      <c r="F37" s="31"/>
      <c r="G37" s="82" t="str">
        <f>IF(F37=0,"",VLOOKUP(F37,Employés!$A$2:$B$186,2,0))</f>
        <v/>
      </c>
      <c r="H37" s="82"/>
      <c r="I37" s="35"/>
      <c r="J37" s="29"/>
      <c r="K37" s="19"/>
      <c r="L37" s="20"/>
      <c r="M37" s="37" t="str">
        <f>IF(I37=0,"",VLOOKUP(I37,Municipalités!$A$2:$B$1290,2,TRUE))</f>
        <v/>
      </c>
    </row>
    <row r="38" spans="1:13" ht="30" customHeight="1" x14ac:dyDescent="0.25">
      <c r="A38" s="45"/>
      <c r="B38" s="45"/>
      <c r="C38" s="39"/>
      <c r="D38" s="47"/>
      <c r="E38" s="27"/>
      <c r="F38" s="31"/>
      <c r="G38" s="82" t="str">
        <f>IF(F38=0,"",VLOOKUP(F38,Employés!$A$2:$B$186,2,0))</f>
        <v/>
      </c>
      <c r="H38" s="82"/>
      <c r="I38" s="35"/>
      <c r="J38" s="29"/>
      <c r="K38" s="19"/>
      <c r="L38" s="20"/>
      <c r="M38" s="37" t="str">
        <f>IF(I38=0,"",VLOOKUP(I38,Municipalités!$A$2:$B$1290,2,TRUE))</f>
        <v/>
      </c>
    </row>
    <row r="39" spans="1:13" ht="30" customHeight="1" x14ac:dyDescent="0.25">
      <c r="A39" s="45"/>
      <c r="B39" s="45"/>
      <c r="C39" s="39"/>
      <c r="D39" s="45"/>
      <c r="E39" s="27"/>
      <c r="F39" s="31"/>
      <c r="G39" s="82" t="str">
        <f>IF(F39=0,"",VLOOKUP(F39,Employés!$A$2:$B$186,2,0))</f>
        <v/>
      </c>
      <c r="H39" s="82"/>
      <c r="I39" s="35"/>
      <c r="J39" s="29"/>
      <c r="K39" s="26"/>
      <c r="L39" s="25"/>
      <c r="M39" s="37" t="str">
        <f>IF(I39=0,"",VLOOKUP(I39,Municipalités!$A$2:$B$1290,2,TRUE))</f>
        <v/>
      </c>
    </row>
    <row r="40" spans="1:13" ht="30" customHeight="1" x14ac:dyDescent="0.25">
      <c r="A40" s="8"/>
      <c r="B40" s="8"/>
      <c r="C40" s="30"/>
      <c r="D40" s="8"/>
      <c r="E40" s="27"/>
      <c r="F40" s="31"/>
      <c r="G40" s="82" t="str">
        <f>IF(F40=0,"",VLOOKUP(F40,Employés!$A$2:$B$186,2,0))</f>
        <v/>
      </c>
      <c r="H40" s="82"/>
      <c r="I40" s="35"/>
      <c r="J40" s="29"/>
      <c r="K40" s="26"/>
      <c r="L40" s="25"/>
      <c r="M40" s="37" t="str">
        <f>IF(I40=0,"",VLOOKUP(I40,Municipalités!$A$2:$B$1290,2,TRUE))</f>
        <v/>
      </c>
    </row>
    <row r="41" spans="1:13" ht="30" customHeight="1" x14ac:dyDescent="0.25">
      <c r="A41" s="8"/>
      <c r="B41" s="8"/>
      <c r="C41" s="30"/>
      <c r="D41" s="8"/>
      <c r="E41" s="27"/>
      <c r="F41" s="31"/>
      <c r="G41" s="82" t="str">
        <f>IF(F41=0,"",VLOOKUP(F41,Employés!$A$2:$B$186,2,0))</f>
        <v/>
      </c>
      <c r="H41" s="82"/>
      <c r="I41" s="35"/>
      <c r="J41" s="29"/>
      <c r="K41" s="26"/>
      <c r="L41" s="25"/>
      <c r="M41" s="37" t="str">
        <f>IF(I41=0,"",VLOOKUP(I41,Municipalités!$A$2:$B$1290,2,TRUE))</f>
        <v/>
      </c>
    </row>
    <row r="42" spans="1:13" ht="30" customHeight="1" x14ac:dyDescent="0.25">
      <c r="A42" s="8"/>
      <c r="B42" s="8"/>
      <c r="C42" s="30"/>
      <c r="D42" s="8"/>
      <c r="E42" s="27"/>
      <c r="F42" s="31"/>
      <c r="G42" s="82" t="str">
        <f>IF(F42=0,"",VLOOKUP(F42,Employés!$A$2:$B$186,2,0))</f>
        <v/>
      </c>
      <c r="H42" s="82"/>
      <c r="I42" s="35"/>
      <c r="J42" s="29"/>
      <c r="K42" s="26"/>
      <c r="L42" s="25"/>
      <c r="M42" s="37" t="str">
        <f>IF(I42=0,"",VLOOKUP(I42,Municipalités!$A$2:$B$1290,2,TRUE))</f>
        <v/>
      </c>
    </row>
    <row r="43" spans="1:13" ht="30" customHeight="1" x14ac:dyDescent="0.25">
      <c r="A43" s="8"/>
      <c r="B43" s="8"/>
      <c r="C43" s="30"/>
      <c r="D43" s="8"/>
      <c r="E43" s="27" t="s">
        <v>1420</v>
      </c>
      <c r="F43" s="31"/>
      <c r="G43" s="82" t="str">
        <f>IF(F43=0,"",VLOOKUP(F43,Employés!$A$2:$B$186,2,0))</f>
        <v/>
      </c>
      <c r="H43" s="82"/>
      <c r="I43" s="35"/>
      <c r="J43" s="29"/>
      <c r="K43" s="26"/>
      <c r="L43" s="25" t="s">
        <v>1420</v>
      </c>
      <c r="M43" s="37" t="str">
        <f>IF(I43=0,"",VLOOKUP(I43,Municipalités!$A$2:$B$1290,2,TRUE))</f>
        <v/>
      </c>
    </row>
    <row r="44" spans="1:13" ht="30" customHeight="1" x14ac:dyDescent="0.25">
      <c r="A44" s="8"/>
      <c r="B44" s="8"/>
      <c r="C44" s="30"/>
      <c r="D44" s="8"/>
      <c r="E44" s="27"/>
      <c r="F44" s="31"/>
      <c r="G44" s="82" t="str">
        <f>IF(F44=0,"",VLOOKUP(F44,Employés!$A$2:$B$186,2,0))</f>
        <v/>
      </c>
      <c r="H44" s="82"/>
      <c r="I44" s="35"/>
      <c r="J44" s="29"/>
      <c r="K44" s="26"/>
      <c r="L44" s="25"/>
      <c r="M44" s="37" t="str">
        <f>IF(I44=0,"",VLOOKUP(I44,Municipalités!$A$2:$B$1290,2,TRUE))</f>
        <v/>
      </c>
    </row>
    <row r="45" spans="1:13" ht="30" customHeight="1" x14ac:dyDescent="0.25">
      <c r="A45" s="8"/>
      <c r="B45" s="8"/>
      <c r="C45" s="30"/>
      <c r="D45" s="8"/>
      <c r="E45" s="27"/>
      <c r="F45" s="31"/>
      <c r="G45" s="82" t="str">
        <f>IF(F45=0,"",VLOOKUP(F45,Employés!$A$2:$B$186,2,0))</f>
        <v/>
      </c>
      <c r="H45" s="82"/>
      <c r="I45" s="35"/>
      <c r="J45" s="29"/>
      <c r="K45" s="26"/>
      <c r="L45" s="25"/>
      <c r="M45" s="37" t="str">
        <f>IF(I45=0,"",VLOOKUP(I45,Municipalités!$A$2:$B$1290,2,TRUE))</f>
        <v/>
      </c>
    </row>
    <row r="46" spans="1:13" ht="30" customHeight="1" x14ac:dyDescent="0.25">
      <c r="A46" s="8"/>
      <c r="B46" s="8"/>
      <c r="C46" s="30"/>
      <c r="D46" s="8"/>
      <c r="E46" s="27"/>
      <c r="F46" s="31"/>
      <c r="G46" s="82" t="str">
        <f>IF(F46=0,"",VLOOKUP(F46,Employés!$A$2:$B$186,2,0))</f>
        <v/>
      </c>
      <c r="H46" s="82"/>
      <c r="I46" s="35"/>
      <c r="J46" s="29"/>
      <c r="K46" s="26"/>
      <c r="L46" s="25"/>
      <c r="M46" s="37" t="str">
        <f>IF(I46=0,"",VLOOKUP(I46,Municipalités!$A$2:$B$1290,2,TRUE))</f>
        <v/>
      </c>
    </row>
    <row r="47" spans="1:13" ht="30" customHeight="1" x14ac:dyDescent="0.25">
      <c r="A47" s="8"/>
      <c r="B47" s="8"/>
      <c r="C47" s="30"/>
      <c r="D47" s="8"/>
      <c r="E47" s="27"/>
      <c r="F47" s="31"/>
      <c r="G47" s="82" t="str">
        <f>IF(F47=0,"",VLOOKUP(F47,Employés!$A$2:$B$186,2,0))</f>
        <v/>
      </c>
      <c r="H47" s="82"/>
      <c r="I47" s="35"/>
      <c r="J47" s="29"/>
      <c r="K47" s="26"/>
      <c r="L47" s="25"/>
      <c r="M47" s="37" t="str">
        <f>IF(I47=0,"",VLOOKUP(I47,Municipalités!$A$2:$B$1290,2,TRUE))</f>
        <v/>
      </c>
    </row>
    <row r="48" spans="1:13" ht="30" customHeight="1" x14ac:dyDescent="0.25">
      <c r="A48" s="8"/>
      <c r="B48" s="8"/>
      <c r="C48" s="30"/>
      <c r="D48" s="8"/>
      <c r="E48" s="27"/>
      <c r="F48" s="31"/>
      <c r="G48" s="82" t="str">
        <f>IF(F48=0,"",VLOOKUP(F48,Employés!$A$2:$B$186,2,0))</f>
        <v/>
      </c>
      <c r="H48" s="82"/>
      <c r="I48" s="35"/>
      <c r="J48" s="29"/>
      <c r="K48" s="26"/>
      <c r="L48" s="25"/>
      <c r="M48" s="37" t="str">
        <f>IF(I48=0,"",VLOOKUP(I48,Municipalités!$A$2:$B$1290,2,TRUE))</f>
        <v/>
      </c>
    </row>
    <row r="49" spans="1:13" ht="30" customHeight="1" x14ac:dyDescent="0.25">
      <c r="A49" s="8"/>
      <c r="B49" s="8"/>
      <c r="C49" s="30"/>
      <c r="D49" s="8"/>
      <c r="E49" s="27"/>
      <c r="F49" s="31"/>
      <c r="G49" s="82" t="str">
        <f>IF(F49=0,"",VLOOKUP(F49,Employés!$A$2:$B$186,2,0))</f>
        <v/>
      </c>
      <c r="H49" s="82"/>
      <c r="I49" s="35"/>
      <c r="J49" s="29"/>
      <c r="K49" s="26"/>
      <c r="L49" s="25"/>
      <c r="M49" s="37" t="str">
        <f>IF(I49=0,"",VLOOKUP(I49,Municipalités!$A$2:$B$1290,2,TRUE))</f>
        <v/>
      </c>
    </row>
    <row r="50" spans="1:13" ht="30" customHeight="1" x14ac:dyDescent="0.25">
      <c r="A50" s="8"/>
      <c r="B50" s="8"/>
      <c r="C50" s="30"/>
      <c r="D50" s="8"/>
      <c r="E50" s="27"/>
      <c r="F50" s="31"/>
      <c r="G50" s="82" t="str">
        <f>IF(F50=0,"",VLOOKUP(F50,Employés!$A$2:$B$186,2,0))</f>
        <v/>
      </c>
      <c r="H50" s="82"/>
      <c r="I50" s="35"/>
      <c r="J50" s="29"/>
      <c r="K50" s="26"/>
      <c r="L50" s="25"/>
      <c r="M50" s="37" t="str">
        <f>IF(I50=0,"",VLOOKUP(I50,Municipalités!$A$2:$B$1290,2,TRUE))</f>
        <v/>
      </c>
    </row>
    <row r="51" spans="1:13" ht="30" customHeight="1" x14ac:dyDescent="0.25">
      <c r="A51" s="8"/>
      <c r="B51" s="8"/>
      <c r="C51" s="30"/>
      <c r="D51" s="8"/>
      <c r="E51" s="27"/>
      <c r="F51" s="31"/>
      <c r="G51" s="82" t="str">
        <f>IF(F51=0,"",VLOOKUP(F51,Employés!$A$2:$B$186,2,0))</f>
        <v/>
      </c>
      <c r="H51" s="82"/>
      <c r="I51" s="35"/>
      <c r="J51" s="29"/>
      <c r="K51" s="26"/>
      <c r="L51" s="25"/>
      <c r="M51" s="37" t="str">
        <f>IF(I51=0,"",VLOOKUP(I51,Municipalités!$A$2:$B$1290,2,TRUE))</f>
        <v/>
      </c>
    </row>
    <row r="52" spans="1:13" ht="30" customHeight="1" x14ac:dyDescent="0.25">
      <c r="A52" s="8"/>
      <c r="B52" s="8"/>
      <c r="C52" s="30"/>
      <c r="D52" s="8"/>
      <c r="E52" s="27"/>
      <c r="F52" s="31"/>
      <c r="G52" s="82" t="str">
        <f>IF(F52=0,"",VLOOKUP(F52,Employés!$A$2:$B$186,2,0))</f>
        <v/>
      </c>
      <c r="H52" s="82"/>
      <c r="I52" s="35"/>
      <c r="J52" s="29"/>
      <c r="K52" s="26"/>
      <c r="L52" s="25"/>
      <c r="M52" s="37" t="str">
        <f>IF(I52=0,"",VLOOKUP(I52,Municipalités!$A$2:$B$1290,2,TRUE))</f>
        <v/>
      </c>
    </row>
    <row r="53" spans="1:13" ht="30" customHeight="1" x14ac:dyDescent="0.25">
      <c r="A53" s="8"/>
      <c r="B53" s="8"/>
      <c r="C53" s="30"/>
      <c r="D53" s="8"/>
      <c r="E53" s="27"/>
      <c r="F53" s="31"/>
      <c r="G53" s="82" t="str">
        <f>IF(F53=0,"",VLOOKUP(F53,Employés!$A$2:$B$186,2,0))</f>
        <v/>
      </c>
      <c r="H53" s="82"/>
      <c r="I53" s="35"/>
      <c r="J53" s="29"/>
      <c r="K53" s="26"/>
      <c r="L53" s="25"/>
      <c r="M53" s="37" t="str">
        <f>IF(I53=0,"",VLOOKUP(I53,Municipalités!$A$2:$B$1290,2,TRUE))</f>
        <v/>
      </c>
    </row>
    <row r="54" spans="1:13" ht="30" customHeight="1" x14ac:dyDescent="0.25">
      <c r="A54" s="8"/>
      <c r="B54" s="8"/>
      <c r="C54" s="30"/>
      <c r="D54" s="8"/>
      <c r="E54" s="27"/>
      <c r="F54" s="31"/>
      <c r="G54" s="82" t="str">
        <f>IF(F54=0,"",VLOOKUP(F54,Employés!$A$2:$B$186,2,0))</f>
        <v/>
      </c>
      <c r="H54" s="82"/>
      <c r="I54" s="35"/>
      <c r="J54" s="29"/>
      <c r="K54" s="26"/>
      <c r="L54" s="25"/>
      <c r="M54" s="37" t="str">
        <f>IF(I54=0,"",VLOOKUP(I54,Municipalités!$A$2:$B$1290,2,TRUE))</f>
        <v/>
      </c>
    </row>
    <row r="55" spans="1:13" ht="30" customHeight="1" x14ac:dyDescent="0.25">
      <c r="A55" s="8"/>
      <c r="B55" s="8"/>
      <c r="C55" s="30"/>
      <c r="D55" s="8"/>
      <c r="E55" s="27"/>
      <c r="F55" s="31"/>
      <c r="G55" s="82" t="str">
        <f>IF(F55=0,"",VLOOKUP(F55,Employés!$A$2:$B$186,2,0))</f>
        <v/>
      </c>
      <c r="H55" s="82"/>
      <c r="I55" s="35"/>
      <c r="J55" s="29"/>
      <c r="K55" s="26"/>
      <c r="L55" s="25"/>
      <c r="M55" s="37" t="str">
        <f>IF(I55=0,"",VLOOKUP(I55,Municipalités!$A$2:$B$1290,2,TRUE))</f>
        <v/>
      </c>
    </row>
    <row r="56" spans="1:13" ht="30" customHeight="1" x14ac:dyDescent="0.25">
      <c r="A56" s="8"/>
      <c r="B56" s="8"/>
      <c r="C56" s="30"/>
      <c r="D56" s="8"/>
      <c r="E56" s="27"/>
      <c r="F56" s="31"/>
      <c r="G56" s="82" t="str">
        <f>IF(F56=0,"",VLOOKUP(F56,Employés!$A$2:$B$186,2,0))</f>
        <v/>
      </c>
      <c r="H56" s="82"/>
      <c r="I56" s="35"/>
      <c r="J56" s="29"/>
      <c r="K56" s="26"/>
      <c r="L56" s="25"/>
      <c r="M56" s="37" t="str">
        <f>IF(I56=0,"",VLOOKUP(I56,Municipalités!$A$2:$B$1290,2,TRUE))</f>
        <v/>
      </c>
    </row>
    <row r="57" spans="1:13" ht="30" customHeight="1" x14ac:dyDescent="0.25">
      <c r="A57" s="8"/>
      <c r="B57" s="8"/>
      <c r="C57" s="30"/>
      <c r="D57" s="8"/>
      <c r="E57" s="27"/>
      <c r="F57" s="31"/>
      <c r="G57" s="82" t="str">
        <f>IF(F57=0,"",VLOOKUP(F57,Employés!$A$2:$B$186,2,0))</f>
        <v/>
      </c>
      <c r="H57" s="82"/>
      <c r="I57" s="35"/>
      <c r="J57" s="29"/>
      <c r="K57" s="26"/>
      <c r="L57" s="25"/>
      <c r="M57" s="37" t="str">
        <f>IF(I57=0,"",VLOOKUP(I57,Municipalités!$A$2:$B$1290,2,TRUE))</f>
        <v/>
      </c>
    </row>
    <row r="58" spans="1:13" ht="30" customHeight="1" x14ac:dyDescent="0.25">
      <c r="A58" s="8"/>
      <c r="B58" s="8"/>
      <c r="C58" s="30"/>
      <c r="D58" s="8"/>
      <c r="E58" s="27"/>
      <c r="F58" s="31"/>
      <c r="G58" s="82" t="str">
        <f>IF(F58=0,"",VLOOKUP(F58,Employés!$A$2:$B$186,2,0))</f>
        <v/>
      </c>
      <c r="H58" s="82"/>
      <c r="I58" s="35"/>
      <c r="J58" s="29"/>
      <c r="K58" s="26"/>
      <c r="L58" s="25"/>
      <c r="M58" s="37" t="str">
        <f>IF(I58=0,"",VLOOKUP(I58,Municipalités!$A$2:$B$1290,2,TRUE))</f>
        <v/>
      </c>
    </row>
    <row r="59" spans="1:13" ht="30" customHeight="1" x14ac:dyDescent="0.25">
      <c r="A59" s="8"/>
      <c r="B59" s="8"/>
      <c r="C59" s="30"/>
      <c r="D59" s="8"/>
      <c r="E59" s="27"/>
      <c r="F59" s="31"/>
      <c r="G59" s="82" t="str">
        <f>IF(F59=0,"",VLOOKUP(F59,Employés!$A$2:$B$186,2,0))</f>
        <v/>
      </c>
      <c r="H59" s="82"/>
      <c r="I59" s="35"/>
      <c r="J59" s="29"/>
      <c r="K59" s="26"/>
      <c r="L59" s="25"/>
      <c r="M59" s="37" t="str">
        <f>IF(I59=0,"",VLOOKUP(I59,Municipalités!$A$2:$B$1290,2,TRUE))</f>
        <v/>
      </c>
    </row>
    <row r="60" spans="1:13" ht="30" customHeight="1" x14ac:dyDescent="0.25">
      <c r="A60" s="8"/>
      <c r="B60" s="8"/>
      <c r="C60" s="30"/>
      <c r="D60" s="8"/>
      <c r="E60" s="27"/>
      <c r="F60" s="31"/>
      <c r="G60" s="82" t="str">
        <f>IF(F60=0,"",VLOOKUP(F60,Employés!$A$2:$B$186,2,0))</f>
        <v/>
      </c>
      <c r="H60" s="82"/>
      <c r="I60" s="35"/>
      <c r="J60" s="29"/>
      <c r="K60" s="26"/>
      <c r="L60" s="25"/>
      <c r="M60" s="37" t="str">
        <f>IF(I60=0,"",VLOOKUP(I60,Municipalités!$A$2:$B$1290,2,TRUE))</f>
        <v/>
      </c>
    </row>
    <row r="61" spans="1:13" ht="30" customHeight="1" x14ac:dyDescent="0.25">
      <c r="A61" s="8"/>
      <c r="B61" s="8"/>
      <c r="C61" s="30"/>
      <c r="D61" s="8"/>
      <c r="E61" s="27"/>
      <c r="F61" s="31"/>
      <c r="G61" s="82" t="str">
        <f>IF(F61=0,"",VLOOKUP(F61,Employés!$A$2:$B$186,2,0))</f>
        <v/>
      </c>
      <c r="H61" s="82"/>
      <c r="I61" s="35"/>
      <c r="J61" s="29"/>
      <c r="K61" s="26"/>
      <c r="L61" s="25"/>
      <c r="M61" s="37" t="str">
        <f>IF(I61=0,"",VLOOKUP(I61,Municipalités!$A$2:$B$1290,2,TRUE))</f>
        <v/>
      </c>
    </row>
    <row r="62" spans="1:13" x14ac:dyDescent="0.25">
      <c r="C62" s="14"/>
    </row>
    <row r="63" spans="1:13" x14ac:dyDescent="0.25">
      <c r="C63" s="14"/>
    </row>
    <row r="64" spans="1:13" x14ac:dyDescent="0.25">
      <c r="C64" s="14"/>
    </row>
    <row r="65" spans="3:5" x14ac:dyDescent="0.25">
      <c r="C65" s="14"/>
    </row>
    <row r="66" spans="3:5" x14ac:dyDescent="0.25">
      <c r="C66" s="14"/>
    </row>
    <row r="67" spans="3:5" x14ac:dyDescent="0.25">
      <c r="C67" s="14"/>
    </row>
    <row r="68" spans="3:5" x14ac:dyDescent="0.25">
      <c r="C68" s="14"/>
    </row>
    <row r="69" spans="3:5" x14ac:dyDescent="0.25">
      <c r="C69" s="14"/>
    </row>
    <row r="70" spans="3:5" x14ac:dyDescent="0.25">
      <c r="C70" s="14"/>
    </row>
    <row r="71" spans="3:5" x14ac:dyDescent="0.25">
      <c r="C71" s="14"/>
    </row>
    <row r="72" spans="3:5" x14ac:dyDescent="0.25">
      <c r="C72" s="14"/>
    </row>
    <row r="73" spans="3:5" x14ac:dyDescent="0.25">
      <c r="C73" s="14"/>
    </row>
    <row r="74" spans="3:5" x14ac:dyDescent="0.25">
      <c r="C74" s="14"/>
    </row>
    <row r="75" spans="3:5" x14ac:dyDescent="0.25">
      <c r="C75" s="14"/>
    </row>
    <row r="76" spans="3:5" x14ac:dyDescent="0.25">
      <c r="C76" s="14"/>
    </row>
    <row r="77" spans="3:5" x14ac:dyDescent="0.25">
      <c r="C77" s="14"/>
    </row>
    <row r="78" spans="3:5" x14ac:dyDescent="0.25">
      <c r="C78" s="14"/>
      <c r="E78" s="21" t="s">
        <v>1420</v>
      </c>
    </row>
    <row r="79" spans="3:5" x14ac:dyDescent="0.25">
      <c r="C79" s="14"/>
    </row>
    <row r="80" spans="3:5" x14ac:dyDescent="0.25">
      <c r="C80" s="14"/>
    </row>
    <row r="81" spans="3:3" x14ac:dyDescent="0.25">
      <c r="C81" s="14"/>
    </row>
    <row r="82" spans="3:3" x14ac:dyDescent="0.25">
      <c r="C82" s="14"/>
    </row>
    <row r="83" spans="3:3" x14ac:dyDescent="0.25">
      <c r="C83" s="14"/>
    </row>
    <row r="84" spans="3:3" x14ac:dyDescent="0.25">
      <c r="C84" s="14"/>
    </row>
    <row r="85" spans="3:3" x14ac:dyDescent="0.25">
      <c r="C85" s="14"/>
    </row>
    <row r="86" spans="3:3" x14ac:dyDescent="0.25">
      <c r="C86" s="14"/>
    </row>
    <row r="87" spans="3:3" x14ac:dyDescent="0.25">
      <c r="C87" s="14"/>
    </row>
    <row r="88" spans="3:3" x14ac:dyDescent="0.25">
      <c r="C88" s="14"/>
    </row>
    <row r="89" spans="3:3" x14ac:dyDescent="0.25">
      <c r="C89" s="14"/>
    </row>
    <row r="90" spans="3:3" x14ac:dyDescent="0.25">
      <c r="C90" s="14"/>
    </row>
    <row r="91" spans="3:3" x14ac:dyDescent="0.25">
      <c r="C91" s="14"/>
    </row>
    <row r="92" spans="3:3" x14ac:dyDescent="0.25">
      <c r="C92" s="14"/>
    </row>
    <row r="93" spans="3:3" x14ac:dyDescent="0.25">
      <c r="C93" s="14"/>
    </row>
    <row r="94" spans="3:3" x14ac:dyDescent="0.25">
      <c r="C94" s="14"/>
    </row>
    <row r="95" spans="3:3" x14ac:dyDescent="0.25">
      <c r="C95" s="14"/>
    </row>
    <row r="96" spans="3:3" x14ac:dyDescent="0.25">
      <c r="C96" s="14"/>
    </row>
    <row r="97" spans="3:3" x14ac:dyDescent="0.25">
      <c r="C97" s="14"/>
    </row>
    <row r="98" spans="3:3" x14ac:dyDescent="0.25">
      <c r="C98" s="14"/>
    </row>
  </sheetData>
  <mergeCells count="67">
    <mergeCell ref="G59:H59"/>
    <mergeCell ref="G60:H60"/>
    <mergeCell ref="G61:H61"/>
    <mergeCell ref="G53:H53"/>
    <mergeCell ref="G54:H54"/>
    <mergeCell ref="G55:H55"/>
    <mergeCell ref="G56:H56"/>
    <mergeCell ref="G57:H57"/>
    <mergeCell ref="G58:H58"/>
    <mergeCell ref="G52:H52"/>
    <mergeCell ref="G41:H41"/>
    <mergeCell ref="G42:H42"/>
    <mergeCell ref="G43:H43"/>
    <mergeCell ref="G44:H44"/>
    <mergeCell ref="G45:H45"/>
    <mergeCell ref="G46:H46"/>
    <mergeCell ref="G47:H47"/>
    <mergeCell ref="G48:H48"/>
    <mergeCell ref="G49:H49"/>
    <mergeCell ref="G50:H50"/>
    <mergeCell ref="G51:H51"/>
    <mergeCell ref="G40:H40"/>
    <mergeCell ref="G29:H29"/>
    <mergeCell ref="G30:H30"/>
    <mergeCell ref="G31:H31"/>
    <mergeCell ref="G32:H32"/>
    <mergeCell ref="G33:H33"/>
    <mergeCell ref="G34:H34"/>
    <mergeCell ref="G35:H35"/>
    <mergeCell ref="G36:H36"/>
    <mergeCell ref="G37:H37"/>
    <mergeCell ref="G38:H38"/>
    <mergeCell ref="G39:H39"/>
    <mergeCell ref="G28:H28"/>
    <mergeCell ref="G17:H17"/>
    <mergeCell ref="G18:H18"/>
    <mergeCell ref="G19:H19"/>
    <mergeCell ref="G20:H20"/>
    <mergeCell ref="G21:H21"/>
    <mergeCell ref="G22:H22"/>
    <mergeCell ref="G23:H23"/>
    <mergeCell ref="G24:H24"/>
    <mergeCell ref="G25:H25"/>
    <mergeCell ref="G26:H26"/>
    <mergeCell ref="G27:H27"/>
    <mergeCell ref="M2:M4"/>
    <mergeCell ref="G16:H16"/>
    <mergeCell ref="I6:I7"/>
    <mergeCell ref="J6:J7"/>
    <mergeCell ref="K6:M6"/>
    <mergeCell ref="G8:H8"/>
    <mergeCell ref="G9:H9"/>
    <mergeCell ref="G10:H10"/>
    <mergeCell ref="G11:H11"/>
    <mergeCell ref="G12:H12"/>
    <mergeCell ref="G13:H13"/>
    <mergeCell ref="G14:H14"/>
    <mergeCell ref="G15:H15"/>
    <mergeCell ref="E1:F4"/>
    <mergeCell ref="L1:L2"/>
    <mergeCell ref="A6:A7"/>
    <mergeCell ref="B6:B7"/>
    <mergeCell ref="C6:C7"/>
    <mergeCell ref="D6:D7"/>
    <mergeCell ref="E6:E7"/>
    <mergeCell ref="F6:F7"/>
    <mergeCell ref="G6:H7"/>
  </mergeCells>
  <conditionalFormatting sqref="C16:C21 C23:C45">
    <cfRule type="expression" dxfId="83" priority="7" stopIfTrue="1">
      <formula>#REF!=1</formula>
    </cfRule>
    <cfRule type="expression" priority="8" stopIfTrue="1">
      <formula>#REF!=2</formula>
    </cfRule>
    <cfRule type="expression" dxfId="82" priority="9" stopIfTrue="1">
      <formula>#REF!=3</formula>
    </cfRule>
  </conditionalFormatting>
  <conditionalFormatting sqref="C22">
    <cfRule type="expression" dxfId="81" priority="4" stopIfTrue="1">
      <formula>#REF!=1</formula>
    </cfRule>
    <cfRule type="expression" priority="5" stopIfTrue="1">
      <formula>#REF!=2</formula>
    </cfRule>
    <cfRule type="expression" dxfId="80" priority="6" stopIfTrue="1">
      <formula>#REF!=3</formula>
    </cfRule>
  </conditionalFormatting>
  <conditionalFormatting sqref="C46:C61">
    <cfRule type="expression" dxfId="79" priority="1" stopIfTrue="1">
      <formula>#REF!=1</formula>
    </cfRule>
    <cfRule type="expression" priority="2" stopIfTrue="1">
      <formula>#REF!=2</formula>
    </cfRule>
    <cfRule type="expression" dxfId="78" priority="3" stopIfTrue="1">
      <formula>#REF!=3</formula>
    </cfRule>
  </conditionalFormatting>
  <dataValidations count="2">
    <dataValidation type="textLength" operator="greaterThanOrEqual" allowBlank="1" showInputMessage="1" showErrorMessage="1" errorTitle="Saisie incorrecte" error="Re-saisir le numéro d'entrée en utilisant 3 chiffres_x000a_Ex.: 001" promptTitle="Saisie du numéro d'entrée" prompt="Minimum 3 chiffres_x000a_Ex.: 001" sqref="C8:C39" xr:uid="{00000000-0002-0000-1100-000000000000}">
      <formula1>3</formula1>
    </dataValidation>
    <dataValidation operator="greaterThan" allowBlank="1" showDropDown="1" showInputMessage="1" showErrorMessage="1" errorTitle="Saisie incorrecte" error="Re-Saisir le numéro de dossier sous le format_x000a_000-000000-000" promptTitle="Saisie du numéro d'événement" prompt="000-000000-000_x000a_Ex. : 071-030901-001" sqref="J8:J39" xr:uid="{00000000-0002-0000-1100-000001000000}"/>
  </dataValidations>
  <printOptions horizontalCentered="1" verticalCentered="1"/>
  <pageMargins left="0" right="0" top="0.31496062992125984" bottom="0.39370078740157483" header="0.15748031496062992" footer="0.19685039370078741"/>
  <pageSetup paperSize="5" scale="90" orientation="landscape" r:id="rId1"/>
  <headerFooter alignWithMargins="0">
    <oddFooter>&amp;R&amp;8Page &amp;P de &amp;N</oddFooter>
  </headerFooter>
  <drawing r:id="rId2"/>
  <legacyDrawing r:id="rId3"/>
  <controls>
    <mc:AlternateContent xmlns:mc="http://schemas.openxmlformats.org/markup-compatibility/2006">
      <mc:Choice Requires="x14">
        <control shapeId="159747" r:id="rId4" name="ComboBox2">
          <controlPr defaultSize="0" autoLine="0" r:id="rId5">
            <anchor moveWithCells="1">
              <from>
                <xdr:col>4</xdr:col>
                <xdr:colOff>0</xdr:colOff>
                <xdr:row>10</xdr:row>
                <xdr:rowOff>0</xdr:rowOff>
              </from>
              <to>
                <xdr:col>4</xdr:col>
                <xdr:colOff>2965450</xdr:colOff>
                <xdr:row>11</xdr:row>
                <xdr:rowOff>38100</xdr:rowOff>
              </to>
            </anchor>
          </controlPr>
        </control>
      </mc:Choice>
      <mc:Fallback>
        <control shapeId="159747" r:id="rId4" name="ComboBox2"/>
      </mc:Fallback>
    </mc:AlternateContent>
    <mc:AlternateContent xmlns:mc="http://schemas.openxmlformats.org/markup-compatibility/2006">
      <mc:Choice Requires="x14">
        <control shapeId="159746" r:id="rId6" name="ComboBox1">
          <controlPr defaultSize="0" autoLine="0" r:id="rId7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11</xdr:col>
                <xdr:colOff>1803400</xdr:colOff>
                <xdr:row>9</xdr:row>
                <xdr:rowOff>38100</xdr:rowOff>
              </to>
            </anchor>
          </controlPr>
        </control>
      </mc:Choice>
      <mc:Fallback>
        <control shapeId="159746" r:id="rId6" name="ComboBox1"/>
      </mc:Fallback>
    </mc:AlternateContent>
    <mc:AlternateContent xmlns:mc="http://schemas.openxmlformats.org/markup-compatibility/2006">
      <mc:Choice Requires="x14">
        <control shapeId="159745" r:id="rId8" name="Button 1">
          <controlPr defaultSize="0" print="0" autoFill="0" autoPict="0" macro="[0]!test2">
            <anchor moveWithCells="1">
              <from>
                <xdr:col>5</xdr:col>
                <xdr:colOff>222250</xdr:colOff>
                <xdr:row>1</xdr:row>
                <xdr:rowOff>139700</xdr:rowOff>
              </from>
              <to>
                <xdr:col>9</xdr:col>
                <xdr:colOff>1143000</xdr:colOff>
                <xdr:row>4</xdr:row>
                <xdr:rowOff>107950</xdr:rowOff>
              </to>
            </anchor>
          </controlPr>
        </control>
      </mc:Choice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76"/>
  <dimension ref="A1:M98"/>
  <sheetViews>
    <sheetView showGridLines="0" zoomScaleNormal="100" workbookViewId="0">
      <pane xSplit="3" ySplit="7" topLeftCell="F8" activePane="bottomRight" state="frozen"/>
      <selection activeCell="C8" sqref="C8"/>
      <selection pane="topRight" activeCell="C8" sqref="C8"/>
      <selection pane="bottomLeft" activeCell="C8" sqref="C8"/>
      <selection pane="bottomRight" activeCell="M2" sqref="M2:M5"/>
    </sheetView>
  </sheetViews>
  <sheetFormatPr baseColWidth="10" defaultColWidth="11.453125" defaultRowHeight="13" x14ac:dyDescent="0.25"/>
  <cols>
    <col min="1" max="2" width="5.6328125" style="1" customWidth="1"/>
    <col min="3" max="3" width="6.6328125" style="1" customWidth="1"/>
    <col min="4" max="4" width="7.54296875" style="1" customWidth="1"/>
    <col min="5" max="5" width="44.453125" style="21" customWidth="1"/>
    <col min="6" max="6" width="10.54296875" style="1" customWidth="1"/>
    <col min="7" max="7" width="13.90625" style="1" customWidth="1"/>
    <col min="8" max="8" width="4.6328125" style="1" hidden="1" customWidth="1"/>
    <col min="9" max="9" width="6.08984375" style="1" customWidth="1"/>
    <col min="10" max="10" width="26.54296875" style="1" customWidth="1"/>
    <col min="11" max="11" width="7.36328125" style="1" customWidth="1"/>
    <col min="12" max="12" width="27" style="24" customWidth="1"/>
    <col min="13" max="13" width="26" style="1" customWidth="1"/>
    <col min="14" max="16384" width="11.453125" style="1"/>
  </cols>
  <sheetData>
    <row r="1" spans="1:13" ht="12.75" customHeight="1" x14ac:dyDescent="0.25">
      <c r="E1" s="71" t="s">
        <v>1023</v>
      </c>
      <c r="F1" s="72"/>
      <c r="L1" s="73" t="s">
        <v>1021</v>
      </c>
      <c r="M1" s="51" t="s">
        <v>1022</v>
      </c>
    </row>
    <row r="2" spans="1:13" ht="12.75" customHeight="1" x14ac:dyDescent="0.25">
      <c r="E2" s="72"/>
      <c r="F2" s="72"/>
      <c r="L2" s="74"/>
      <c r="M2" s="70">
        <f>'18'!M2:M5+1</f>
        <v>42723</v>
      </c>
    </row>
    <row r="3" spans="1:13" ht="12.75" customHeight="1" x14ac:dyDescent="0.25">
      <c r="E3" s="72"/>
      <c r="F3" s="72"/>
      <c r="L3" s="52"/>
      <c r="M3" s="70"/>
    </row>
    <row r="4" spans="1:13" ht="15.75" customHeight="1" x14ac:dyDescent="0.25">
      <c r="E4" s="72"/>
      <c r="F4" s="72"/>
      <c r="L4" s="49" t="s">
        <v>140</v>
      </c>
      <c r="M4" s="70"/>
    </row>
    <row r="5" spans="1:13" ht="21.9" customHeight="1" thickBot="1" x14ac:dyDescent="0.3">
      <c r="L5" s="36"/>
      <c r="M5" s="69">
        <f>M2</f>
        <v>42723</v>
      </c>
    </row>
    <row r="6" spans="1:13" ht="24.9" customHeight="1" x14ac:dyDescent="0.25">
      <c r="A6" s="75" t="s">
        <v>2351</v>
      </c>
      <c r="B6" s="75" t="s">
        <v>2350</v>
      </c>
      <c r="C6" s="76" t="s">
        <v>1362</v>
      </c>
      <c r="D6" s="75" t="s">
        <v>1153</v>
      </c>
      <c r="E6" s="75" t="s">
        <v>1016</v>
      </c>
      <c r="F6" s="76" t="s">
        <v>2352</v>
      </c>
      <c r="G6" s="76" t="s">
        <v>1017</v>
      </c>
      <c r="H6" s="79"/>
      <c r="I6" s="76" t="s">
        <v>1364</v>
      </c>
      <c r="J6" s="76" t="s">
        <v>1363</v>
      </c>
      <c r="K6" s="83" t="s">
        <v>1018</v>
      </c>
      <c r="L6" s="84"/>
      <c r="M6" s="84"/>
    </row>
    <row r="7" spans="1:13" ht="12.5" x14ac:dyDescent="0.25">
      <c r="A7" s="75"/>
      <c r="B7" s="75"/>
      <c r="C7" s="77"/>
      <c r="D7" s="75"/>
      <c r="E7" s="75"/>
      <c r="F7" s="78"/>
      <c r="G7" s="80"/>
      <c r="H7" s="81"/>
      <c r="I7" s="77"/>
      <c r="J7" s="77"/>
      <c r="K7" s="50" t="s">
        <v>1015</v>
      </c>
      <c r="L7" s="50" t="s">
        <v>1019</v>
      </c>
      <c r="M7" s="32" t="s">
        <v>1020</v>
      </c>
    </row>
    <row r="8" spans="1:13" ht="30" customHeight="1" x14ac:dyDescent="0.25">
      <c r="A8" s="45"/>
      <c r="B8" s="45"/>
      <c r="C8" s="30"/>
      <c r="D8" s="46"/>
      <c r="E8" s="27"/>
      <c r="F8" s="31"/>
      <c r="G8" s="82" t="str">
        <f>IF(F8=0,"",VLOOKUP(F8,Employés!$A$2:$B$186,2,0))</f>
        <v/>
      </c>
      <c r="H8" s="82"/>
      <c r="I8" s="34"/>
      <c r="J8" s="33"/>
      <c r="K8" s="19"/>
      <c r="L8" s="20" t="s">
        <v>1420</v>
      </c>
      <c r="M8" s="37" t="str">
        <f>IF(I8=0,"",VLOOKUP(I8,Municipalités!$A$2:$B$1290,2,TRUE))</f>
        <v/>
      </c>
    </row>
    <row r="9" spans="1:13" ht="30" customHeight="1" x14ac:dyDescent="0.25">
      <c r="A9" s="45"/>
      <c r="B9" s="45"/>
      <c r="C9" s="39"/>
      <c r="D9" s="47"/>
      <c r="E9" s="27"/>
      <c r="F9" s="31"/>
      <c r="G9" s="82" t="str">
        <f>IF(F9=0,"",VLOOKUP(F9,Employés!$A$2:$B$186,2,0))</f>
        <v/>
      </c>
      <c r="H9" s="82"/>
      <c r="I9" s="35"/>
      <c r="J9" s="33"/>
      <c r="K9" s="19"/>
      <c r="L9" s="20"/>
      <c r="M9" s="37" t="str">
        <f>IF(I9=0,"",VLOOKUP(I9,Municipalités!$A$2:$B$1290,2,TRUE))</f>
        <v/>
      </c>
    </row>
    <row r="10" spans="1:13" ht="30" customHeight="1" x14ac:dyDescent="0.25">
      <c r="A10" s="45"/>
      <c r="B10" s="45"/>
      <c r="C10" s="39"/>
      <c r="D10" s="48"/>
      <c r="E10" s="28"/>
      <c r="F10" s="31"/>
      <c r="G10" s="82" t="str">
        <f>IF(F10=0,"",VLOOKUP(F10,Employés!$A$2:$B$186,2,0))</f>
        <v/>
      </c>
      <c r="H10" s="82"/>
      <c r="I10" s="35"/>
      <c r="J10" s="29"/>
      <c r="K10" s="19"/>
      <c r="L10" s="20"/>
      <c r="M10" s="37" t="str">
        <f>IF(I10=0,"",VLOOKUP(I10,Municipalités!$A$2:$B$1290,2,TRUE))</f>
        <v/>
      </c>
    </row>
    <row r="11" spans="1:13" ht="30" customHeight="1" x14ac:dyDescent="0.25">
      <c r="A11" s="45"/>
      <c r="B11" s="45"/>
      <c r="C11" s="39"/>
      <c r="D11" s="47"/>
      <c r="E11" s="28" t="s">
        <v>1420</v>
      </c>
      <c r="F11" s="31"/>
      <c r="G11" s="82" t="str">
        <f>IF(F11=0,"",VLOOKUP(F11,Employés!$A$2:$B$186,2,0))</f>
        <v/>
      </c>
      <c r="H11" s="82"/>
      <c r="I11" s="35"/>
      <c r="J11" s="29"/>
      <c r="K11" s="19"/>
      <c r="L11" s="20"/>
      <c r="M11" s="37" t="str">
        <f>IF(I11=0,"",VLOOKUP(I11,Municipalités!$A$2:$B$1290,2,TRUE))</f>
        <v/>
      </c>
    </row>
    <row r="12" spans="1:13" ht="30" customHeight="1" x14ac:dyDescent="0.25">
      <c r="A12" s="45"/>
      <c r="B12" s="45"/>
      <c r="C12" s="39"/>
      <c r="D12" s="46"/>
      <c r="E12" s="27"/>
      <c r="F12" s="31"/>
      <c r="G12" s="82" t="str">
        <f>IF(F12=0,"",VLOOKUP(F12,Employés!$A$2:$B$186,2,0))</f>
        <v/>
      </c>
      <c r="H12" s="82"/>
      <c r="I12" s="35"/>
      <c r="J12" s="29"/>
      <c r="K12" s="19"/>
      <c r="L12" s="20"/>
      <c r="M12" s="37" t="str">
        <f>IF(I12=0,"",VLOOKUP(I12,Municipalités!$A$2:$B$1290,2,TRUE))</f>
        <v/>
      </c>
    </row>
    <row r="13" spans="1:13" ht="30" customHeight="1" x14ac:dyDescent="0.25">
      <c r="A13" s="45"/>
      <c r="B13" s="45"/>
      <c r="C13" s="39"/>
      <c r="D13" s="46"/>
      <c r="E13" s="27"/>
      <c r="F13" s="31"/>
      <c r="G13" s="82" t="str">
        <f>IF(F13=0,"",VLOOKUP(F13,Employés!$A$2:$B$186,2,0))</f>
        <v/>
      </c>
      <c r="H13" s="82"/>
      <c r="I13" s="35"/>
      <c r="J13" s="29"/>
      <c r="K13" s="19"/>
      <c r="L13" s="20"/>
      <c r="M13" s="37" t="str">
        <f>IF(I13=0,"",VLOOKUP(I13,Municipalités!$A$2:$B$1290,2,TRUE))</f>
        <v/>
      </c>
    </row>
    <row r="14" spans="1:13" ht="30" customHeight="1" x14ac:dyDescent="0.25">
      <c r="A14" s="45"/>
      <c r="B14" s="45"/>
      <c r="C14" s="39"/>
      <c r="D14" s="47"/>
      <c r="E14" s="27"/>
      <c r="F14" s="31"/>
      <c r="G14" s="82" t="str">
        <f>IF(F14=0,"",VLOOKUP(F14,Employés!$A$2:$B$186,2,0))</f>
        <v/>
      </c>
      <c r="H14" s="82"/>
      <c r="I14" s="35"/>
      <c r="J14" s="29"/>
      <c r="K14" s="19"/>
      <c r="L14" s="20"/>
      <c r="M14" s="37" t="str">
        <f>IF(I14=0,"",VLOOKUP(I14,Municipalités!$A$2:$B$1290,2,TRUE))</f>
        <v/>
      </c>
    </row>
    <row r="15" spans="1:13" ht="30" customHeight="1" x14ac:dyDescent="0.25">
      <c r="A15" s="45"/>
      <c r="B15" s="45"/>
      <c r="C15" s="39"/>
      <c r="D15" s="47"/>
      <c r="E15" s="27"/>
      <c r="F15" s="31"/>
      <c r="G15" s="82" t="str">
        <f>IF(F15=0,"",VLOOKUP(F15,Employés!$A$2:$B$186,2,0))</f>
        <v/>
      </c>
      <c r="H15" s="82"/>
      <c r="I15" s="35"/>
      <c r="J15" s="29"/>
      <c r="K15" s="19"/>
      <c r="L15" s="20"/>
      <c r="M15" s="37" t="str">
        <f>IF(I15=0,"",VLOOKUP(I15,Municipalités!$A$2:$B$1290,2,TRUE))</f>
        <v/>
      </c>
    </row>
    <row r="16" spans="1:13" ht="30" customHeight="1" x14ac:dyDescent="0.25">
      <c r="A16" s="45"/>
      <c r="B16" s="45"/>
      <c r="C16" s="39"/>
      <c r="D16" s="46"/>
      <c r="E16" s="27"/>
      <c r="F16" s="31"/>
      <c r="G16" s="82" t="str">
        <f>IF(F16=0,"",VLOOKUP(F16,Employés!$A$2:$B$186,2,0))</f>
        <v/>
      </c>
      <c r="H16" s="82"/>
      <c r="I16" s="35"/>
      <c r="J16" s="29"/>
      <c r="K16" s="19"/>
      <c r="L16" s="20"/>
      <c r="M16" s="37" t="str">
        <f>IF(I16=0,"",VLOOKUP(I16,Municipalités!$A$2:$B$1290,2,TRUE))</f>
        <v/>
      </c>
    </row>
    <row r="17" spans="1:13" ht="30" customHeight="1" x14ac:dyDescent="0.25">
      <c r="A17" s="45"/>
      <c r="B17" s="45"/>
      <c r="C17" s="39"/>
      <c r="D17" s="46"/>
      <c r="E17" s="27"/>
      <c r="F17" s="31"/>
      <c r="G17" s="82" t="str">
        <f>IF(F17=0,"",VLOOKUP(F17,Employés!$A$2:$B$186,2,0))</f>
        <v/>
      </c>
      <c r="H17" s="82"/>
      <c r="I17" s="35"/>
      <c r="J17" s="29"/>
      <c r="K17" s="19"/>
      <c r="L17" s="20"/>
      <c r="M17" s="37" t="str">
        <f>IF(I17=0,"",VLOOKUP(I17,Municipalités!$A$2:$B$1290,2,TRUE))</f>
        <v/>
      </c>
    </row>
    <row r="18" spans="1:13" ht="30" customHeight="1" x14ac:dyDescent="0.25">
      <c r="A18" s="45"/>
      <c r="B18" s="45"/>
      <c r="C18" s="39"/>
      <c r="D18" s="46"/>
      <c r="E18" s="27"/>
      <c r="F18" s="31"/>
      <c r="G18" s="82" t="str">
        <f>IF(F18=0,"",VLOOKUP(F18,Employés!$A$2:$B$186,2,0))</f>
        <v/>
      </c>
      <c r="H18" s="82"/>
      <c r="I18" s="35"/>
      <c r="J18" s="29"/>
      <c r="K18" s="19"/>
      <c r="L18" s="20"/>
      <c r="M18" s="37" t="str">
        <f>IF(I18=0,"",VLOOKUP(I18,Municipalités!$A$2:$B$1290,2,TRUE))</f>
        <v/>
      </c>
    </row>
    <row r="19" spans="1:13" ht="30" customHeight="1" x14ac:dyDescent="0.25">
      <c r="A19" s="45"/>
      <c r="B19" s="45"/>
      <c r="C19" s="39"/>
      <c r="D19" s="46"/>
      <c r="E19" s="27"/>
      <c r="F19" s="31"/>
      <c r="G19" s="82" t="str">
        <f>IF(F19=0,"",VLOOKUP(F19,Employés!$A$2:$B$186,2,0))</f>
        <v/>
      </c>
      <c r="H19" s="82"/>
      <c r="I19" s="35"/>
      <c r="J19" s="29"/>
      <c r="K19" s="19"/>
      <c r="L19" s="20"/>
      <c r="M19" s="37" t="str">
        <f>IF(I19=0,"",VLOOKUP(I19,Municipalités!$A$2:$B$1290,2,TRUE))</f>
        <v/>
      </c>
    </row>
    <row r="20" spans="1:13" ht="30" customHeight="1" x14ac:dyDescent="0.25">
      <c r="A20" s="45"/>
      <c r="B20" s="45"/>
      <c r="C20" s="39"/>
      <c r="D20" s="47"/>
      <c r="E20" s="27"/>
      <c r="F20" s="31"/>
      <c r="G20" s="82" t="str">
        <f>IF(F20=0,"",VLOOKUP(F20,Employés!$A$2:$B$186,2,0))</f>
        <v/>
      </c>
      <c r="H20" s="82"/>
      <c r="I20" s="35"/>
      <c r="J20" s="29"/>
      <c r="K20" s="19"/>
      <c r="L20" s="20"/>
      <c r="M20" s="37" t="str">
        <f>IF(I20=0,"",VLOOKUP(I20,Municipalités!$A$2:$B$1290,2,TRUE))</f>
        <v/>
      </c>
    </row>
    <row r="21" spans="1:13" ht="30" customHeight="1" x14ac:dyDescent="0.25">
      <c r="A21" s="45"/>
      <c r="B21" s="45"/>
      <c r="C21" s="39"/>
      <c r="D21" s="47"/>
      <c r="E21" s="27"/>
      <c r="F21" s="31"/>
      <c r="G21" s="82" t="str">
        <f>IF(F21=0,"",VLOOKUP(F21,Employés!$A$2:$B$186,2,0))</f>
        <v/>
      </c>
      <c r="H21" s="82"/>
      <c r="I21" s="35"/>
      <c r="J21" s="29"/>
      <c r="K21" s="19"/>
      <c r="L21" s="20"/>
      <c r="M21" s="37" t="str">
        <f>IF(I21=0,"",VLOOKUP(I21,Municipalités!$A$2:$B$1290,2,TRUE))</f>
        <v/>
      </c>
    </row>
    <row r="22" spans="1:13" ht="30" customHeight="1" x14ac:dyDescent="0.25">
      <c r="A22" s="45"/>
      <c r="B22" s="45"/>
      <c r="C22" s="39"/>
      <c r="D22" s="46"/>
      <c r="E22" s="27"/>
      <c r="F22" s="31"/>
      <c r="G22" s="82" t="str">
        <f>IF(F22=0,"",VLOOKUP(F22,Employés!$A$2:$B$186,2,0))</f>
        <v/>
      </c>
      <c r="H22" s="82"/>
      <c r="I22" s="35"/>
      <c r="J22" s="29"/>
      <c r="K22" s="19"/>
      <c r="L22" s="20"/>
      <c r="M22" s="37" t="str">
        <f>IF(I22=0,"",VLOOKUP(I22,Municipalités!$A$2:$B$1290,2,TRUE))</f>
        <v/>
      </c>
    </row>
    <row r="23" spans="1:13" ht="30" customHeight="1" x14ac:dyDescent="0.25">
      <c r="A23" s="45"/>
      <c r="B23" s="45"/>
      <c r="C23" s="39"/>
      <c r="D23" s="46"/>
      <c r="E23" s="27"/>
      <c r="F23" s="31"/>
      <c r="G23" s="82" t="str">
        <f>IF(F23=0,"",VLOOKUP(F23,Employés!$A$2:$B$186,2,0))</f>
        <v/>
      </c>
      <c r="H23" s="82"/>
      <c r="I23" s="35"/>
      <c r="J23" s="29"/>
      <c r="K23" s="19"/>
      <c r="L23" s="20"/>
      <c r="M23" s="37" t="str">
        <f>IF(I23=0,"",VLOOKUP(I23,Municipalités!$A$2:$B$1290,2,TRUE))</f>
        <v/>
      </c>
    </row>
    <row r="24" spans="1:13" ht="30" customHeight="1" x14ac:dyDescent="0.25">
      <c r="A24" s="45"/>
      <c r="B24" s="45"/>
      <c r="C24" s="39"/>
      <c r="D24" s="46"/>
      <c r="E24" s="27"/>
      <c r="F24" s="31"/>
      <c r="G24" s="82" t="str">
        <f>IF(F24=0,"",VLOOKUP(F24,Employés!$A$2:$B$186,2,0))</f>
        <v/>
      </c>
      <c r="H24" s="82"/>
      <c r="I24" s="35"/>
      <c r="J24" s="29"/>
      <c r="K24" s="19"/>
      <c r="L24" s="20"/>
      <c r="M24" s="37" t="str">
        <f>IF(I24=0,"",VLOOKUP(I24,Municipalités!$A$2:$B$1290,2,TRUE))</f>
        <v/>
      </c>
    </row>
    <row r="25" spans="1:13" ht="30" customHeight="1" x14ac:dyDescent="0.25">
      <c r="A25" s="45"/>
      <c r="B25" s="45"/>
      <c r="C25" s="39"/>
      <c r="D25" s="46"/>
      <c r="E25" s="27"/>
      <c r="F25" s="31"/>
      <c r="G25" s="82" t="str">
        <f>IF(F25=0,"",VLOOKUP(F25,Employés!$A$2:$B$186,2,0))</f>
        <v/>
      </c>
      <c r="H25" s="82"/>
      <c r="I25" s="35"/>
      <c r="J25" s="29"/>
      <c r="K25" s="19"/>
      <c r="L25" s="20"/>
      <c r="M25" s="37" t="str">
        <f>IF(I25=0,"",VLOOKUP(I25,Municipalités!$A$2:$B$1290,2,TRUE))</f>
        <v/>
      </c>
    </row>
    <row r="26" spans="1:13" ht="30" customHeight="1" x14ac:dyDescent="0.25">
      <c r="A26" s="45"/>
      <c r="B26" s="45"/>
      <c r="C26" s="39"/>
      <c r="D26" s="46"/>
      <c r="E26" s="27"/>
      <c r="F26" s="31"/>
      <c r="G26" s="82" t="str">
        <f>IF(F26=0,"",VLOOKUP(F26,Employés!$A$2:$B$186,2,0))</f>
        <v/>
      </c>
      <c r="H26" s="82"/>
      <c r="I26" s="35"/>
      <c r="J26" s="29"/>
      <c r="K26" s="19"/>
      <c r="L26" s="20"/>
      <c r="M26" s="37" t="str">
        <f>IF(I26=0,"",VLOOKUP(I26,Municipalités!$A$2:$B$1290,2,TRUE))</f>
        <v/>
      </c>
    </row>
    <row r="27" spans="1:13" ht="30" customHeight="1" x14ac:dyDescent="0.25">
      <c r="A27" s="45"/>
      <c r="B27" s="45"/>
      <c r="C27" s="39"/>
      <c r="D27" s="46"/>
      <c r="E27" s="27"/>
      <c r="F27" s="31"/>
      <c r="G27" s="82" t="str">
        <f>IF(F27=0,"",VLOOKUP(F27,Employés!$A$2:$B$186,2,0))</f>
        <v/>
      </c>
      <c r="H27" s="82"/>
      <c r="I27" s="35"/>
      <c r="J27" s="29"/>
      <c r="K27" s="19"/>
      <c r="L27" s="20"/>
      <c r="M27" s="37" t="str">
        <f>IF(I27=0,"",VLOOKUP(I27,Municipalités!$A$2:$B$1290,2,TRUE))</f>
        <v/>
      </c>
    </row>
    <row r="28" spans="1:13" ht="30" customHeight="1" x14ac:dyDescent="0.25">
      <c r="A28" s="45"/>
      <c r="B28" s="45"/>
      <c r="C28" s="39"/>
      <c r="D28" s="46"/>
      <c r="E28" s="27"/>
      <c r="F28" s="31"/>
      <c r="G28" s="82" t="str">
        <f>IF(F28=0,"",VLOOKUP(F28,Employés!$A$2:$B$186,2,0))</f>
        <v/>
      </c>
      <c r="H28" s="82"/>
      <c r="I28" s="35"/>
      <c r="J28" s="29"/>
      <c r="K28" s="19"/>
      <c r="L28" s="20"/>
      <c r="M28" s="37" t="str">
        <f>IF(I28=0,"",VLOOKUP(I28,Municipalités!$A$2:$B$1290,2,TRUE))</f>
        <v/>
      </c>
    </row>
    <row r="29" spans="1:13" ht="30" customHeight="1" x14ac:dyDescent="0.25">
      <c r="A29" s="45"/>
      <c r="B29" s="45"/>
      <c r="C29" s="39"/>
      <c r="D29" s="46"/>
      <c r="E29" s="27"/>
      <c r="F29" s="31"/>
      <c r="G29" s="82" t="str">
        <f>IF(F29=0,"",VLOOKUP(F29,Employés!$A$2:$B$186,2,0))</f>
        <v/>
      </c>
      <c r="H29" s="82"/>
      <c r="I29" s="35"/>
      <c r="J29" s="29"/>
      <c r="K29" s="19"/>
      <c r="L29" s="20"/>
      <c r="M29" s="37" t="str">
        <f>IF(I29=0,"",VLOOKUP(I29,Municipalités!$A$2:$B$1290,2,TRUE))</f>
        <v/>
      </c>
    </row>
    <row r="30" spans="1:13" ht="30" customHeight="1" x14ac:dyDescent="0.25">
      <c r="A30" s="45"/>
      <c r="B30" s="45"/>
      <c r="C30" s="39"/>
      <c r="D30" s="46"/>
      <c r="E30" s="27"/>
      <c r="F30" s="31"/>
      <c r="G30" s="82" t="str">
        <f>IF(F30=0,"",VLOOKUP(F30,Employés!$A$2:$B$186,2,0))</f>
        <v/>
      </c>
      <c r="H30" s="82"/>
      <c r="I30" s="35"/>
      <c r="J30" s="29"/>
      <c r="K30" s="19"/>
      <c r="L30" s="20"/>
      <c r="M30" s="37" t="str">
        <f>IF(I30=0,"",VLOOKUP(I30,Municipalités!$A$2:$B$1290,2,TRUE))</f>
        <v/>
      </c>
    </row>
    <row r="31" spans="1:13" ht="30" customHeight="1" x14ac:dyDescent="0.25">
      <c r="A31" s="45"/>
      <c r="B31" s="45"/>
      <c r="C31" s="39"/>
      <c r="D31" s="47"/>
      <c r="E31" s="27"/>
      <c r="F31" s="31"/>
      <c r="G31" s="82" t="str">
        <f>IF(F31=0,"",VLOOKUP(F31,Employés!$A$2:$B$186,2,0))</f>
        <v/>
      </c>
      <c r="H31" s="82"/>
      <c r="I31" s="35"/>
      <c r="J31" s="29"/>
      <c r="K31" s="19"/>
      <c r="L31" s="20"/>
      <c r="M31" s="37" t="str">
        <f>IF(I31=0,"",VLOOKUP(I31,Municipalités!$A$2:$B$1290,2,TRUE))</f>
        <v/>
      </c>
    </row>
    <row r="32" spans="1:13" ht="30" customHeight="1" x14ac:dyDescent="0.25">
      <c r="A32" s="45"/>
      <c r="B32" s="45"/>
      <c r="C32" s="39"/>
      <c r="D32" s="46"/>
      <c r="E32" s="27"/>
      <c r="F32" s="31"/>
      <c r="G32" s="82" t="str">
        <f>IF(F32=0,"",VLOOKUP(F32,Employés!$A$2:$B$186,2,0))</f>
        <v/>
      </c>
      <c r="H32" s="82"/>
      <c r="I32" s="35"/>
      <c r="J32" s="29"/>
      <c r="K32" s="19"/>
      <c r="L32" s="20"/>
      <c r="M32" s="37" t="str">
        <f>IF(I32=0,"",VLOOKUP(I32,Municipalités!$A$2:$B$1290,2,TRUE))</f>
        <v/>
      </c>
    </row>
    <row r="33" spans="1:13" ht="30" customHeight="1" x14ac:dyDescent="0.25">
      <c r="A33" s="45"/>
      <c r="B33" s="45"/>
      <c r="C33" s="39"/>
      <c r="D33" s="46"/>
      <c r="E33" s="27"/>
      <c r="F33" s="31"/>
      <c r="G33" s="82" t="str">
        <f>IF(F33=0,"",VLOOKUP(F33,Employés!$A$2:$B$186,2,0))</f>
        <v/>
      </c>
      <c r="H33" s="82"/>
      <c r="I33" s="35"/>
      <c r="J33" s="29"/>
      <c r="K33" s="19"/>
      <c r="L33" s="20"/>
      <c r="M33" s="37" t="str">
        <f>IF(I33=0,"",VLOOKUP(I33,Municipalités!$A$2:$B$1290,2,TRUE))</f>
        <v/>
      </c>
    </row>
    <row r="34" spans="1:13" ht="30" customHeight="1" x14ac:dyDescent="0.25">
      <c r="A34" s="45"/>
      <c r="B34" s="45"/>
      <c r="C34" s="39"/>
      <c r="D34" s="46"/>
      <c r="E34" s="27"/>
      <c r="F34" s="31"/>
      <c r="G34" s="82" t="str">
        <f>IF(F34=0,"",VLOOKUP(F34,Employés!$A$2:$B$186,2,0))</f>
        <v/>
      </c>
      <c r="H34" s="82"/>
      <c r="I34" s="35"/>
      <c r="J34" s="29"/>
      <c r="K34" s="19"/>
      <c r="L34" s="20"/>
      <c r="M34" s="37" t="str">
        <f>IF(I34=0,"",VLOOKUP(I34,Municipalités!$A$2:$B$1290,2,TRUE))</f>
        <v/>
      </c>
    </row>
    <row r="35" spans="1:13" ht="30" customHeight="1" x14ac:dyDescent="0.25">
      <c r="A35" s="45"/>
      <c r="B35" s="45"/>
      <c r="C35" s="30"/>
      <c r="D35" s="46"/>
      <c r="E35" s="27"/>
      <c r="F35" s="31"/>
      <c r="G35" s="82" t="str">
        <f>IF(F35=0,"",VLOOKUP(F35,Employés!$A$2:$B$186,2,0))</f>
        <v/>
      </c>
      <c r="H35" s="82"/>
      <c r="I35" s="35"/>
      <c r="J35" s="29"/>
      <c r="K35" s="19"/>
      <c r="L35" s="20"/>
      <c r="M35" s="37" t="str">
        <f>IF(I35=0,"",VLOOKUP(I35,Municipalités!$A$2:$B$1290,2,TRUE))</f>
        <v/>
      </c>
    </row>
    <row r="36" spans="1:13" ht="30" customHeight="1" x14ac:dyDescent="0.25">
      <c r="A36" s="45"/>
      <c r="B36" s="45"/>
      <c r="C36" s="30"/>
      <c r="D36" s="46"/>
      <c r="E36" s="27"/>
      <c r="F36" s="31"/>
      <c r="G36" s="82" t="str">
        <f>IF(F36=0,"",VLOOKUP(F36,Employés!$A$2:$B$186,2,0))</f>
        <v/>
      </c>
      <c r="H36" s="82"/>
      <c r="I36" s="35"/>
      <c r="J36" s="29"/>
      <c r="K36" s="19"/>
      <c r="L36" s="20"/>
      <c r="M36" s="37" t="str">
        <f>IF(I36=0,"",VLOOKUP(I36,Municipalités!$A$2:$B$1290,2,TRUE))</f>
        <v/>
      </c>
    </row>
    <row r="37" spans="1:13" ht="30" customHeight="1" x14ac:dyDescent="0.25">
      <c r="A37" s="45"/>
      <c r="B37" s="45"/>
      <c r="C37" s="39"/>
      <c r="D37" s="46"/>
      <c r="E37" s="27"/>
      <c r="F37" s="31"/>
      <c r="G37" s="82" t="str">
        <f>IF(F37=0,"",VLOOKUP(F37,Employés!$A$2:$B$186,2,0))</f>
        <v/>
      </c>
      <c r="H37" s="82"/>
      <c r="I37" s="35"/>
      <c r="J37" s="29"/>
      <c r="K37" s="19"/>
      <c r="L37" s="20"/>
      <c r="M37" s="37" t="str">
        <f>IF(I37=0,"",VLOOKUP(I37,Municipalités!$A$2:$B$1290,2,TRUE))</f>
        <v/>
      </c>
    </row>
    <row r="38" spans="1:13" ht="30" customHeight="1" x14ac:dyDescent="0.25">
      <c r="A38" s="45"/>
      <c r="B38" s="45"/>
      <c r="C38" s="39"/>
      <c r="D38" s="47"/>
      <c r="E38" s="27"/>
      <c r="F38" s="31"/>
      <c r="G38" s="82" t="str">
        <f>IF(F38=0,"",VLOOKUP(F38,Employés!$A$2:$B$186,2,0))</f>
        <v/>
      </c>
      <c r="H38" s="82"/>
      <c r="I38" s="35"/>
      <c r="J38" s="29"/>
      <c r="K38" s="19"/>
      <c r="L38" s="20"/>
      <c r="M38" s="37" t="str">
        <f>IF(I38=0,"",VLOOKUP(I38,Municipalités!$A$2:$B$1290,2,TRUE))</f>
        <v/>
      </c>
    </row>
    <row r="39" spans="1:13" ht="30" customHeight="1" x14ac:dyDescent="0.25">
      <c r="A39" s="45"/>
      <c r="B39" s="45"/>
      <c r="C39" s="39"/>
      <c r="D39" s="45"/>
      <c r="E39" s="27"/>
      <c r="F39" s="31"/>
      <c r="G39" s="82" t="str">
        <f>IF(F39=0,"",VLOOKUP(F39,Employés!$A$2:$B$186,2,0))</f>
        <v/>
      </c>
      <c r="H39" s="82"/>
      <c r="I39" s="35"/>
      <c r="J39" s="29"/>
      <c r="K39" s="26"/>
      <c r="L39" s="25"/>
      <c r="M39" s="37" t="str">
        <f>IF(I39=0,"",VLOOKUP(I39,Municipalités!$A$2:$B$1290,2,TRUE))</f>
        <v/>
      </c>
    </row>
    <row r="40" spans="1:13" ht="30" customHeight="1" x14ac:dyDescent="0.25">
      <c r="A40" s="8"/>
      <c r="B40" s="8"/>
      <c r="C40" s="30"/>
      <c r="D40" s="8"/>
      <c r="E40" s="27"/>
      <c r="F40" s="31"/>
      <c r="G40" s="82" t="str">
        <f>IF(F40=0,"",VLOOKUP(F40,Employés!$A$2:$B$186,2,0))</f>
        <v/>
      </c>
      <c r="H40" s="82"/>
      <c r="I40" s="35"/>
      <c r="J40" s="29"/>
      <c r="K40" s="26"/>
      <c r="L40" s="25"/>
      <c r="M40" s="37" t="str">
        <f>IF(I40=0,"",VLOOKUP(I40,Municipalités!$A$2:$B$1290,2,TRUE))</f>
        <v/>
      </c>
    </row>
    <row r="41" spans="1:13" ht="30" customHeight="1" x14ac:dyDescent="0.25">
      <c r="A41" s="8"/>
      <c r="B41" s="8"/>
      <c r="C41" s="30"/>
      <c r="D41" s="8"/>
      <c r="E41" s="27"/>
      <c r="F41" s="31"/>
      <c r="G41" s="82" t="str">
        <f>IF(F41=0,"",VLOOKUP(F41,Employés!$A$2:$B$186,2,0))</f>
        <v/>
      </c>
      <c r="H41" s="82"/>
      <c r="I41" s="35"/>
      <c r="J41" s="29"/>
      <c r="K41" s="26"/>
      <c r="L41" s="25"/>
      <c r="M41" s="37" t="str">
        <f>IF(I41=0,"",VLOOKUP(I41,Municipalités!$A$2:$B$1290,2,TRUE))</f>
        <v/>
      </c>
    </row>
    <row r="42" spans="1:13" ht="30" customHeight="1" x14ac:dyDescent="0.25">
      <c r="A42" s="8"/>
      <c r="B42" s="8"/>
      <c r="C42" s="30"/>
      <c r="D42" s="8"/>
      <c r="E42" s="27"/>
      <c r="F42" s="31"/>
      <c r="G42" s="82" t="str">
        <f>IF(F42=0,"",VLOOKUP(F42,Employés!$A$2:$B$186,2,0))</f>
        <v/>
      </c>
      <c r="H42" s="82"/>
      <c r="I42" s="35"/>
      <c r="J42" s="29"/>
      <c r="K42" s="26"/>
      <c r="L42" s="25"/>
      <c r="M42" s="37" t="str">
        <f>IF(I42=0,"",VLOOKUP(I42,Municipalités!$A$2:$B$1290,2,TRUE))</f>
        <v/>
      </c>
    </row>
    <row r="43" spans="1:13" ht="30" customHeight="1" x14ac:dyDescent="0.25">
      <c r="A43" s="8"/>
      <c r="B43" s="8"/>
      <c r="C43" s="30"/>
      <c r="D43" s="8"/>
      <c r="E43" s="27" t="s">
        <v>1420</v>
      </c>
      <c r="F43" s="31"/>
      <c r="G43" s="82" t="str">
        <f>IF(F43=0,"",VLOOKUP(F43,Employés!$A$2:$B$186,2,0))</f>
        <v/>
      </c>
      <c r="H43" s="82"/>
      <c r="I43" s="35"/>
      <c r="J43" s="29"/>
      <c r="K43" s="26"/>
      <c r="L43" s="25" t="s">
        <v>1420</v>
      </c>
      <c r="M43" s="37" t="str">
        <f>IF(I43=0,"",VLOOKUP(I43,Municipalités!$A$2:$B$1290,2,TRUE))</f>
        <v/>
      </c>
    </row>
    <row r="44" spans="1:13" ht="30" customHeight="1" x14ac:dyDescent="0.25">
      <c r="A44" s="8"/>
      <c r="B44" s="8"/>
      <c r="C44" s="30"/>
      <c r="D44" s="8"/>
      <c r="E44" s="27"/>
      <c r="F44" s="31"/>
      <c r="G44" s="82" t="str">
        <f>IF(F44=0,"",VLOOKUP(F44,Employés!$A$2:$B$186,2,0))</f>
        <v/>
      </c>
      <c r="H44" s="82"/>
      <c r="I44" s="35"/>
      <c r="J44" s="29"/>
      <c r="K44" s="26"/>
      <c r="L44" s="25"/>
      <c r="M44" s="37" t="str">
        <f>IF(I44=0,"",VLOOKUP(I44,Municipalités!$A$2:$B$1290,2,TRUE))</f>
        <v/>
      </c>
    </row>
    <row r="45" spans="1:13" ht="30" customHeight="1" x14ac:dyDescent="0.25">
      <c r="A45" s="8"/>
      <c r="B45" s="8"/>
      <c r="C45" s="30"/>
      <c r="D45" s="8"/>
      <c r="E45" s="27"/>
      <c r="F45" s="31"/>
      <c r="G45" s="82" t="str">
        <f>IF(F45=0,"",VLOOKUP(F45,Employés!$A$2:$B$186,2,0))</f>
        <v/>
      </c>
      <c r="H45" s="82"/>
      <c r="I45" s="35"/>
      <c r="J45" s="29"/>
      <c r="K45" s="26"/>
      <c r="L45" s="25"/>
      <c r="M45" s="37" t="str">
        <f>IF(I45=0,"",VLOOKUP(I45,Municipalités!$A$2:$B$1290,2,TRUE))</f>
        <v/>
      </c>
    </row>
    <row r="46" spans="1:13" ht="30" customHeight="1" x14ac:dyDescent="0.25">
      <c r="A46" s="8"/>
      <c r="B46" s="8"/>
      <c r="C46" s="30"/>
      <c r="D46" s="8"/>
      <c r="E46" s="27"/>
      <c r="F46" s="31"/>
      <c r="G46" s="82" t="str">
        <f>IF(F46=0,"",VLOOKUP(F46,Employés!$A$2:$B$186,2,0))</f>
        <v/>
      </c>
      <c r="H46" s="82"/>
      <c r="I46" s="35"/>
      <c r="J46" s="29"/>
      <c r="K46" s="26"/>
      <c r="L46" s="25"/>
      <c r="M46" s="37" t="str">
        <f>IF(I46=0,"",VLOOKUP(I46,Municipalités!$A$2:$B$1290,2,TRUE))</f>
        <v/>
      </c>
    </row>
    <row r="47" spans="1:13" ht="30" customHeight="1" x14ac:dyDescent="0.25">
      <c r="A47" s="8"/>
      <c r="B47" s="8"/>
      <c r="C47" s="30"/>
      <c r="D47" s="8"/>
      <c r="E47" s="27"/>
      <c r="F47" s="31"/>
      <c r="G47" s="82" t="str">
        <f>IF(F47=0,"",VLOOKUP(F47,Employés!$A$2:$B$186,2,0))</f>
        <v/>
      </c>
      <c r="H47" s="82"/>
      <c r="I47" s="35"/>
      <c r="J47" s="29"/>
      <c r="K47" s="26"/>
      <c r="L47" s="25"/>
      <c r="M47" s="37" t="str">
        <f>IF(I47=0,"",VLOOKUP(I47,Municipalités!$A$2:$B$1290,2,TRUE))</f>
        <v/>
      </c>
    </row>
    <row r="48" spans="1:13" ht="30" customHeight="1" x14ac:dyDescent="0.25">
      <c r="A48" s="8"/>
      <c r="B48" s="8"/>
      <c r="C48" s="30"/>
      <c r="D48" s="8"/>
      <c r="E48" s="27"/>
      <c r="F48" s="31"/>
      <c r="G48" s="82" t="str">
        <f>IF(F48=0,"",VLOOKUP(F48,Employés!$A$2:$B$186,2,0))</f>
        <v/>
      </c>
      <c r="H48" s="82"/>
      <c r="I48" s="35"/>
      <c r="J48" s="29"/>
      <c r="K48" s="26"/>
      <c r="L48" s="25"/>
      <c r="M48" s="37" t="str">
        <f>IF(I48=0,"",VLOOKUP(I48,Municipalités!$A$2:$B$1290,2,TRUE))</f>
        <v/>
      </c>
    </row>
    <row r="49" spans="1:13" ht="30" customHeight="1" x14ac:dyDescent="0.25">
      <c r="A49" s="8"/>
      <c r="B49" s="8"/>
      <c r="C49" s="30"/>
      <c r="D49" s="8"/>
      <c r="E49" s="27"/>
      <c r="F49" s="31"/>
      <c r="G49" s="82" t="str">
        <f>IF(F49=0,"",VLOOKUP(F49,Employés!$A$2:$B$186,2,0))</f>
        <v/>
      </c>
      <c r="H49" s="82"/>
      <c r="I49" s="35"/>
      <c r="J49" s="29"/>
      <c r="K49" s="26"/>
      <c r="L49" s="25"/>
      <c r="M49" s="37" t="str">
        <f>IF(I49=0,"",VLOOKUP(I49,Municipalités!$A$2:$B$1290,2,TRUE))</f>
        <v/>
      </c>
    </row>
    <row r="50" spans="1:13" ht="30" customHeight="1" x14ac:dyDescent="0.25">
      <c r="A50" s="8"/>
      <c r="B50" s="8"/>
      <c r="C50" s="30"/>
      <c r="D50" s="8"/>
      <c r="E50" s="27"/>
      <c r="F50" s="31"/>
      <c r="G50" s="82" t="str">
        <f>IF(F50=0,"",VLOOKUP(F50,Employés!$A$2:$B$186,2,0))</f>
        <v/>
      </c>
      <c r="H50" s="82"/>
      <c r="I50" s="35"/>
      <c r="J50" s="29"/>
      <c r="K50" s="26"/>
      <c r="L50" s="25"/>
      <c r="M50" s="37" t="str">
        <f>IF(I50=0,"",VLOOKUP(I50,Municipalités!$A$2:$B$1290,2,TRUE))</f>
        <v/>
      </c>
    </row>
    <row r="51" spans="1:13" ht="30" customHeight="1" x14ac:dyDescent="0.25">
      <c r="A51" s="8"/>
      <c r="B51" s="8"/>
      <c r="C51" s="30"/>
      <c r="D51" s="8"/>
      <c r="E51" s="27"/>
      <c r="F51" s="31"/>
      <c r="G51" s="82" t="str">
        <f>IF(F51=0,"",VLOOKUP(F51,Employés!$A$2:$B$186,2,0))</f>
        <v/>
      </c>
      <c r="H51" s="82"/>
      <c r="I51" s="35"/>
      <c r="J51" s="29"/>
      <c r="K51" s="26"/>
      <c r="L51" s="25"/>
      <c r="M51" s="37" t="str">
        <f>IF(I51=0,"",VLOOKUP(I51,Municipalités!$A$2:$B$1290,2,TRUE))</f>
        <v/>
      </c>
    </row>
    <row r="52" spans="1:13" ht="30" customHeight="1" x14ac:dyDescent="0.25">
      <c r="A52" s="8"/>
      <c r="B52" s="8"/>
      <c r="C52" s="30"/>
      <c r="D52" s="8"/>
      <c r="E52" s="27"/>
      <c r="F52" s="31"/>
      <c r="G52" s="82" t="str">
        <f>IF(F52=0,"",VLOOKUP(F52,Employés!$A$2:$B$186,2,0))</f>
        <v/>
      </c>
      <c r="H52" s="82"/>
      <c r="I52" s="35"/>
      <c r="J52" s="29"/>
      <c r="K52" s="26"/>
      <c r="L52" s="25"/>
      <c r="M52" s="37" t="str">
        <f>IF(I52=0,"",VLOOKUP(I52,Municipalités!$A$2:$B$1290,2,TRUE))</f>
        <v/>
      </c>
    </row>
    <row r="53" spans="1:13" ht="30" customHeight="1" x14ac:dyDescent="0.25">
      <c r="A53" s="8"/>
      <c r="B53" s="8"/>
      <c r="C53" s="30"/>
      <c r="D53" s="8"/>
      <c r="E53" s="27"/>
      <c r="F53" s="31"/>
      <c r="G53" s="82" t="str">
        <f>IF(F53=0,"",VLOOKUP(F53,Employés!$A$2:$B$186,2,0))</f>
        <v/>
      </c>
      <c r="H53" s="82"/>
      <c r="I53" s="35"/>
      <c r="J53" s="29"/>
      <c r="K53" s="26"/>
      <c r="L53" s="25"/>
      <c r="M53" s="37" t="str">
        <f>IF(I53=0,"",VLOOKUP(I53,Municipalités!$A$2:$B$1290,2,TRUE))</f>
        <v/>
      </c>
    </row>
    <row r="54" spans="1:13" ht="30" customHeight="1" x14ac:dyDescent="0.25">
      <c r="A54" s="8"/>
      <c r="B54" s="8"/>
      <c r="C54" s="30"/>
      <c r="D54" s="8"/>
      <c r="E54" s="27"/>
      <c r="F54" s="31"/>
      <c r="G54" s="82" t="str">
        <f>IF(F54=0,"",VLOOKUP(F54,Employés!$A$2:$B$186,2,0))</f>
        <v/>
      </c>
      <c r="H54" s="82"/>
      <c r="I54" s="35"/>
      <c r="J54" s="29"/>
      <c r="K54" s="26"/>
      <c r="L54" s="25"/>
      <c r="M54" s="37" t="str">
        <f>IF(I54=0,"",VLOOKUP(I54,Municipalités!$A$2:$B$1290,2,TRUE))</f>
        <v/>
      </c>
    </row>
    <row r="55" spans="1:13" ht="30" customHeight="1" x14ac:dyDescent="0.25">
      <c r="A55" s="8"/>
      <c r="B55" s="8"/>
      <c r="C55" s="30"/>
      <c r="D55" s="8"/>
      <c r="E55" s="27"/>
      <c r="F55" s="31"/>
      <c r="G55" s="82" t="str">
        <f>IF(F55=0,"",VLOOKUP(F55,Employés!$A$2:$B$186,2,0))</f>
        <v/>
      </c>
      <c r="H55" s="82"/>
      <c r="I55" s="35"/>
      <c r="J55" s="29"/>
      <c r="K55" s="26"/>
      <c r="L55" s="25"/>
      <c r="M55" s="37" t="str">
        <f>IF(I55=0,"",VLOOKUP(I55,Municipalités!$A$2:$B$1290,2,TRUE))</f>
        <v/>
      </c>
    </row>
    <row r="56" spans="1:13" ht="30" customHeight="1" x14ac:dyDescent="0.25">
      <c r="A56" s="8"/>
      <c r="B56" s="8"/>
      <c r="C56" s="30"/>
      <c r="D56" s="8"/>
      <c r="E56" s="27"/>
      <c r="F56" s="31"/>
      <c r="G56" s="82" t="str">
        <f>IF(F56=0,"",VLOOKUP(F56,Employés!$A$2:$B$186,2,0))</f>
        <v/>
      </c>
      <c r="H56" s="82"/>
      <c r="I56" s="35"/>
      <c r="J56" s="29"/>
      <c r="K56" s="26"/>
      <c r="L56" s="25"/>
      <c r="M56" s="37" t="str">
        <f>IF(I56=0,"",VLOOKUP(I56,Municipalités!$A$2:$B$1290,2,TRUE))</f>
        <v/>
      </c>
    </row>
    <row r="57" spans="1:13" ht="30" customHeight="1" x14ac:dyDescent="0.25">
      <c r="A57" s="8"/>
      <c r="B57" s="8"/>
      <c r="C57" s="30"/>
      <c r="D57" s="8"/>
      <c r="E57" s="27"/>
      <c r="F57" s="31"/>
      <c r="G57" s="82" t="str">
        <f>IF(F57=0,"",VLOOKUP(F57,Employés!$A$2:$B$186,2,0))</f>
        <v/>
      </c>
      <c r="H57" s="82"/>
      <c r="I57" s="35"/>
      <c r="J57" s="29"/>
      <c r="K57" s="26"/>
      <c r="L57" s="25"/>
      <c r="M57" s="37" t="str">
        <f>IF(I57=0,"",VLOOKUP(I57,Municipalités!$A$2:$B$1290,2,TRUE))</f>
        <v/>
      </c>
    </row>
    <row r="58" spans="1:13" ht="30" customHeight="1" x14ac:dyDescent="0.25">
      <c r="A58" s="8"/>
      <c r="B58" s="8"/>
      <c r="C58" s="30"/>
      <c r="D58" s="8"/>
      <c r="E58" s="27"/>
      <c r="F58" s="31"/>
      <c r="G58" s="82" t="str">
        <f>IF(F58=0,"",VLOOKUP(F58,Employés!$A$2:$B$186,2,0))</f>
        <v/>
      </c>
      <c r="H58" s="82"/>
      <c r="I58" s="35"/>
      <c r="J58" s="29"/>
      <c r="K58" s="26"/>
      <c r="L58" s="25"/>
      <c r="M58" s="37" t="str">
        <f>IF(I58=0,"",VLOOKUP(I58,Municipalités!$A$2:$B$1290,2,TRUE))</f>
        <v/>
      </c>
    </row>
    <row r="59" spans="1:13" ht="30" customHeight="1" x14ac:dyDescent="0.25">
      <c r="A59" s="8"/>
      <c r="B59" s="8"/>
      <c r="C59" s="30"/>
      <c r="D59" s="8"/>
      <c r="E59" s="27"/>
      <c r="F59" s="31"/>
      <c r="G59" s="82" t="str">
        <f>IF(F59=0,"",VLOOKUP(F59,Employés!$A$2:$B$186,2,0))</f>
        <v/>
      </c>
      <c r="H59" s="82"/>
      <c r="I59" s="35"/>
      <c r="J59" s="29"/>
      <c r="K59" s="26"/>
      <c r="L59" s="25"/>
      <c r="M59" s="37" t="str">
        <f>IF(I59=0,"",VLOOKUP(I59,Municipalités!$A$2:$B$1290,2,TRUE))</f>
        <v/>
      </c>
    </row>
    <row r="60" spans="1:13" ht="30" customHeight="1" x14ac:dyDescent="0.25">
      <c r="A60" s="8"/>
      <c r="B60" s="8"/>
      <c r="C60" s="30"/>
      <c r="D60" s="8"/>
      <c r="E60" s="27"/>
      <c r="F60" s="31"/>
      <c r="G60" s="82" t="str">
        <f>IF(F60=0,"",VLOOKUP(F60,Employés!$A$2:$B$186,2,0))</f>
        <v/>
      </c>
      <c r="H60" s="82"/>
      <c r="I60" s="35"/>
      <c r="J60" s="29"/>
      <c r="K60" s="26"/>
      <c r="L60" s="25"/>
      <c r="M60" s="37" t="str">
        <f>IF(I60=0,"",VLOOKUP(I60,Municipalités!$A$2:$B$1290,2,TRUE))</f>
        <v/>
      </c>
    </row>
    <row r="61" spans="1:13" ht="30" customHeight="1" x14ac:dyDescent="0.25">
      <c r="A61" s="8"/>
      <c r="B61" s="8"/>
      <c r="C61" s="30"/>
      <c r="D61" s="8"/>
      <c r="E61" s="27"/>
      <c r="F61" s="31"/>
      <c r="G61" s="82" t="str">
        <f>IF(F61=0,"",VLOOKUP(F61,Employés!$A$2:$B$186,2,0))</f>
        <v/>
      </c>
      <c r="H61" s="82"/>
      <c r="I61" s="35"/>
      <c r="J61" s="29"/>
      <c r="K61" s="26"/>
      <c r="L61" s="25"/>
      <c r="M61" s="37" t="str">
        <f>IF(I61=0,"",VLOOKUP(I61,Municipalités!$A$2:$B$1290,2,TRUE))</f>
        <v/>
      </c>
    </row>
    <row r="62" spans="1:13" x14ac:dyDescent="0.25">
      <c r="C62" s="14"/>
    </row>
    <row r="63" spans="1:13" x14ac:dyDescent="0.25">
      <c r="C63" s="14"/>
    </row>
    <row r="64" spans="1:13" x14ac:dyDescent="0.25">
      <c r="C64" s="14"/>
    </row>
    <row r="65" spans="3:5" x14ac:dyDescent="0.25">
      <c r="C65" s="14"/>
    </row>
    <row r="66" spans="3:5" x14ac:dyDescent="0.25">
      <c r="C66" s="14"/>
    </row>
    <row r="67" spans="3:5" x14ac:dyDescent="0.25">
      <c r="C67" s="14"/>
    </row>
    <row r="68" spans="3:5" x14ac:dyDescent="0.25">
      <c r="C68" s="14"/>
    </row>
    <row r="69" spans="3:5" x14ac:dyDescent="0.25">
      <c r="C69" s="14"/>
    </row>
    <row r="70" spans="3:5" x14ac:dyDescent="0.25">
      <c r="C70" s="14"/>
    </row>
    <row r="71" spans="3:5" x14ac:dyDescent="0.25">
      <c r="C71" s="14"/>
    </row>
    <row r="72" spans="3:5" x14ac:dyDescent="0.25">
      <c r="C72" s="14"/>
    </row>
    <row r="73" spans="3:5" x14ac:dyDescent="0.25">
      <c r="C73" s="14"/>
    </row>
    <row r="74" spans="3:5" x14ac:dyDescent="0.25">
      <c r="C74" s="14"/>
    </row>
    <row r="75" spans="3:5" x14ac:dyDescent="0.25">
      <c r="C75" s="14"/>
    </row>
    <row r="76" spans="3:5" x14ac:dyDescent="0.25">
      <c r="C76" s="14"/>
    </row>
    <row r="77" spans="3:5" x14ac:dyDescent="0.25">
      <c r="C77" s="14"/>
    </row>
    <row r="78" spans="3:5" x14ac:dyDescent="0.25">
      <c r="C78" s="14"/>
      <c r="E78" s="21" t="s">
        <v>1420</v>
      </c>
    </row>
    <row r="79" spans="3:5" x14ac:dyDescent="0.25">
      <c r="C79" s="14"/>
    </row>
    <row r="80" spans="3:5" x14ac:dyDescent="0.25">
      <c r="C80" s="14"/>
    </row>
    <row r="81" spans="3:3" x14ac:dyDescent="0.25">
      <c r="C81" s="14"/>
    </row>
    <row r="82" spans="3:3" x14ac:dyDescent="0.25">
      <c r="C82" s="14"/>
    </row>
    <row r="83" spans="3:3" x14ac:dyDescent="0.25">
      <c r="C83" s="14"/>
    </row>
    <row r="84" spans="3:3" x14ac:dyDescent="0.25">
      <c r="C84" s="14"/>
    </row>
    <row r="85" spans="3:3" x14ac:dyDescent="0.25">
      <c r="C85" s="14"/>
    </row>
    <row r="86" spans="3:3" x14ac:dyDescent="0.25">
      <c r="C86" s="14"/>
    </row>
    <row r="87" spans="3:3" x14ac:dyDescent="0.25">
      <c r="C87" s="14"/>
    </row>
    <row r="88" spans="3:3" x14ac:dyDescent="0.25">
      <c r="C88" s="14"/>
    </row>
    <row r="89" spans="3:3" x14ac:dyDescent="0.25">
      <c r="C89" s="14"/>
    </row>
    <row r="90" spans="3:3" x14ac:dyDescent="0.25">
      <c r="C90" s="14"/>
    </row>
    <row r="91" spans="3:3" x14ac:dyDescent="0.25">
      <c r="C91" s="14"/>
    </row>
    <row r="92" spans="3:3" x14ac:dyDescent="0.25">
      <c r="C92" s="14"/>
    </row>
    <row r="93" spans="3:3" x14ac:dyDescent="0.25">
      <c r="C93" s="14"/>
    </row>
    <row r="94" spans="3:3" x14ac:dyDescent="0.25">
      <c r="C94" s="14"/>
    </row>
    <row r="95" spans="3:3" x14ac:dyDescent="0.25">
      <c r="C95" s="14"/>
    </row>
    <row r="96" spans="3:3" x14ac:dyDescent="0.25">
      <c r="C96" s="14"/>
    </row>
    <row r="97" spans="3:3" x14ac:dyDescent="0.25">
      <c r="C97" s="14"/>
    </row>
    <row r="98" spans="3:3" x14ac:dyDescent="0.25">
      <c r="C98" s="14"/>
    </row>
  </sheetData>
  <mergeCells count="67">
    <mergeCell ref="G59:H59"/>
    <mergeCell ref="G60:H60"/>
    <mergeCell ref="G61:H61"/>
    <mergeCell ref="G53:H53"/>
    <mergeCell ref="G54:H54"/>
    <mergeCell ref="G55:H55"/>
    <mergeCell ref="G56:H56"/>
    <mergeCell ref="G57:H57"/>
    <mergeCell ref="G58:H58"/>
    <mergeCell ref="G52:H52"/>
    <mergeCell ref="G41:H41"/>
    <mergeCell ref="G42:H42"/>
    <mergeCell ref="G43:H43"/>
    <mergeCell ref="G44:H44"/>
    <mergeCell ref="G45:H45"/>
    <mergeCell ref="G46:H46"/>
    <mergeCell ref="G47:H47"/>
    <mergeCell ref="G48:H48"/>
    <mergeCell ref="G49:H49"/>
    <mergeCell ref="G50:H50"/>
    <mergeCell ref="G51:H51"/>
    <mergeCell ref="G40:H40"/>
    <mergeCell ref="G29:H29"/>
    <mergeCell ref="G30:H30"/>
    <mergeCell ref="G31:H31"/>
    <mergeCell ref="G32:H32"/>
    <mergeCell ref="G33:H33"/>
    <mergeCell ref="G34:H34"/>
    <mergeCell ref="G35:H35"/>
    <mergeCell ref="G36:H36"/>
    <mergeCell ref="G37:H37"/>
    <mergeCell ref="G38:H38"/>
    <mergeCell ref="G39:H39"/>
    <mergeCell ref="G28:H28"/>
    <mergeCell ref="G17:H17"/>
    <mergeCell ref="G18:H18"/>
    <mergeCell ref="G19:H19"/>
    <mergeCell ref="G20:H20"/>
    <mergeCell ref="G21:H21"/>
    <mergeCell ref="G22:H22"/>
    <mergeCell ref="G23:H23"/>
    <mergeCell ref="G24:H24"/>
    <mergeCell ref="G25:H25"/>
    <mergeCell ref="G26:H26"/>
    <mergeCell ref="G27:H27"/>
    <mergeCell ref="M2:M4"/>
    <mergeCell ref="G16:H16"/>
    <mergeCell ref="I6:I7"/>
    <mergeCell ref="J6:J7"/>
    <mergeCell ref="K6:M6"/>
    <mergeCell ref="G8:H8"/>
    <mergeCell ref="G9:H9"/>
    <mergeCell ref="G10:H10"/>
    <mergeCell ref="G11:H11"/>
    <mergeCell ref="G12:H12"/>
    <mergeCell ref="G13:H13"/>
    <mergeCell ref="G14:H14"/>
    <mergeCell ref="G15:H15"/>
    <mergeCell ref="E1:F4"/>
    <mergeCell ref="L1:L2"/>
    <mergeCell ref="A6:A7"/>
    <mergeCell ref="B6:B7"/>
    <mergeCell ref="C6:C7"/>
    <mergeCell ref="D6:D7"/>
    <mergeCell ref="E6:E7"/>
    <mergeCell ref="F6:F7"/>
    <mergeCell ref="G6:H7"/>
  </mergeCells>
  <conditionalFormatting sqref="C16:C21 C23:C45">
    <cfRule type="expression" dxfId="77" priority="7" stopIfTrue="1">
      <formula>#REF!=1</formula>
    </cfRule>
    <cfRule type="expression" priority="8" stopIfTrue="1">
      <formula>#REF!=2</formula>
    </cfRule>
    <cfRule type="expression" dxfId="76" priority="9" stopIfTrue="1">
      <formula>#REF!=3</formula>
    </cfRule>
  </conditionalFormatting>
  <conditionalFormatting sqref="C22">
    <cfRule type="expression" dxfId="75" priority="4" stopIfTrue="1">
      <formula>#REF!=1</formula>
    </cfRule>
    <cfRule type="expression" priority="5" stopIfTrue="1">
      <formula>#REF!=2</formula>
    </cfRule>
    <cfRule type="expression" dxfId="74" priority="6" stopIfTrue="1">
      <formula>#REF!=3</formula>
    </cfRule>
  </conditionalFormatting>
  <conditionalFormatting sqref="C46:C61">
    <cfRule type="expression" dxfId="73" priority="1" stopIfTrue="1">
      <formula>#REF!=1</formula>
    </cfRule>
    <cfRule type="expression" priority="2" stopIfTrue="1">
      <formula>#REF!=2</formula>
    </cfRule>
    <cfRule type="expression" dxfId="72" priority="3" stopIfTrue="1">
      <formula>#REF!=3</formula>
    </cfRule>
  </conditionalFormatting>
  <dataValidations count="2">
    <dataValidation type="textLength" operator="greaterThanOrEqual" allowBlank="1" showInputMessage="1" showErrorMessage="1" errorTitle="Saisie incorrecte" error="Re-saisir le numéro d'entrée en utilisant 3 chiffres_x000a_Ex.: 001" promptTitle="Saisie du numéro d'entrée" prompt="Minimum 3 chiffres_x000a_Ex.: 001" sqref="C8:C39" xr:uid="{00000000-0002-0000-1200-000000000000}">
      <formula1>3</formula1>
    </dataValidation>
    <dataValidation operator="greaterThan" allowBlank="1" showDropDown="1" showInputMessage="1" showErrorMessage="1" errorTitle="Saisie incorrecte" error="Re-Saisir le numéro de dossier sous le format_x000a_000-000000-000" promptTitle="Saisie du numéro d'événement" prompt="000-000000-000_x000a_Ex. : 071-030901-001" sqref="J8:J39" xr:uid="{00000000-0002-0000-1200-000001000000}"/>
  </dataValidations>
  <printOptions horizontalCentered="1" verticalCentered="1"/>
  <pageMargins left="0" right="0" top="0.31496062992125984" bottom="0.39370078740157483" header="0.15748031496062992" footer="0.19685039370078741"/>
  <pageSetup paperSize="5" scale="90" orientation="landscape" r:id="rId1"/>
  <headerFooter alignWithMargins="0">
    <oddFooter>&amp;R&amp;8Page &amp;P de &amp;N</oddFooter>
  </headerFooter>
  <drawing r:id="rId2"/>
  <legacyDrawing r:id="rId3"/>
  <controls>
    <mc:AlternateContent xmlns:mc="http://schemas.openxmlformats.org/markup-compatibility/2006">
      <mc:Choice Requires="x14">
        <control shapeId="160771" r:id="rId4" name="ComboBox2">
          <controlPr defaultSize="0" autoLine="0" r:id="rId5">
            <anchor moveWithCells="1">
              <from>
                <xdr:col>4</xdr:col>
                <xdr:colOff>0</xdr:colOff>
                <xdr:row>10</xdr:row>
                <xdr:rowOff>0</xdr:rowOff>
              </from>
              <to>
                <xdr:col>4</xdr:col>
                <xdr:colOff>2965450</xdr:colOff>
                <xdr:row>11</xdr:row>
                <xdr:rowOff>38100</xdr:rowOff>
              </to>
            </anchor>
          </controlPr>
        </control>
      </mc:Choice>
      <mc:Fallback>
        <control shapeId="160771" r:id="rId4" name="ComboBox2"/>
      </mc:Fallback>
    </mc:AlternateContent>
    <mc:AlternateContent xmlns:mc="http://schemas.openxmlformats.org/markup-compatibility/2006">
      <mc:Choice Requires="x14">
        <control shapeId="160770" r:id="rId6" name="ComboBox1">
          <controlPr defaultSize="0" autoLine="0" r:id="rId7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11</xdr:col>
                <xdr:colOff>1803400</xdr:colOff>
                <xdr:row>9</xdr:row>
                <xdr:rowOff>38100</xdr:rowOff>
              </to>
            </anchor>
          </controlPr>
        </control>
      </mc:Choice>
      <mc:Fallback>
        <control shapeId="160770" r:id="rId6" name="ComboBox1"/>
      </mc:Fallback>
    </mc:AlternateContent>
    <mc:AlternateContent xmlns:mc="http://schemas.openxmlformats.org/markup-compatibility/2006">
      <mc:Choice Requires="x14">
        <control shapeId="160769" r:id="rId8" name="Button 1">
          <controlPr defaultSize="0" print="0" autoFill="0" autoPict="0" macro="[0]!test2">
            <anchor moveWithCells="1">
              <from>
                <xdr:col>5</xdr:col>
                <xdr:colOff>222250</xdr:colOff>
                <xdr:row>1</xdr:row>
                <xdr:rowOff>139700</xdr:rowOff>
              </from>
              <to>
                <xdr:col>9</xdr:col>
                <xdr:colOff>1143000</xdr:colOff>
                <xdr:row>4</xdr:row>
                <xdr:rowOff>107950</xdr:rowOff>
              </to>
            </anchor>
          </controlPr>
        </control>
      </mc:Choice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77"/>
  <dimension ref="A1:M98"/>
  <sheetViews>
    <sheetView showGridLines="0" tabSelected="1" zoomScale="160" zoomScaleNormal="160" workbookViewId="0">
      <pane xSplit="3" ySplit="7" topLeftCell="F8" activePane="bottomRight" state="frozen"/>
      <selection activeCell="C8" sqref="C8"/>
      <selection pane="topRight" activeCell="C8" sqref="C8"/>
      <selection pane="bottomLeft" activeCell="C8" sqref="C8"/>
      <selection pane="bottomRight" activeCell="M2" sqref="M2:M5"/>
    </sheetView>
  </sheetViews>
  <sheetFormatPr baseColWidth="10" defaultColWidth="11.453125" defaultRowHeight="13" x14ac:dyDescent="0.25"/>
  <cols>
    <col min="1" max="2" width="5.6328125" style="1" customWidth="1"/>
    <col min="3" max="3" width="6.6328125" style="1" customWidth="1"/>
    <col min="4" max="4" width="7.54296875" style="1" customWidth="1"/>
    <col min="5" max="5" width="44.453125" style="21" customWidth="1"/>
    <col min="6" max="6" width="10.54296875" style="1" customWidth="1"/>
    <col min="7" max="7" width="13.90625" style="1" customWidth="1"/>
    <col min="8" max="8" width="4.6328125" style="1" hidden="1" customWidth="1"/>
    <col min="9" max="9" width="6.08984375" style="1" customWidth="1"/>
    <col min="10" max="10" width="26.54296875" style="1" customWidth="1"/>
    <col min="11" max="11" width="7.36328125" style="1" customWidth="1"/>
    <col min="12" max="12" width="27" style="24" customWidth="1"/>
    <col min="13" max="13" width="26" style="1" customWidth="1"/>
    <col min="14" max="16384" width="11.453125" style="1"/>
  </cols>
  <sheetData>
    <row r="1" spans="1:13" ht="12.75" customHeight="1" x14ac:dyDescent="0.25">
      <c r="E1" s="71" t="s">
        <v>1023</v>
      </c>
      <c r="F1" s="72"/>
      <c r="L1" s="73" t="s">
        <v>1021</v>
      </c>
      <c r="M1" s="51" t="s">
        <v>1022</v>
      </c>
    </row>
    <row r="2" spans="1:13" ht="12.75" customHeight="1" x14ac:dyDescent="0.25">
      <c r="E2" s="72"/>
      <c r="F2" s="72"/>
      <c r="L2" s="74"/>
      <c r="M2" s="70">
        <f>'19'!M2:M5+1</f>
        <v>42724</v>
      </c>
    </row>
    <row r="3" spans="1:13" ht="12.75" customHeight="1" x14ac:dyDescent="0.25">
      <c r="E3" s="72"/>
      <c r="F3" s="72"/>
      <c r="L3" s="52"/>
      <c r="M3" s="70"/>
    </row>
    <row r="4" spans="1:13" ht="15.75" customHeight="1" x14ac:dyDescent="0.25">
      <c r="E4" s="72"/>
      <c r="F4" s="72"/>
      <c r="L4" s="49" t="s">
        <v>140</v>
      </c>
      <c r="M4" s="70"/>
    </row>
    <row r="5" spans="1:13" ht="21.9" customHeight="1" thickBot="1" x14ac:dyDescent="0.3">
      <c r="L5" s="36"/>
      <c r="M5" s="69">
        <f>M2</f>
        <v>42724</v>
      </c>
    </row>
    <row r="6" spans="1:13" ht="24.9" customHeight="1" x14ac:dyDescent="0.25">
      <c r="A6" s="75" t="s">
        <v>2351</v>
      </c>
      <c r="B6" s="75" t="s">
        <v>2350</v>
      </c>
      <c r="C6" s="76" t="s">
        <v>1362</v>
      </c>
      <c r="D6" s="75" t="s">
        <v>1153</v>
      </c>
      <c r="E6" s="75" t="s">
        <v>1016</v>
      </c>
      <c r="F6" s="76" t="s">
        <v>2352</v>
      </c>
      <c r="G6" s="76" t="s">
        <v>1017</v>
      </c>
      <c r="H6" s="79"/>
      <c r="I6" s="76" t="s">
        <v>1364</v>
      </c>
      <c r="J6" s="76" t="s">
        <v>1363</v>
      </c>
      <c r="K6" s="83" t="s">
        <v>1018</v>
      </c>
      <c r="L6" s="84"/>
      <c r="M6" s="84"/>
    </row>
    <row r="7" spans="1:13" ht="12.5" x14ac:dyDescent="0.25">
      <c r="A7" s="75"/>
      <c r="B7" s="75"/>
      <c r="C7" s="77"/>
      <c r="D7" s="75"/>
      <c r="E7" s="75"/>
      <c r="F7" s="78"/>
      <c r="G7" s="80"/>
      <c r="H7" s="81"/>
      <c r="I7" s="77"/>
      <c r="J7" s="77"/>
      <c r="K7" s="50" t="s">
        <v>1015</v>
      </c>
      <c r="L7" s="50" t="s">
        <v>1019</v>
      </c>
      <c r="M7" s="32" t="s">
        <v>1020</v>
      </c>
    </row>
    <row r="8" spans="1:13" ht="30" customHeight="1" x14ac:dyDescent="0.25">
      <c r="A8" s="45"/>
      <c r="B8" s="45"/>
      <c r="C8" s="30"/>
      <c r="D8" s="46"/>
      <c r="E8" s="27"/>
      <c r="F8" s="31"/>
      <c r="G8" s="82" t="str">
        <f>IF(F8=0,"",VLOOKUP(F8,Employés!$A$2:$B$186,2,0))</f>
        <v/>
      </c>
      <c r="H8" s="82"/>
      <c r="I8" s="34"/>
      <c r="J8" s="33"/>
      <c r="K8" s="19"/>
      <c r="L8" s="20" t="s">
        <v>1420</v>
      </c>
      <c r="M8" s="37" t="str">
        <f>IF(I8=0,"",VLOOKUP(I8,Municipalités!$A$2:$B$1290,2,TRUE))</f>
        <v/>
      </c>
    </row>
    <row r="9" spans="1:13" ht="30" customHeight="1" x14ac:dyDescent="0.25">
      <c r="A9" s="45"/>
      <c r="B9" s="45"/>
      <c r="C9" s="39"/>
      <c r="D9" s="47"/>
      <c r="E9" s="27"/>
      <c r="F9" s="31"/>
      <c r="G9" s="82" t="str">
        <f>IF(F9=0,"",VLOOKUP(F9,Employés!$A$2:$B$186,2,0))</f>
        <v/>
      </c>
      <c r="H9" s="82"/>
      <c r="I9" s="35"/>
      <c r="J9" s="33"/>
      <c r="K9" s="19"/>
      <c r="L9" s="20"/>
      <c r="M9" s="37" t="str">
        <f>IF(I9=0,"",VLOOKUP(I9,Municipalités!$A$2:$B$1290,2,TRUE))</f>
        <v/>
      </c>
    </row>
    <row r="10" spans="1:13" ht="30" customHeight="1" x14ac:dyDescent="0.25">
      <c r="A10" s="45"/>
      <c r="B10" s="45"/>
      <c r="C10" s="39"/>
      <c r="D10" s="48"/>
      <c r="E10" s="28"/>
      <c r="F10" s="31"/>
      <c r="G10" s="82" t="str">
        <f>IF(F10=0,"",VLOOKUP(F10,Employés!$A$2:$B$186,2,0))</f>
        <v/>
      </c>
      <c r="H10" s="82"/>
      <c r="I10" s="35"/>
      <c r="J10" s="29"/>
      <c r="K10" s="19"/>
      <c r="L10" s="20"/>
      <c r="M10" s="37" t="str">
        <f>IF(I10=0,"",VLOOKUP(I10,Municipalités!$A$2:$B$1290,2,TRUE))</f>
        <v/>
      </c>
    </row>
    <row r="11" spans="1:13" ht="30" customHeight="1" x14ac:dyDescent="0.25">
      <c r="A11" s="45"/>
      <c r="B11" s="45"/>
      <c r="C11" s="39"/>
      <c r="D11" s="47"/>
      <c r="E11" s="28" t="s">
        <v>1420</v>
      </c>
      <c r="F11" s="31"/>
      <c r="G11" s="82" t="str">
        <f>IF(F11=0,"",VLOOKUP(F11,Employés!$A$2:$B$186,2,0))</f>
        <v/>
      </c>
      <c r="H11" s="82"/>
      <c r="I11" s="35"/>
      <c r="J11" s="29"/>
      <c r="K11" s="19"/>
      <c r="L11" s="20"/>
      <c r="M11" s="37" t="str">
        <f>IF(I11=0,"",VLOOKUP(I11,Municipalités!$A$2:$B$1290,2,TRUE))</f>
        <v/>
      </c>
    </row>
    <row r="12" spans="1:13" ht="30" customHeight="1" x14ac:dyDescent="0.25">
      <c r="A12" s="45"/>
      <c r="B12" s="45"/>
      <c r="C12" s="39"/>
      <c r="D12" s="46"/>
      <c r="E12" s="27"/>
      <c r="F12" s="31"/>
      <c r="G12" s="82" t="str">
        <f>IF(F12=0,"",VLOOKUP(F12,Employés!$A$2:$B$186,2,0))</f>
        <v/>
      </c>
      <c r="H12" s="82"/>
      <c r="I12" s="35"/>
      <c r="J12" s="29"/>
      <c r="K12" s="19"/>
      <c r="L12" s="20"/>
      <c r="M12" s="37" t="str">
        <f>IF(I12=0,"",VLOOKUP(I12,Municipalités!$A$2:$B$1290,2,TRUE))</f>
        <v/>
      </c>
    </row>
    <row r="13" spans="1:13" ht="30" customHeight="1" x14ac:dyDescent="0.25">
      <c r="A13" s="45"/>
      <c r="B13" s="45"/>
      <c r="C13" s="39"/>
      <c r="D13" s="46"/>
      <c r="E13" s="27"/>
      <c r="F13" s="31"/>
      <c r="G13" s="82" t="str">
        <f>IF(F13=0,"",VLOOKUP(F13,Employés!$A$2:$B$186,2,0))</f>
        <v/>
      </c>
      <c r="H13" s="82"/>
      <c r="I13" s="35"/>
      <c r="J13" s="29"/>
      <c r="K13" s="19"/>
      <c r="L13" s="20"/>
      <c r="M13" s="37" t="str">
        <f>IF(I13=0,"",VLOOKUP(I13,Municipalités!$A$2:$B$1290,2,TRUE))</f>
        <v/>
      </c>
    </row>
    <row r="14" spans="1:13" ht="30" customHeight="1" x14ac:dyDescent="0.25">
      <c r="A14" s="45"/>
      <c r="B14" s="45"/>
      <c r="C14" s="39"/>
      <c r="D14" s="47"/>
      <c r="E14" s="27"/>
      <c r="F14" s="31"/>
      <c r="G14" s="82" t="str">
        <f>IF(F14=0,"",VLOOKUP(F14,Employés!$A$2:$B$186,2,0))</f>
        <v/>
      </c>
      <c r="H14" s="82"/>
      <c r="I14" s="35"/>
      <c r="J14" s="29"/>
      <c r="K14" s="19"/>
      <c r="L14" s="20"/>
      <c r="M14" s="37" t="str">
        <f>IF(I14=0,"",VLOOKUP(I14,Municipalités!$A$2:$B$1290,2,TRUE))</f>
        <v/>
      </c>
    </row>
    <row r="15" spans="1:13" ht="30" customHeight="1" x14ac:dyDescent="0.25">
      <c r="A15" s="45"/>
      <c r="B15" s="45"/>
      <c r="C15" s="39"/>
      <c r="D15" s="47"/>
      <c r="E15" s="27"/>
      <c r="F15" s="31"/>
      <c r="G15" s="82" t="str">
        <f>IF(F15=0,"",VLOOKUP(F15,Employés!$A$2:$B$186,2,0))</f>
        <v/>
      </c>
      <c r="H15" s="82"/>
      <c r="I15" s="35"/>
      <c r="J15" s="29"/>
      <c r="K15" s="19"/>
      <c r="L15" s="20"/>
      <c r="M15" s="37" t="str">
        <f>IF(I15=0,"",VLOOKUP(I15,Municipalités!$A$2:$B$1290,2,TRUE))</f>
        <v/>
      </c>
    </row>
    <row r="16" spans="1:13" ht="30" customHeight="1" x14ac:dyDescent="0.25">
      <c r="A16" s="45"/>
      <c r="B16" s="45"/>
      <c r="C16" s="39"/>
      <c r="D16" s="46"/>
      <c r="E16" s="27"/>
      <c r="F16" s="31"/>
      <c r="G16" s="82" t="str">
        <f>IF(F16=0,"",VLOOKUP(F16,Employés!$A$2:$B$186,2,0))</f>
        <v/>
      </c>
      <c r="H16" s="82"/>
      <c r="I16" s="35"/>
      <c r="J16" s="29"/>
      <c r="K16" s="19"/>
      <c r="L16" s="20"/>
      <c r="M16" s="37" t="str">
        <f>IF(I16=0,"",VLOOKUP(I16,Municipalités!$A$2:$B$1290,2,TRUE))</f>
        <v/>
      </c>
    </row>
    <row r="17" spans="1:13" ht="30" customHeight="1" x14ac:dyDescent="0.25">
      <c r="A17" s="45"/>
      <c r="B17" s="45"/>
      <c r="C17" s="39"/>
      <c r="D17" s="46"/>
      <c r="E17" s="27"/>
      <c r="F17" s="31"/>
      <c r="G17" s="82" t="str">
        <f>IF(F17=0,"",VLOOKUP(F17,Employés!$A$2:$B$186,2,0))</f>
        <v/>
      </c>
      <c r="H17" s="82"/>
      <c r="I17" s="35"/>
      <c r="J17" s="29"/>
      <c r="K17" s="19"/>
      <c r="L17" s="20"/>
      <c r="M17" s="37" t="str">
        <f>IF(I17=0,"",VLOOKUP(I17,Municipalités!$A$2:$B$1290,2,TRUE))</f>
        <v/>
      </c>
    </row>
    <row r="18" spans="1:13" ht="30" customHeight="1" x14ac:dyDescent="0.25">
      <c r="A18" s="45"/>
      <c r="B18" s="45"/>
      <c r="C18" s="39"/>
      <c r="D18" s="46"/>
      <c r="E18" s="27"/>
      <c r="F18" s="31"/>
      <c r="G18" s="82" t="str">
        <f>IF(F18=0,"",VLOOKUP(F18,Employés!$A$2:$B$186,2,0))</f>
        <v/>
      </c>
      <c r="H18" s="82"/>
      <c r="I18" s="35"/>
      <c r="J18" s="29"/>
      <c r="K18" s="19"/>
      <c r="L18" s="20"/>
      <c r="M18" s="37" t="str">
        <f>IF(I18=0,"",VLOOKUP(I18,Municipalités!$A$2:$B$1290,2,TRUE))</f>
        <v/>
      </c>
    </row>
    <row r="19" spans="1:13" ht="30" customHeight="1" x14ac:dyDescent="0.25">
      <c r="A19" s="45"/>
      <c r="B19" s="45"/>
      <c r="C19" s="39"/>
      <c r="D19" s="46"/>
      <c r="E19" s="27"/>
      <c r="F19" s="31"/>
      <c r="G19" s="82" t="str">
        <f>IF(F19=0,"",VLOOKUP(F19,Employés!$A$2:$B$186,2,0))</f>
        <v/>
      </c>
      <c r="H19" s="82"/>
      <c r="I19" s="35"/>
      <c r="J19" s="29"/>
      <c r="K19" s="19"/>
      <c r="L19" s="20"/>
      <c r="M19" s="37" t="str">
        <f>IF(I19=0,"",VLOOKUP(I19,Municipalités!$A$2:$B$1290,2,TRUE))</f>
        <v/>
      </c>
    </row>
    <row r="20" spans="1:13" ht="30" customHeight="1" x14ac:dyDescent="0.25">
      <c r="A20" s="45"/>
      <c r="B20" s="45"/>
      <c r="C20" s="39"/>
      <c r="D20" s="47"/>
      <c r="E20" s="27"/>
      <c r="F20" s="31"/>
      <c r="G20" s="82" t="str">
        <f>IF(F20=0,"",VLOOKUP(F20,Employés!$A$2:$B$186,2,0))</f>
        <v/>
      </c>
      <c r="H20" s="82"/>
      <c r="I20" s="35"/>
      <c r="J20" s="29"/>
      <c r="K20" s="19"/>
      <c r="L20" s="20"/>
      <c r="M20" s="37" t="str">
        <f>IF(I20=0,"",VLOOKUP(I20,Municipalités!$A$2:$B$1290,2,TRUE))</f>
        <v/>
      </c>
    </row>
    <row r="21" spans="1:13" ht="30" customHeight="1" x14ac:dyDescent="0.25">
      <c r="A21" s="45"/>
      <c r="B21" s="45"/>
      <c r="C21" s="39"/>
      <c r="D21" s="47"/>
      <c r="E21" s="27"/>
      <c r="F21" s="31"/>
      <c r="G21" s="82" t="str">
        <f>IF(F21=0,"",VLOOKUP(F21,Employés!$A$2:$B$186,2,0))</f>
        <v/>
      </c>
      <c r="H21" s="82"/>
      <c r="I21" s="35"/>
      <c r="J21" s="29"/>
      <c r="K21" s="19"/>
      <c r="L21" s="20"/>
      <c r="M21" s="37" t="str">
        <f>IF(I21=0,"",VLOOKUP(I21,Municipalités!$A$2:$B$1290,2,TRUE))</f>
        <v/>
      </c>
    </row>
    <row r="22" spans="1:13" ht="30" customHeight="1" x14ac:dyDescent="0.25">
      <c r="A22" s="45"/>
      <c r="B22" s="45"/>
      <c r="C22" s="39"/>
      <c r="D22" s="46"/>
      <c r="E22" s="27"/>
      <c r="F22" s="31"/>
      <c r="G22" s="82" t="str">
        <f>IF(F22=0,"",VLOOKUP(F22,Employés!$A$2:$B$186,2,0))</f>
        <v/>
      </c>
      <c r="H22" s="82"/>
      <c r="I22" s="35"/>
      <c r="J22" s="29"/>
      <c r="K22" s="19"/>
      <c r="L22" s="20"/>
      <c r="M22" s="37" t="str">
        <f>IF(I22=0,"",VLOOKUP(I22,Municipalités!$A$2:$B$1290,2,TRUE))</f>
        <v/>
      </c>
    </row>
    <row r="23" spans="1:13" ht="30" customHeight="1" x14ac:dyDescent="0.25">
      <c r="A23" s="45"/>
      <c r="B23" s="45"/>
      <c r="C23" s="39"/>
      <c r="D23" s="46"/>
      <c r="E23" s="27"/>
      <c r="F23" s="31"/>
      <c r="G23" s="82" t="str">
        <f>IF(F23=0,"",VLOOKUP(F23,Employés!$A$2:$B$186,2,0))</f>
        <v/>
      </c>
      <c r="H23" s="82"/>
      <c r="I23" s="35"/>
      <c r="J23" s="29"/>
      <c r="K23" s="19"/>
      <c r="L23" s="20"/>
      <c r="M23" s="37" t="str">
        <f>IF(I23=0,"",VLOOKUP(I23,Municipalités!$A$2:$B$1290,2,TRUE))</f>
        <v/>
      </c>
    </row>
    <row r="24" spans="1:13" ht="30" customHeight="1" x14ac:dyDescent="0.25">
      <c r="A24" s="45"/>
      <c r="B24" s="45"/>
      <c r="C24" s="39"/>
      <c r="D24" s="46"/>
      <c r="E24" s="27"/>
      <c r="F24" s="31"/>
      <c r="G24" s="82" t="str">
        <f>IF(F24=0,"",VLOOKUP(F24,Employés!$A$2:$B$186,2,0))</f>
        <v/>
      </c>
      <c r="H24" s="82"/>
      <c r="I24" s="35"/>
      <c r="J24" s="29"/>
      <c r="K24" s="19"/>
      <c r="L24" s="20"/>
      <c r="M24" s="37" t="str">
        <f>IF(I24=0,"",VLOOKUP(I24,Municipalités!$A$2:$B$1290,2,TRUE))</f>
        <v/>
      </c>
    </row>
    <row r="25" spans="1:13" ht="30" customHeight="1" x14ac:dyDescent="0.25">
      <c r="A25" s="45"/>
      <c r="B25" s="45"/>
      <c r="C25" s="39"/>
      <c r="D25" s="46"/>
      <c r="E25" s="27"/>
      <c r="F25" s="31"/>
      <c r="G25" s="82" t="str">
        <f>IF(F25=0,"",VLOOKUP(F25,Employés!$A$2:$B$186,2,0))</f>
        <v/>
      </c>
      <c r="H25" s="82"/>
      <c r="I25" s="35"/>
      <c r="J25" s="29"/>
      <c r="K25" s="19"/>
      <c r="L25" s="20"/>
      <c r="M25" s="37" t="str">
        <f>IF(I25=0,"",VLOOKUP(I25,Municipalités!$A$2:$B$1290,2,TRUE))</f>
        <v/>
      </c>
    </row>
    <row r="26" spans="1:13" ht="30" customHeight="1" x14ac:dyDescent="0.25">
      <c r="A26" s="45"/>
      <c r="B26" s="45"/>
      <c r="C26" s="39"/>
      <c r="D26" s="46"/>
      <c r="E26" s="27"/>
      <c r="F26" s="31"/>
      <c r="G26" s="82" t="str">
        <f>IF(F26=0,"",VLOOKUP(F26,Employés!$A$2:$B$186,2,0))</f>
        <v/>
      </c>
      <c r="H26" s="82"/>
      <c r="I26" s="35"/>
      <c r="J26" s="29"/>
      <c r="K26" s="19"/>
      <c r="L26" s="20"/>
      <c r="M26" s="37" t="str">
        <f>IF(I26=0,"",VLOOKUP(I26,Municipalités!$A$2:$B$1290,2,TRUE))</f>
        <v/>
      </c>
    </row>
    <row r="27" spans="1:13" ht="30" customHeight="1" x14ac:dyDescent="0.25">
      <c r="A27" s="45"/>
      <c r="B27" s="45"/>
      <c r="C27" s="39"/>
      <c r="D27" s="46"/>
      <c r="E27" s="27"/>
      <c r="F27" s="31"/>
      <c r="G27" s="82" t="str">
        <f>IF(F27=0,"",VLOOKUP(F27,Employés!$A$2:$B$186,2,0))</f>
        <v/>
      </c>
      <c r="H27" s="82"/>
      <c r="I27" s="35"/>
      <c r="J27" s="29"/>
      <c r="K27" s="19"/>
      <c r="L27" s="20"/>
      <c r="M27" s="37" t="str">
        <f>IF(I27=0,"",VLOOKUP(I27,Municipalités!$A$2:$B$1290,2,TRUE))</f>
        <v/>
      </c>
    </row>
    <row r="28" spans="1:13" ht="30" customHeight="1" x14ac:dyDescent="0.25">
      <c r="A28" s="45"/>
      <c r="B28" s="45"/>
      <c r="C28" s="39"/>
      <c r="D28" s="46"/>
      <c r="E28" s="27"/>
      <c r="F28" s="31"/>
      <c r="G28" s="82" t="str">
        <f>IF(F28=0,"",VLOOKUP(F28,Employés!$A$2:$B$186,2,0))</f>
        <v/>
      </c>
      <c r="H28" s="82"/>
      <c r="I28" s="35"/>
      <c r="J28" s="29"/>
      <c r="K28" s="19"/>
      <c r="L28" s="20"/>
      <c r="M28" s="37" t="str">
        <f>IF(I28=0,"",VLOOKUP(I28,Municipalités!$A$2:$B$1290,2,TRUE))</f>
        <v/>
      </c>
    </row>
    <row r="29" spans="1:13" ht="30" customHeight="1" x14ac:dyDescent="0.25">
      <c r="A29" s="45"/>
      <c r="B29" s="45"/>
      <c r="C29" s="39"/>
      <c r="D29" s="46"/>
      <c r="E29" s="27"/>
      <c r="F29" s="31"/>
      <c r="G29" s="82" t="str">
        <f>IF(F29=0,"",VLOOKUP(F29,Employés!$A$2:$B$186,2,0))</f>
        <v/>
      </c>
      <c r="H29" s="82"/>
      <c r="I29" s="35"/>
      <c r="J29" s="29"/>
      <c r="K29" s="19"/>
      <c r="L29" s="20"/>
      <c r="M29" s="37" t="str">
        <f>IF(I29=0,"",VLOOKUP(I29,Municipalités!$A$2:$B$1290,2,TRUE))</f>
        <v/>
      </c>
    </row>
    <row r="30" spans="1:13" ht="30" customHeight="1" x14ac:dyDescent="0.25">
      <c r="A30" s="45"/>
      <c r="B30" s="45"/>
      <c r="C30" s="39"/>
      <c r="D30" s="46"/>
      <c r="E30" s="27"/>
      <c r="F30" s="31"/>
      <c r="G30" s="82" t="str">
        <f>IF(F30=0,"",VLOOKUP(F30,Employés!$A$2:$B$186,2,0))</f>
        <v/>
      </c>
      <c r="H30" s="82"/>
      <c r="I30" s="35"/>
      <c r="J30" s="29"/>
      <c r="K30" s="19"/>
      <c r="L30" s="20"/>
      <c r="M30" s="37" t="str">
        <f>IF(I30=0,"",VLOOKUP(I30,Municipalités!$A$2:$B$1290,2,TRUE))</f>
        <v/>
      </c>
    </row>
    <row r="31" spans="1:13" ht="30" customHeight="1" x14ac:dyDescent="0.25">
      <c r="A31" s="45"/>
      <c r="B31" s="45"/>
      <c r="C31" s="39"/>
      <c r="D31" s="47"/>
      <c r="E31" s="27"/>
      <c r="F31" s="31"/>
      <c r="G31" s="82" t="str">
        <f>IF(F31=0,"",VLOOKUP(F31,Employés!$A$2:$B$186,2,0))</f>
        <v/>
      </c>
      <c r="H31" s="82"/>
      <c r="I31" s="35"/>
      <c r="J31" s="29"/>
      <c r="K31" s="19"/>
      <c r="L31" s="20"/>
      <c r="M31" s="37" t="str">
        <f>IF(I31=0,"",VLOOKUP(I31,Municipalités!$A$2:$B$1290,2,TRUE))</f>
        <v/>
      </c>
    </row>
    <row r="32" spans="1:13" ht="30" customHeight="1" x14ac:dyDescent="0.25">
      <c r="A32" s="45"/>
      <c r="B32" s="45"/>
      <c r="C32" s="39"/>
      <c r="D32" s="46"/>
      <c r="E32" s="27"/>
      <c r="F32" s="31"/>
      <c r="G32" s="82" t="str">
        <f>IF(F32=0,"",VLOOKUP(F32,Employés!$A$2:$B$186,2,0))</f>
        <v/>
      </c>
      <c r="H32" s="82"/>
      <c r="I32" s="35"/>
      <c r="J32" s="29"/>
      <c r="K32" s="19"/>
      <c r="L32" s="20"/>
      <c r="M32" s="37" t="str">
        <f>IF(I32=0,"",VLOOKUP(I32,Municipalités!$A$2:$B$1290,2,TRUE))</f>
        <v/>
      </c>
    </row>
    <row r="33" spans="1:13" ht="30" customHeight="1" x14ac:dyDescent="0.25">
      <c r="A33" s="45"/>
      <c r="B33" s="45"/>
      <c r="C33" s="39"/>
      <c r="D33" s="46"/>
      <c r="E33" s="27"/>
      <c r="F33" s="31"/>
      <c r="G33" s="82" t="str">
        <f>IF(F33=0,"",VLOOKUP(F33,Employés!$A$2:$B$186,2,0))</f>
        <v/>
      </c>
      <c r="H33" s="82"/>
      <c r="I33" s="35"/>
      <c r="J33" s="29"/>
      <c r="K33" s="19"/>
      <c r="L33" s="20"/>
      <c r="M33" s="37" t="str">
        <f>IF(I33=0,"",VLOOKUP(I33,Municipalités!$A$2:$B$1290,2,TRUE))</f>
        <v/>
      </c>
    </row>
    <row r="34" spans="1:13" ht="30" customHeight="1" x14ac:dyDescent="0.25">
      <c r="A34" s="45"/>
      <c r="B34" s="45"/>
      <c r="C34" s="39"/>
      <c r="D34" s="46"/>
      <c r="E34" s="27"/>
      <c r="F34" s="31"/>
      <c r="G34" s="82" t="str">
        <f>IF(F34=0,"",VLOOKUP(F34,Employés!$A$2:$B$186,2,0))</f>
        <v/>
      </c>
      <c r="H34" s="82"/>
      <c r="I34" s="35"/>
      <c r="J34" s="29"/>
      <c r="K34" s="19"/>
      <c r="L34" s="20"/>
      <c r="M34" s="37" t="str">
        <f>IF(I34=0,"",VLOOKUP(I34,Municipalités!$A$2:$B$1290,2,TRUE))</f>
        <v/>
      </c>
    </row>
    <row r="35" spans="1:13" ht="30" customHeight="1" x14ac:dyDescent="0.25">
      <c r="A35" s="45"/>
      <c r="B35" s="45"/>
      <c r="C35" s="30"/>
      <c r="D35" s="46"/>
      <c r="E35" s="27"/>
      <c r="F35" s="31"/>
      <c r="G35" s="82" t="str">
        <f>IF(F35=0,"",VLOOKUP(F35,Employés!$A$2:$B$186,2,0))</f>
        <v/>
      </c>
      <c r="H35" s="82"/>
      <c r="I35" s="35"/>
      <c r="J35" s="29"/>
      <c r="K35" s="19"/>
      <c r="L35" s="20"/>
      <c r="M35" s="37" t="str">
        <f>IF(I35=0,"",VLOOKUP(I35,Municipalités!$A$2:$B$1290,2,TRUE))</f>
        <v/>
      </c>
    </row>
    <row r="36" spans="1:13" ht="30" customHeight="1" x14ac:dyDescent="0.25">
      <c r="A36" s="45"/>
      <c r="B36" s="45"/>
      <c r="C36" s="30"/>
      <c r="D36" s="46"/>
      <c r="E36" s="27"/>
      <c r="F36" s="31"/>
      <c r="G36" s="82" t="str">
        <f>IF(F36=0,"",VLOOKUP(F36,Employés!$A$2:$B$186,2,0))</f>
        <v/>
      </c>
      <c r="H36" s="82"/>
      <c r="I36" s="35"/>
      <c r="J36" s="29"/>
      <c r="K36" s="19"/>
      <c r="L36" s="20"/>
      <c r="M36" s="37" t="str">
        <f>IF(I36=0,"",VLOOKUP(I36,Municipalités!$A$2:$B$1290,2,TRUE))</f>
        <v/>
      </c>
    </row>
    <row r="37" spans="1:13" ht="30" customHeight="1" x14ac:dyDescent="0.25">
      <c r="A37" s="45"/>
      <c r="B37" s="45"/>
      <c r="C37" s="39"/>
      <c r="D37" s="46"/>
      <c r="E37" s="27"/>
      <c r="F37" s="31"/>
      <c r="G37" s="82" t="str">
        <f>IF(F37=0,"",VLOOKUP(F37,Employés!$A$2:$B$186,2,0))</f>
        <v/>
      </c>
      <c r="H37" s="82"/>
      <c r="I37" s="35"/>
      <c r="J37" s="29"/>
      <c r="K37" s="19"/>
      <c r="L37" s="20"/>
      <c r="M37" s="37" t="str">
        <f>IF(I37=0,"",VLOOKUP(I37,Municipalités!$A$2:$B$1290,2,TRUE))</f>
        <v/>
      </c>
    </row>
    <row r="38" spans="1:13" ht="30" customHeight="1" x14ac:dyDescent="0.25">
      <c r="A38" s="45"/>
      <c r="B38" s="45"/>
      <c r="C38" s="39"/>
      <c r="D38" s="47"/>
      <c r="E38" s="27"/>
      <c r="F38" s="31"/>
      <c r="G38" s="82" t="str">
        <f>IF(F38=0,"",VLOOKUP(F38,Employés!$A$2:$B$186,2,0))</f>
        <v/>
      </c>
      <c r="H38" s="82"/>
      <c r="I38" s="35"/>
      <c r="J38" s="29"/>
      <c r="K38" s="19"/>
      <c r="L38" s="20"/>
      <c r="M38" s="37" t="str">
        <f>IF(I38=0,"",VLOOKUP(I38,Municipalités!$A$2:$B$1290,2,TRUE))</f>
        <v/>
      </c>
    </row>
    <row r="39" spans="1:13" ht="30" customHeight="1" x14ac:dyDescent="0.25">
      <c r="A39" s="45"/>
      <c r="B39" s="45"/>
      <c r="C39" s="39"/>
      <c r="D39" s="45"/>
      <c r="E39" s="27"/>
      <c r="F39" s="31"/>
      <c r="G39" s="82" t="str">
        <f>IF(F39=0,"",VLOOKUP(F39,Employés!$A$2:$B$186,2,0))</f>
        <v/>
      </c>
      <c r="H39" s="82"/>
      <c r="I39" s="35"/>
      <c r="J39" s="29"/>
      <c r="K39" s="26"/>
      <c r="L39" s="25"/>
      <c r="M39" s="37" t="str">
        <f>IF(I39=0,"",VLOOKUP(I39,Municipalités!$A$2:$B$1290,2,TRUE))</f>
        <v/>
      </c>
    </row>
    <row r="40" spans="1:13" ht="30" customHeight="1" x14ac:dyDescent="0.25">
      <c r="A40" s="8"/>
      <c r="B40" s="8"/>
      <c r="C40" s="30"/>
      <c r="D40" s="8"/>
      <c r="E40" s="27"/>
      <c r="F40" s="31"/>
      <c r="G40" s="82" t="str">
        <f>IF(F40=0,"",VLOOKUP(F40,Employés!$A$2:$B$186,2,0))</f>
        <v/>
      </c>
      <c r="H40" s="82"/>
      <c r="I40" s="35"/>
      <c r="J40" s="29"/>
      <c r="K40" s="26"/>
      <c r="L40" s="25"/>
      <c r="M40" s="37" t="str">
        <f>IF(I40=0,"",VLOOKUP(I40,Municipalités!$A$2:$B$1290,2,TRUE))</f>
        <v/>
      </c>
    </row>
    <row r="41" spans="1:13" ht="30" customHeight="1" x14ac:dyDescent="0.25">
      <c r="A41" s="8"/>
      <c r="B41" s="8"/>
      <c r="C41" s="30"/>
      <c r="D41" s="8"/>
      <c r="E41" s="27"/>
      <c r="F41" s="31"/>
      <c r="G41" s="82" t="str">
        <f>IF(F41=0,"",VLOOKUP(F41,Employés!$A$2:$B$186,2,0))</f>
        <v/>
      </c>
      <c r="H41" s="82"/>
      <c r="I41" s="35"/>
      <c r="J41" s="29"/>
      <c r="K41" s="26"/>
      <c r="L41" s="25"/>
      <c r="M41" s="37" t="str">
        <f>IF(I41=0,"",VLOOKUP(I41,Municipalités!$A$2:$B$1290,2,TRUE))</f>
        <v/>
      </c>
    </row>
    <row r="42" spans="1:13" ht="30" customHeight="1" x14ac:dyDescent="0.25">
      <c r="A42" s="8"/>
      <c r="B42" s="8"/>
      <c r="C42" s="30"/>
      <c r="D42" s="8"/>
      <c r="E42" s="27"/>
      <c r="F42" s="31"/>
      <c r="G42" s="82" t="str">
        <f>IF(F42=0,"",VLOOKUP(F42,Employés!$A$2:$B$186,2,0))</f>
        <v/>
      </c>
      <c r="H42" s="82"/>
      <c r="I42" s="35"/>
      <c r="J42" s="29"/>
      <c r="K42" s="26"/>
      <c r="L42" s="25"/>
      <c r="M42" s="37" t="str">
        <f>IF(I42=0,"",VLOOKUP(I42,Municipalités!$A$2:$B$1290,2,TRUE))</f>
        <v/>
      </c>
    </row>
    <row r="43" spans="1:13" ht="30" customHeight="1" x14ac:dyDescent="0.25">
      <c r="A43" s="8"/>
      <c r="B43" s="8"/>
      <c r="C43" s="30"/>
      <c r="D43" s="8"/>
      <c r="E43" s="27" t="s">
        <v>1420</v>
      </c>
      <c r="F43" s="31"/>
      <c r="G43" s="82" t="str">
        <f>IF(F43=0,"",VLOOKUP(F43,Employés!$A$2:$B$186,2,0))</f>
        <v/>
      </c>
      <c r="H43" s="82"/>
      <c r="I43" s="35"/>
      <c r="J43" s="29"/>
      <c r="K43" s="26"/>
      <c r="L43" s="25" t="s">
        <v>1420</v>
      </c>
      <c r="M43" s="37" t="str">
        <f>IF(I43=0,"",VLOOKUP(I43,Municipalités!$A$2:$B$1290,2,TRUE))</f>
        <v/>
      </c>
    </row>
    <row r="44" spans="1:13" ht="30" customHeight="1" x14ac:dyDescent="0.25">
      <c r="A44" s="8"/>
      <c r="B44" s="8"/>
      <c r="C44" s="30"/>
      <c r="D44" s="8"/>
      <c r="E44" s="27"/>
      <c r="F44" s="31"/>
      <c r="G44" s="82" t="str">
        <f>IF(F44=0,"",VLOOKUP(F44,Employés!$A$2:$B$186,2,0))</f>
        <v/>
      </c>
      <c r="H44" s="82"/>
      <c r="I44" s="35"/>
      <c r="J44" s="29"/>
      <c r="K44" s="26"/>
      <c r="L44" s="25"/>
      <c r="M44" s="37" t="str">
        <f>IF(I44=0,"",VLOOKUP(I44,Municipalités!$A$2:$B$1290,2,TRUE))</f>
        <v/>
      </c>
    </row>
    <row r="45" spans="1:13" ht="30" customHeight="1" x14ac:dyDescent="0.25">
      <c r="A45" s="8"/>
      <c r="B45" s="8"/>
      <c r="C45" s="30"/>
      <c r="D45" s="8"/>
      <c r="E45" s="27"/>
      <c r="F45" s="31"/>
      <c r="G45" s="82" t="str">
        <f>IF(F45=0,"",VLOOKUP(F45,Employés!$A$2:$B$186,2,0))</f>
        <v/>
      </c>
      <c r="H45" s="82"/>
      <c r="I45" s="35"/>
      <c r="J45" s="29"/>
      <c r="K45" s="26"/>
      <c r="L45" s="25"/>
      <c r="M45" s="37" t="str">
        <f>IF(I45=0,"",VLOOKUP(I45,Municipalités!$A$2:$B$1290,2,TRUE))</f>
        <v/>
      </c>
    </row>
    <row r="46" spans="1:13" ht="30" customHeight="1" x14ac:dyDescent="0.25">
      <c r="A46" s="8"/>
      <c r="B46" s="8"/>
      <c r="C46" s="30"/>
      <c r="D46" s="8"/>
      <c r="E46" s="27"/>
      <c r="F46" s="31"/>
      <c r="G46" s="82" t="str">
        <f>IF(F46=0,"",VLOOKUP(F46,Employés!$A$2:$B$186,2,0))</f>
        <v/>
      </c>
      <c r="H46" s="82"/>
      <c r="I46" s="35"/>
      <c r="J46" s="29"/>
      <c r="K46" s="26"/>
      <c r="L46" s="25"/>
      <c r="M46" s="37" t="str">
        <f>IF(I46=0,"",VLOOKUP(I46,Municipalités!$A$2:$B$1290,2,TRUE))</f>
        <v/>
      </c>
    </row>
    <row r="47" spans="1:13" ht="30" customHeight="1" x14ac:dyDescent="0.25">
      <c r="A47" s="8"/>
      <c r="B47" s="8"/>
      <c r="C47" s="30"/>
      <c r="D47" s="8"/>
      <c r="E47" s="27"/>
      <c r="F47" s="31"/>
      <c r="G47" s="82" t="str">
        <f>IF(F47=0,"",VLOOKUP(F47,Employés!$A$2:$B$186,2,0))</f>
        <v/>
      </c>
      <c r="H47" s="82"/>
      <c r="I47" s="35"/>
      <c r="J47" s="29"/>
      <c r="K47" s="26"/>
      <c r="L47" s="25"/>
      <c r="M47" s="37" t="str">
        <f>IF(I47=0,"",VLOOKUP(I47,Municipalités!$A$2:$B$1290,2,TRUE))</f>
        <v/>
      </c>
    </row>
    <row r="48" spans="1:13" ht="30" customHeight="1" x14ac:dyDescent="0.25">
      <c r="A48" s="8"/>
      <c r="B48" s="8"/>
      <c r="C48" s="30"/>
      <c r="D48" s="8"/>
      <c r="E48" s="27"/>
      <c r="F48" s="31"/>
      <c r="G48" s="82" t="str">
        <f>IF(F48=0,"",VLOOKUP(F48,Employés!$A$2:$B$186,2,0))</f>
        <v/>
      </c>
      <c r="H48" s="82"/>
      <c r="I48" s="35"/>
      <c r="J48" s="29"/>
      <c r="K48" s="26"/>
      <c r="L48" s="25"/>
      <c r="M48" s="37" t="str">
        <f>IF(I48=0,"",VLOOKUP(I48,Municipalités!$A$2:$B$1290,2,TRUE))</f>
        <v/>
      </c>
    </row>
    <row r="49" spans="1:13" ht="30" customHeight="1" x14ac:dyDescent="0.25">
      <c r="A49" s="8"/>
      <c r="B49" s="8"/>
      <c r="C49" s="30"/>
      <c r="D49" s="8"/>
      <c r="E49" s="27"/>
      <c r="F49" s="31"/>
      <c r="G49" s="82" t="str">
        <f>IF(F49=0,"",VLOOKUP(F49,Employés!$A$2:$B$186,2,0))</f>
        <v/>
      </c>
      <c r="H49" s="82"/>
      <c r="I49" s="35"/>
      <c r="J49" s="29"/>
      <c r="K49" s="26"/>
      <c r="L49" s="25"/>
      <c r="M49" s="37" t="str">
        <f>IF(I49=0,"",VLOOKUP(I49,Municipalités!$A$2:$B$1290,2,TRUE))</f>
        <v/>
      </c>
    </row>
    <row r="50" spans="1:13" ht="30" customHeight="1" x14ac:dyDescent="0.25">
      <c r="A50" s="8"/>
      <c r="B50" s="8"/>
      <c r="C50" s="30"/>
      <c r="D50" s="8"/>
      <c r="E50" s="27"/>
      <c r="F50" s="31"/>
      <c r="G50" s="82" t="str">
        <f>IF(F50=0,"",VLOOKUP(F50,Employés!$A$2:$B$186,2,0))</f>
        <v/>
      </c>
      <c r="H50" s="82"/>
      <c r="I50" s="35"/>
      <c r="J50" s="29"/>
      <c r="K50" s="26"/>
      <c r="L50" s="25"/>
      <c r="M50" s="37" t="str">
        <f>IF(I50=0,"",VLOOKUP(I50,Municipalités!$A$2:$B$1290,2,TRUE))</f>
        <v/>
      </c>
    </row>
    <row r="51" spans="1:13" ht="30" customHeight="1" x14ac:dyDescent="0.25">
      <c r="A51" s="8"/>
      <c r="B51" s="8"/>
      <c r="C51" s="30"/>
      <c r="D51" s="8"/>
      <c r="E51" s="27"/>
      <c r="F51" s="31"/>
      <c r="G51" s="82" t="str">
        <f>IF(F51=0,"",VLOOKUP(F51,Employés!$A$2:$B$186,2,0))</f>
        <v/>
      </c>
      <c r="H51" s="82"/>
      <c r="I51" s="35"/>
      <c r="J51" s="29"/>
      <c r="K51" s="26"/>
      <c r="L51" s="25"/>
      <c r="M51" s="37" t="str">
        <f>IF(I51=0,"",VLOOKUP(I51,Municipalités!$A$2:$B$1290,2,TRUE))</f>
        <v/>
      </c>
    </row>
    <row r="52" spans="1:13" ht="30" customHeight="1" x14ac:dyDescent="0.25">
      <c r="A52" s="8"/>
      <c r="B52" s="8"/>
      <c r="C52" s="30"/>
      <c r="D52" s="8"/>
      <c r="E52" s="27"/>
      <c r="F52" s="31"/>
      <c r="G52" s="82" t="str">
        <f>IF(F52=0,"",VLOOKUP(F52,Employés!$A$2:$B$186,2,0))</f>
        <v/>
      </c>
      <c r="H52" s="82"/>
      <c r="I52" s="35"/>
      <c r="J52" s="29"/>
      <c r="K52" s="26"/>
      <c r="L52" s="25"/>
      <c r="M52" s="37" t="str">
        <f>IF(I52=0,"",VLOOKUP(I52,Municipalités!$A$2:$B$1290,2,TRUE))</f>
        <v/>
      </c>
    </row>
    <row r="53" spans="1:13" ht="30" customHeight="1" x14ac:dyDescent="0.25">
      <c r="A53" s="8"/>
      <c r="B53" s="8"/>
      <c r="C53" s="30"/>
      <c r="D53" s="8"/>
      <c r="E53" s="27"/>
      <c r="F53" s="31"/>
      <c r="G53" s="82" t="str">
        <f>IF(F53=0,"",VLOOKUP(F53,Employés!$A$2:$B$186,2,0))</f>
        <v/>
      </c>
      <c r="H53" s="82"/>
      <c r="I53" s="35"/>
      <c r="J53" s="29"/>
      <c r="K53" s="26"/>
      <c r="L53" s="25"/>
      <c r="M53" s="37" t="str">
        <f>IF(I53=0,"",VLOOKUP(I53,Municipalités!$A$2:$B$1290,2,TRUE))</f>
        <v/>
      </c>
    </row>
    <row r="54" spans="1:13" ht="30" customHeight="1" x14ac:dyDescent="0.25">
      <c r="A54" s="8"/>
      <c r="B54" s="8"/>
      <c r="C54" s="30"/>
      <c r="D54" s="8"/>
      <c r="E54" s="27"/>
      <c r="F54" s="31"/>
      <c r="G54" s="82" t="str">
        <f>IF(F54=0,"",VLOOKUP(F54,Employés!$A$2:$B$186,2,0))</f>
        <v/>
      </c>
      <c r="H54" s="82"/>
      <c r="I54" s="35"/>
      <c r="J54" s="29"/>
      <c r="K54" s="26"/>
      <c r="L54" s="25"/>
      <c r="M54" s="37" t="str">
        <f>IF(I54=0,"",VLOOKUP(I54,Municipalités!$A$2:$B$1290,2,TRUE))</f>
        <v/>
      </c>
    </row>
    <row r="55" spans="1:13" ht="30" customHeight="1" x14ac:dyDescent="0.25">
      <c r="A55" s="8"/>
      <c r="B55" s="8"/>
      <c r="C55" s="30"/>
      <c r="D55" s="8"/>
      <c r="E55" s="27"/>
      <c r="F55" s="31"/>
      <c r="G55" s="82" t="str">
        <f>IF(F55=0,"",VLOOKUP(F55,Employés!$A$2:$B$186,2,0))</f>
        <v/>
      </c>
      <c r="H55" s="82"/>
      <c r="I55" s="35"/>
      <c r="J55" s="29"/>
      <c r="K55" s="26"/>
      <c r="L55" s="25"/>
      <c r="M55" s="37" t="str">
        <f>IF(I55=0,"",VLOOKUP(I55,Municipalités!$A$2:$B$1290,2,TRUE))</f>
        <v/>
      </c>
    </row>
    <row r="56" spans="1:13" ht="30" customHeight="1" x14ac:dyDescent="0.25">
      <c r="A56" s="8"/>
      <c r="B56" s="8"/>
      <c r="C56" s="30"/>
      <c r="D56" s="8"/>
      <c r="E56" s="27"/>
      <c r="F56" s="31"/>
      <c r="G56" s="82" t="str">
        <f>IF(F56=0,"",VLOOKUP(F56,Employés!$A$2:$B$186,2,0))</f>
        <v/>
      </c>
      <c r="H56" s="82"/>
      <c r="I56" s="35"/>
      <c r="J56" s="29"/>
      <c r="K56" s="26"/>
      <c r="L56" s="25"/>
      <c r="M56" s="37" t="str">
        <f>IF(I56=0,"",VLOOKUP(I56,Municipalités!$A$2:$B$1290,2,TRUE))</f>
        <v/>
      </c>
    </row>
    <row r="57" spans="1:13" ht="30" customHeight="1" x14ac:dyDescent="0.25">
      <c r="A57" s="8"/>
      <c r="B57" s="8"/>
      <c r="C57" s="30"/>
      <c r="D57" s="8"/>
      <c r="E57" s="27"/>
      <c r="F57" s="31"/>
      <c r="G57" s="82" t="str">
        <f>IF(F57=0,"",VLOOKUP(F57,Employés!$A$2:$B$186,2,0))</f>
        <v/>
      </c>
      <c r="H57" s="82"/>
      <c r="I57" s="35"/>
      <c r="J57" s="29"/>
      <c r="K57" s="26"/>
      <c r="L57" s="25"/>
      <c r="M57" s="37" t="str">
        <f>IF(I57=0,"",VLOOKUP(I57,Municipalités!$A$2:$B$1290,2,TRUE))</f>
        <v/>
      </c>
    </row>
    <row r="58" spans="1:13" ht="30" customHeight="1" x14ac:dyDescent="0.25">
      <c r="A58" s="8"/>
      <c r="B58" s="8"/>
      <c r="C58" s="30"/>
      <c r="D58" s="8"/>
      <c r="E58" s="27"/>
      <c r="F58" s="31"/>
      <c r="G58" s="82" t="str">
        <f>IF(F58=0,"",VLOOKUP(F58,Employés!$A$2:$B$186,2,0))</f>
        <v/>
      </c>
      <c r="H58" s="82"/>
      <c r="I58" s="35"/>
      <c r="J58" s="29"/>
      <c r="K58" s="26"/>
      <c r="L58" s="25"/>
      <c r="M58" s="37" t="str">
        <f>IF(I58=0,"",VLOOKUP(I58,Municipalités!$A$2:$B$1290,2,TRUE))</f>
        <v/>
      </c>
    </row>
    <row r="59" spans="1:13" ht="30" customHeight="1" x14ac:dyDescent="0.25">
      <c r="A59" s="8"/>
      <c r="B59" s="8"/>
      <c r="C59" s="30"/>
      <c r="D59" s="8"/>
      <c r="E59" s="27"/>
      <c r="F59" s="31"/>
      <c r="G59" s="82" t="str">
        <f>IF(F59=0,"",VLOOKUP(F59,Employés!$A$2:$B$186,2,0))</f>
        <v/>
      </c>
      <c r="H59" s="82"/>
      <c r="I59" s="35"/>
      <c r="J59" s="29"/>
      <c r="K59" s="26"/>
      <c r="L59" s="25"/>
      <c r="M59" s="37" t="str">
        <f>IF(I59=0,"",VLOOKUP(I59,Municipalités!$A$2:$B$1290,2,TRUE))</f>
        <v/>
      </c>
    </row>
    <row r="60" spans="1:13" ht="30" customHeight="1" x14ac:dyDescent="0.25">
      <c r="A60" s="8"/>
      <c r="B60" s="8"/>
      <c r="C60" s="30"/>
      <c r="D60" s="8"/>
      <c r="E60" s="27"/>
      <c r="F60" s="31"/>
      <c r="G60" s="82" t="str">
        <f>IF(F60=0,"",VLOOKUP(F60,Employés!$A$2:$B$186,2,0))</f>
        <v/>
      </c>
      <c r="H60" s="82"/>
      <c r="I60" s="35"/>
      <c r="J60" s="29"/>
      <c r="K60" s="26"/>
      <c r="L60" s="25"/>
      <c r="M60" s="37" t="str">
        <f>IF(I60=0,"",VLOOKUP(I60,Municipalités!$A$2:$B$1290,2,TRUE))</f>
        <v/>
      </c>
    </row>
    <row r="61" spans="1:13" ht="30" customHeight="1" x14ac:dyDescent="0.25">
      <c r="A61" s="8"/>
      <c r="B61" s="8"/>
      <c r="C61" s="30"/>
      <c r="D61" s="8"/>
      <c r="E61" s="27"/>
      <c r="F61" s="31"/>
      <c r="G61" s="82" t="str">
        <f>IF(F61=0,"",VLOOKUP(F61,Employés!$A$2:$B$186,2,0))</f>
        <v/>
      </c>
      <c r="H61" s="82"/>
      <c r="I61" s="35"/>
      <c r="J61" s="29"/>
      <c r="K61" s="26"/>
      <c r="L61" s="25"/>
      <c r="M61" s="37" t="str">
        <f>IF(I61=0,"",VLOOKUP(I61,Municipalités!$A$2:$B$1290,2,TRUE))</f>
        <v/>
      </c>
    </row>
    <row r="62" spans="1:13" x14ac:dyDescent="0.25">
      <c r="C62" s="14"/>
    </row>
    <row r="63" spans="1:13" x14ac:dyDescent="0.25">
      <c r="C63" s="14"/>
    </row>
    <row r="64" spans="1:13" x14ac:dyDescent="0.25">
      <c r="C64" s="14"/>
    </row>
    <row r="65" spans="3:5" x14ac:dyDescent="0.25">
      <c r="C65" s="14"/>
    </row>
    <row r="66" spans="3:5" x14ac:dyDescent="0.25">
      <c r="C66" s="14"/>
    </row>
    <row r="67" spans="3:5" x14ac:dyDescent="0.25">
      <c r="C67" s="14"/>
    </row>
    <row r="68" spans="3:5" x14ac:dyDescent="0.25">
      <c r="C68" s="14"/>
    </row>
    <row r="69" spans="3:5" x14ac:dyDescent="0.25">
      <c r="C69" s="14"/>
    </row>
    <row r="70" spans="3:5" x14ac:dyDescent="0.25">
      <c r="C70" s="14"/>
    </row>
    <row r="71" spans="3:5" x14ac:dyDescent="0.25">
      <c r="C71" s="14"/>
    </row>
    <row r="72" spans="3:5" x14ac:dyDescent="0.25">
      <c r="C72" s="14"/>
    </row>
    <row r="73" spans="3:5" x14ac:dyDescent="0.25">
      <c r="C73" s="14"/>
    </row>
    <row r="74" spans="3:5" x14ac:dyDescent="0.25">
      <c r="C74" s="14"/>
    </row>
    <row r="75" spans="3:5" x14ac:dyDescent="0.25">
      <c r="C75" s="14"/>
    </row>
    <row r="76" spans="3:5" x14ac:dyDescent="0.25">
      <c r="C76" s="14"/>
    </row>
    <row r="77" spans="3:5" x14ac:dyDescent="0.25">
      <c r="C77" s="14"/>
    </row>
    <row r="78" spans="3:5" x14ac:dyDescent="0.25">
      <c r="C78" s="14"/>
      <c r="E78" s="21" t="s">
        <v>1420</v>
      </c>
    </row>
    <row r="79" spans="3:5" x14ac:dyDescent="0.25">
      <c r="C79" s="14"/>
    </row>
    <row r="80" spans="3:5" x14ac:dyDescent="0.25">
      <c r="C80" s="14"/>
    </row>
    <row r="81" spans="3:3" x14ac:dyDescent="0.25">
      <c r="C81" s="14"/>
    </row>
    <row r="82" spans="3:3" x14ac:dyDescent="0.25">
      <c r="C82" s="14"/>
    </row>
    <row r="83" spans="3:3" x14ac:dyDescent="0.25">
      <c r="C83" s="14"/>
    </row>
    <row r="84" spans="3:3" x14ac:dyDescent="0.25">
      <c r="C84" s="14"/>
    </row>
    <row r="85" spans="3:3" x14ac:dyDescent="0.25">
      <c r="C85" s="14"/>
    </row>
    <row r="86" spans="3:3" x14ac:dyDescent="0.25">
      <c r="C86" s="14"/>
    </row>
    <row r="87" spans="3:3" x14ac:dyDescent="0.25">
      <c r="C87" s="14"/>
    </row>
    <row r="88" spans="3:3" x14ac:dyDescent="0.25">
      <c r="C88" s="14"/>
    </row>
    <row r="89" spans="3:3" x14ac:dyDescent="0.25">
      <c r="C89" s="14"/>
    </row>
    <row r="90" spans="3:3" x14ac:dyDescent="0.25">
      <c r="C90" s="14"/>
    </row>
    <row r="91" spans="3:3" x14ac:dyDescent="0.25">
      <c r="C91" s="14"/>
    </row>
    <row r="92" spans="3:3" x14ac:dyDescent="0.25">
      <c r="C92" s="14"/>
    </row>
    <row r="93" spans="3:3" x14ac:dyDescent="0.25">
      <c r="C93" s="14"/>
    </row>
    <row r="94" spans="3:3" x14ac:dyDescent="0.25">
      <c r="C94" s="14"/>
    </row>
    <row r="95" spans="3:3" x14ac:dyDescent="0.25">
      <c r="C95" s="14"/>
    </row>
    <row r="96" spans="3:3" x14ac:dyDescent="0.25">
      <c r="C96" s="14"/>
    </row>
    <row r="97" spans="3:3" x14ac:dyDescent="0.25">
      <c r="C97" s="14"/>
    </row>
    <row r="98" spans="3:3" x14ac:dyDescent="0.25">
      <c r="C98" s="14"/>
    </row>
  </sheetData>
  <mergeCells count="67">
    <mergeCell ref="G59:H59"/>
    <mergeCell ref="G60:H60"/>
    <mergeCell ref="G61:H61"/>
    <mergeCell ref="G53:H53"/>
    <mergeCell ref="G54:H54"/>
    <mergeCell ref="G55:H55"/>
    <mergeCell ref="G56:H56"/>
    <mergeCell ref="G57:H57"/>
    <mergeCell ref="G58:H58"/>
    <mergeCell ref="G52:H52"/>
    <mergeCell ref="G41:H41"/>
    <mergeCell ref="G42:H42"/>
    <mergeCell ref="G43:H43"/>
    <mergeCell ref="G44:H44"/>
    <mergeCell ref="G45:H45"/>
    <mergeCell ref="G46:H46"/>
    <mergeCell ref="G47:H47"/>
    <mergeCell ref="G48:H48"/>
    <mergeCell ref="G49:H49"/>
    <mergeCell ref="G50:H50"/>
    <mergeCell ref="G51:H51"/>
    <mergeCell ref="G40:H40"/>
    <mergeCell ref="G29:H29"/>
    <mergeCell ref="G30:H30"/>
    <mergeCell ref="G31:H31"/>
    <mergeCell ref="G32:H32"/>
    <mergeCell ref="G33:H33"/>
    <mergeCell ref="G34:H34"/>
    <mergeCell ref="G35:H35"/>
    <mergeCell ref="G36:H36"/>
    <mergeCell ref="G37:H37"/>
    <mergeCell ref="G38:H38"/>
    <mergeCell ref="G39:H39"/>
    <mergeCell ref="G28:H28"/>
    <mergeCell ref="G17:H17"/>
    <mergeCell ref="G18:H18"/>
    <mergeCell ref="G19:H19"/>
    <mergeCell ref="G20:H20"/>
    <mergeCell ref="G21:H21"/>
    <mergeCell ref="G22:H22"/>
    <mergeCell ref="G23:H23"/>
    <mergeCell ref="G24:H24"/>
    <mergeCell ref="G25:H25"/>
    <mergeCell ref="G26:H26"/>
    <mergeCell ref="G27:H27"/>
    <mergeCell ref="M2:M4"/>
    <mergeCell ref="G16:H16"/>
    <mergeCell ref="I6:I7"/>
    <mergeCell ref="J6:J7"/>
    <mergeCell ref="K6:M6"/>
    <mergeCell ref="G8:H8"/>
    <mergeCell ref="G9:H9"/>
    <mergeCell ref="G10:H10"/>
    <mergeCell ref="G11:H11"/>
    <mergeCell ref="G12:H12"/>
    <mergeCell ref="G13:H13"/>
    <mergeCell ref="G14:H14"/>
    <mergeCell ref="G15:H15"/>
    <mergeCell ref="E1:F4"/>
    <mergeCell ref="L1:L2"/>
    <mergeCell ref="A6:A7"/>
    <mergeCell ref="B6:B7"/>
    <mergeCell ref="C6:C7"/>
    <mergeCell ref="D6:D7"/>
    <mergeCell ref="E6:E7"/>
    <mergeCell ref="F6:F7"/>
    <mergeCell ref="G6:H7"/>
  </mergeCells>
  <conditionalFormatting sqref="C16:C21 C23:C45">
    <cfRule type="expression" dxfId="71" priority="7" stopIfTrue="1">
      <formula>#REF!=1</formula>
    </cfRule>
    <cfRule type="expression" priority="8" stopIfTrue="1">
      <formula>#REF!=2</formula>
    </cfRule>
    <cfRule type="expression" dxfId="70" priority="9" stopIfTrue="1">
      <formula>#REF!=3</formula>
    </cfRule>
  </conditionalFormatting>
  <conditionalFormatting sqref="C22">
    <cfRule type="expression" dxfId="69" priority="4" stopIfTrue="1">
      <formula>#REF!=1</formula>
    </cfRule>
    <cfRule type="expression" priority="5" stopIfTrue="1">
      <formula>#REF!=2</formula>
    </cfRule>
    <cfRule type="expression" dxfId="68" priority="6" stopIfTrue="1">
      <formula>#REF!=3</formula>
    </cfRule>
  </conditionalFormatting>
  <conditionalFormatting sqref="C46:C61">
    <cfRule type="expression" dxfId="67" priority="1" stopIfTrue="1">
      <formula>#REF!=1</formula>
    </cfRule>
    <cfRule type="expression" priority="2" stopIfTrue="1">
      <formula>#REF!=2</formula>
    </cfRule>
    <cfRule type="expression" dxfId="66" priority="3" stopIfTrue="1">
      <formula>#REF!=3</formula>
    </cfRule>
  </conditionalFormatting>
  <dataValidations count="2">
    <dataValidation operator="greaterThan" allowBlank="1" showDropDown="1" showInputMessage="1" showErrorMessage="1" errorTitle="Saisie incorrecte" error="Re-Saisir le numéro de dossier sous le format_x000a_000-000000-000" promptTitle="Saisie du numéro d'événement" prompt="000-000000-000_x000a_Ex. : 071-030901-001" sqref="J8:J39" xr:uid="{00000000-0002-0000-1300-000000000000}"/>
    <dataValidation type="textLength" operator="greaterThanOrEqual" allowBlank="1" showInputMessage="1" showErrorMessage="1" errorTitle="Saisie incorrecte" error="Re-saisir le numéro d'entrée en utilisant 3 chiffres_x000a_Ex.: 001" promptTitle="Saisie du numéro d'entrée" prompt="Minimum 3 chiffres_x000a_Ex.: 001" sqref="C8:C39" xr:uid="{00000000-0002-0000-1300-000001000000}">
      <formula1>3</formula1>
    </dataValidation>
  </dataValidations>
  <printOptions horizontalCentered="1" verticalCentered="1"/>
  <pageMargins left="0" right="0" top="0.31496062992125984" bottom="0.39370078740157483" header="0.15748031496062992" footer="0.19685039370078741"/>
  <pageSetup paperSize="5" scale="90" orientation="landscape" r:id="rId1"/>
  <headerFooter alignWithMargins="0">
    <oddFooter>&amp;R&amp;8Page &amp;P de &amp;N</oddFooter>
  </headerFooter>
  <drawing r:id="rId2"/>
  <legacyDrawing r:id="rId3"/>
  <controls>
    <mc:AlternateContent xmlns:mc="http://schemas.openxmlformats.org/markup-compatibility/2006">
      <mc:Choice Requires="x14">
        <control shapeId="161795" r:id="rId4" name="ComboBox2">
          <controlPr defaultSize="0" autoLine="0" r:id="rId5">
            <anchor moveWithCells="1">
              <from>
                <xdr:col>4</xdr:col>
                <xdr:colOff>0</xdr:colOff>
                <xdr:row>10</xdr:row>
                <xdr:rowOff>0</xdr:rowOff>
              </from>
              <to>
                <xdr:col>4</xdr:col>
                <xdr:colOff>2965450</xdr:colOff>
                <xdr:row>11</xdr:row>
                <xdr:rowOff>38100</xdr:rowOff>
              </to>
            </anchor>
          </controlPr>
        </control>
      </mc:Choice>
      <mc:Fallback>
        <control shapeId="161795" r:id="rId4" name="ComboBox2"/>
      </mc:Fallback>
    </mc:AlternateContent>
    <mc:AlternateContent xmlns:mc="http://schemas.openxmlformats.org/markup-compatibility/2006">
      <mc:Choice Requires="x14">
        <control shapeId="161794" r:id="rId6" name="ComboBox1">
          <controlPr defaultSize="0" autoLine="0" r:id="rId7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11</xdr:col>
                <xdr:colOff>1803400</xdr:colOff>
                <xdr:row>9</xdr:row>
                <xdr:rowOff>38100</xdr:rowOff>
              </to>
            </anchor>
          </controlPr>
        </control>
      </mc:Choice>
      <mc:Fallback>
        <control shapeId="161794" r:id="rId6" name="ComboBox1"/>
      </mc:Fallback>
    </mc:AlternateContent>
    <mc:AlternateContent xmlns:mc="http://schemas.openxmlformats.org/markup-compatibility/2006">
      <mc:Choice Requires="x14">
        <control shapeId="161793" r:id="rId8" name="Button 1">
          <controlPr defaultSize="0" print="0" autoFill="0" autoPict="0" macro="[0]!test2">
            <anchor moveWithCells="1">
              <from>
                <xdr:col>5</xdr:col>
                <xdr:colOff>222250</xdr:colOff>
                <xdr:row>1</xdr:row>
                <xdr:rowOff>139700</xdr:rowOff>
              </from>
              <to>
                <xdr:col>9</xdr:col>
                <xdr:colOff>1143000</xdr:colOff>
                <xdr:row>4</xdr:row>
                <xdr:rowOff>107950</xdr:rowOff>
              </to>
            </anchor>
          </controlPr>
        </control>
      </mc:Choice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78"/>
  <dimension ref="A1:M98"/>
  <sheetViews>
    <sheetView showGridLines="0" zoomScaleNormal="100" workbookViewId="0">
      <pane xSplit="3" ySplit="7" topLeftCell="D8" activePane="bottomRight" state="frozen"/>
      <selection activeCell="C8" sqref="C8"/>
      <selection pane="topRight" activeCell="C8" sqref="C8"/>
      <selection pane="bottomLeft" activeCell="C8" sqref="C8"/>
      <selection pane="bottomRight" activeCell="M2" sqref="M2:M5"/>
    </sheetView>
  </sheetViews>
  <sheetFormatPr baseColWidth="10" defaultColWidth="11.453125" defaultRowHeight="13" x14ac:dyDescent="0.25"/>
  <cols>
    <col min="1" max="2" width="5.6328125" style="1" customWidth="1"/>
    <col min="3" max="3" width="6.6328125" style="1" customWidth="1"/>
    <col min="4" max="4" width="7.54296875" style="1" customWidth="1"/>
    <col min="5" max="5" width="44.453125" style="21" customWidth="1"/>
    <col min="6" max="6" width="10.54296875" style="1" customWidth="1"/>
    <col min="7" max="7" width="13.90625" style="1" customWidth="1"/>
    <col min="8" max="8" width="4.6328125" style="1" hidden="1" customWidth="1"/>
    <col min="9" max="9" width="6.08984375" style="1" customWidth="1"/>
    <col min="10" max="10" width="26.54296875" style="1" customWidth="1"/>
    <col min="11" max="11" width="7.36328125" style="1" customWidth="1"/>
    <col min="12" max="12" width="27" style="24" customWidth="1"/>
    <col min="13" max="13" width="26" style="1" customWidth="1"/>
    <col min="14" max="16384" width="11.453125" style="1"/>
  </cols>
  <sheetData>
    <row r="1" spans="1:13" ht="12.75" customHeight="1" x14ac:dyDescent="0.25">
      <c r="E1" s="71" t="s">
        <v>1023</v>
      </c>
      <c r="F1" s="72"/>
      <c r="L1" s="73" t="s">
        <v>1021</v>
      </c>
      <c r="M1" s="51" t="s">
        <v>1022</v>
      </c>
    </row>
    <row r="2" spans="1:13" ht="12.75" customHeight="1" x14ac:dyDescent="0.25">
      <c r="E2" s="72"/>
      <c r="F2" s="72"/>
      <c r="L2" s="74"/>
      <c r="M2" s="70">
        <f>'20'!M2:M5+1</f>
        <v>42725</v>
      </c>
    </row>
    <row r="3" spans="1:13" ht="12.75" customHeight="1" x14ac:dyDescent="0.25">
      <c r="E3" s="72"/>
      <c r="F3" s="72"/>
      <c r="L3" s="52"/>
      <c r="M3" s="70"/>
    </row>
    <row r="4" spans="1:13" ht="15.75" customHeight="1" x14ac:dyDescent="0.25">
      <c r="E4" s="72"/>
      <c r="F4" s="72"/>
      <c r="L4" s="49" t="s">
        <v>140</v>
      </c>
      <c r="M4" s="70"/>
    </row>
    <row r="5" spans="1:13" ht="21.9" customHeight="1" thickBot="1" x14ac:dyDescent="0.3">
      <c r="L5" s="36"/>
      <c r="M5" s="69">
        <f>M2</f>
        <v>42725</v>
      </c>
    </row>
    <row r="6" spans="1:13" ht="24.9" customHeight="1" x14ac:dyDescent="0.25">
      <c r="A6" s="75" t="s">
        <v>2351</v>
      </c>
      <c r="B6" s="75" t="s">
        <v>2350</v>
      </c>
      <c r="C6" s="76" t="s">
        <v>1362</v>
      </c>
      <c r="D6" s="75" t="s">
        <v>1153</v>
      </c>
      <c r="E6" s="75" t="s">
        <v>1016</v>
      </c>
      <c r="F6" s="76" t="s">
        <v>2352</v>
      </c>
      <c r="G6" s="76" t="s">
        <v>1017</v>
      </c>
      <c r="H6" s="79"/>
      <c r="I6" s="76" t="s">
        <v>1364</v>
      </c>
      <c r="J6" s="76" t="s">
        <v>1363</v>
      </c>
      <c r="K6" s="83" t="s">
        <v>1018</v>
      </c>
      <c r="L6" s="84"/>
      <c r="M6" s="84"/>
    </row>
    <row r="7" spans="1:13" ht="12.5" x14ac:dyDescent="0.25">
      <c r="A7" s="75"/>
      <c r="B7" s="75"/>
      <c r="C7" s="77"/>
      <c r="D7" s="75"/>
      <c r="E7" s="75"/>
      <c r="F7" s="78"/>
      <c r="G7" s="80"/>
      <c r="H7" s="81"/>
      <c r="I7" s="77"/>
      <c r="J7" s="77"/>
      <c r="K7" s="50" t="s">
        <v>1015</v>
      </c>
      <c r="L7" s="50" t="s">
        <v>1019</v>
      </c>
      <c r="M7" s="32" t="s">
        <v>1020</v>
      </c>
    </row>
    <row r="8" spans="1:13" ht="30" customHeight="1" x14ac:dyDescent="0.25">
      <c r="A8" s="45"/>
      <c r="B8" s="45"/>
      <c r="C8" s="30"/>
      <c r="D8" s="46"/>
      <c r="E8" s="27"/>
      <c r="F8" s="31"/>
      <c r="G8" s="82" t="str">
        <f>IF(F8=0,"",VLOOKUP(F8,Employés!$A$2:$B$186,2,0))</f>
        <v/>
      </c>
      <c r="H8" s="82"/>
      <c r="I8" s="34"/>
      <c r="J8" s="33"/>
      <c r="K8" s="19"/>
      <c r="L8" s="20" t="s">
        <v>1420</v>
      </c>
      <c r="M8" s="37" t="str">
        <f>IF(I8=0,"",VLOOKUP(I8,Municipalités!$A$2:$B$1290,2,TRUE))</f>
        <v/>
      </c>
    </row>
    <row r="9" spans="1:13" ht="30" customHeight="1" x14ac:dyDescent="0.25">
      <c r="A9" s="45"/>
      <c r="B9" s="45"/>
      <c r="C9" s="39"/>
      <c r="D9" s="47"/>
      <c r="E9" s="27"/>
      <c r="F9" s="31"/>
      <c r="G9" s="82" t="str">
        <f>IF(F9=0,"",VLOOKUP(F9,Employés!$A$2:$B$186,2,0))</f>
        <v/>
      </c>
      <c r="H9" s="82"/>
      <c r="I9" s="35"/>
      <c r="J9" s="33"/>
      <c r="K9" s="19"/>
      <c r="L9" s="20"/>
      <c r="M9" s="37" t="str">
        <f>IF(I9=0,"",VLOOKUP(I9,Municipalités!$A$2:$B$1290,2,TRUE))</f>
        <v/>
      </c>
    </row>
    <row r="10" spans="1:13" ht="30" customHeight="1" x14ac:dyDescent="0.25">
      <c r="A10" s="45"/>
      <c r="B10" s="45"/>
      <c r="C10" s="39"/>
      <c r="D10" s="48"/>
      <c r="E10" s="28"/>
      <c r="F10" s="31"/>
      <c r="G10" s="82" t="str">
        <f>IF(F10=0,"",VLOOKUP(F10,Employés!$A$2:$B$186,2,0))</f>
        <v/>
      </c>
      <c r="H10" s="82"/>
      <c r="I10" s="35"/>
      <c r="J10" s="29"/>
      <c r="K10" s="19"/>
      <c r="L10" s="20"/>
      <c r="M10" s="37" t="str">
        <f>IF(I10=0,"",VLOOKUP(I10,Municipalités!$A$2:$B$1290,2,TRUE))</f>
        <v/>
      </c>
    </row>
    <row r="11" spans="1:13" ht="30" customHeight="1" x14ac:dyDescent="0.25">
      <c r="A11" s="45"/>
      <c r="B11" s="45"/>
      <c r="C11" s="39"/>
      <c r="D11" s="47"/>
      <c r="E11" s="28" t="s">
        <v>1420</v>
      </c>
      <c r="F11" s="31"/>
      <c r="G11" s="82" t="str">
        <f>IF(F11=0,"",VLOOKUP(F11,Employés!$A$2:$B$186,2,0))</f>
        <v/>
      </c>
      <c r="H11" s="82"/>
      <c r="I11" s="35"/>
      <c r="J11" s="29"/>
      <c r="K11" s="19"/>
      <c r="L11" s="20"/>
      <c r="M11" s="37" t="str">
        <f>IF(I11=0,"",VLOOKUP(I11,Municipalités!$A$2:$B$1290,2,TRUE))</f>
        <v/>
      </c>
    </row>
    <row r="12" spans="1:13" ht="30" customHeight="1" x14ac:dyDescent="0.25">
      <c r="A12" s="45"/>
      <c r="B12" s="45"/>
      <c r="C12" s="39"/>
      <c r="D12" s="46"/>
      <c r="E12" s="27"/>
      <c r="F12" s="31"/>
      <c r="G12" s="82" t="str">
        <f>IF(F12=0,"",VLOOKUP(F12,Employés!$A$2:$B$186,2,0))</f>
        <v/>
      </c>
      <c r="H12" s="82"/>
      <c r="I12" s="35"/>
      <c r="J12" s="29"/>
      <c r="K12" s="19"/>
      <c r="L12" s="20"/>
      <c r="M12" s="37" t="str">
        <f>IF(I12=0,"",VLOOKUP(I12,Municipalités!$A$2:$B$1290,2,TRUE))</f>
        <v/>
      </c>
    </row>
    <row r="13" spans="1:13" ht="30" customHeight="1" x14ac:dyDescent="0.25">
      <c r="A13" s="45"/>
      <c r="B13" s="45"/>
      <c r="C13" s="39"/>
      <c r="D13" s="46"/>
      <c r="E13" s="27"/>
      <c r="F13" s="31"/>
      <c r="G13" s="82" t="str">
        <f>IF(F13=0,"",VLOOKUP(F13,Employés!$A$2:$B$186,2,0))</f>
        <v/>
      </c>
      <c r="H13" s="82"/>
      <c r="I13" s="35"/>
      <c r="J13" s="29"/>
      <c r="K13" s="19"/>
      <c r="L13" s="20"/>
      <c r="M13" s="37" t="str">
        <f>IF(I13=0,"",VLOOKUP(I13,Municipalités!$A$2:$B$1290,2,TRUE))</f>
        <v/>
      </c>
    </row>
    <row r="14" spans="1:13" ht="30" customHeight="1" x14ac:dyDescent="0.25">
      <c r="A14" s="45"/>
      <c r="B14" s="45"/>
      <c r="C14" s="39"/>
      <c r="D14" s="47"/>
      <c r="E14" s="27"/>
      <c r="F14" s="31"/>
      <c r="G14" s="82" t="str">
        <f>IF(F14=0,"",VLOOKUP(F14,Employés!$A$2:$B$186,2,0))</f>
        <v/>
      </c>
      <c r="H14" s="82"/>
      <c r="I14" s="35"/>
      <c r="J14" s="29"/>
      <c r="K14" s="19"/>
      <c r="L14" s="20"/>
      <c r="M14" s="37" t="str">
        <f>IF(I14=0,"",VLOOKUP(I14,Municipalités!$A$2:$B$1290,2,TRUE))</f>
        <v/>
      </c>
    </row>
    <row r="15" spans="1:13" ht="30" customHeight="1" x14ac:dyDescent="0.25">
      <c r="A15" s="45"/>
      <c r="B15" s="45"/>
      <c r="C15" s="39"/>
      <c r="D15" s="47"/>
      <c r="E15" s="27"/>
      <c r="F15" s="31"/>
      <c r="G15" s="82" t="str">
        <f>IF(F15=0,"",VLOOKUP(F15,Employés!$A$2:$B$186,2,0))</f>
        <v/>
      </c>
      <c r="H15" s="82"/>
      <c r="I15" s="35"/>
      <c r="J15" s="29"/>
      <c r="K15" s="19"/>
      <c r="L15" s="20"/>
      <c r="M15" s="37" t="str">
        <f>IF(I15=0,"",VLOOKUP(I15,Municipalités!$A$2:$B$1290,2,TRUE))</f>
        <v/>
      </c>
    </row>
    <row r="16" spans="1:13" ht="30" customHeight="1" x14ac:dyDescent="0.25">
      <c r="A16" s="45"/>
      <c r="B16" s="45"/>
      <c r="C16" s="39"/>
      <c r="D16" s="46"/>
      <c r="E16" s="27"/>
      <c r="F16" s="31"/>
      <c r="G16" s="82" t="str">
        <f>IF(F16=0,"",VLOOKUP(F16,Employés!$A$2:$B$186,2,0))</f>
        <v/>
      </c>
      <c r="H16" s="82"/>
      <c r="I16" s="35"/>
      <c r="J16" s="29"/>
      <c r="K16" s="19"/>
      <c r="L16" s="20"/>
      <c r="M16" s="37" t="str">
        <f>IF(I16=0,"",VLOOKUP(I16,Municipalités!$A$2:$B$1290,2,TRUE))</f>
        <v/>
      </c>
    </row>
    <row r="17" spans="1:13" ht="30" customHeight="1" x14ac:dyDescent="0.25">
      <c r="A17" s="45"/>
      <c r="B17" s="45"/>
      <c r="C17" s="39"/>
      <c r="D17" s="46"/>
      <c r="E17" s="27"/>
      <c r="F17" s="31"/>
      <c r="G17" s="82" t="str">
        <f>IF(F17=0,"",VLOOKUP(F17,Employés!$A$2:$B$186,2,0))</f>
        <v/>
      </c>
      <c r="H17" s="82"/>
      <c r="I17" s="35"/>
      <c r="J17" s="29"/>
      <c r="K17" s="19"/>
      <c r="L17" s="20"/>
      <c r="M17" s="37" t="str">
        <f>IF(I17=0,"",VLOOKUP(I17,Municipalités!$A$2:$B$1290,2,TRUE))</f>
        <v/>
      </c>
    </row>
    <row r="18" spans="1:13" ht="30" customHeight="1" x14ac:dyDescent="0.25">
      <c r="A18" s="45"/>
      <c r="B18" s="45"/>
      <c r="C18" s="39"/>
      <c r="D18" s="46"/>
      <c r="E18" s="27"/>
      <c r="F18" s="31"/>
      <c r="G18" s="82" t="str">
        <f>IF(F18=0,"",VLOOKUP(F18,Employés!$A$2:$B$186,2,0))</f>
        <v/>
      </c>
      <c r="H18" s="82"/>
      <c r="I18" s="35"/>
      <c r="J18" s="29"/>
      <c r="K18" s="19"/>
      <c r="L18" s="20"/>
      <c r="M18" s="37" t="str">
        <f>IF(I18=0,"",VLOOKUP(I18,Municipalités!$A$2:$B$1290,2,TRUE))</f>
        <v/>
      </c>
    </row>
    <row r="19" spans="1:13" ht="30" customHeight="1" x14ac:dyDescent="0.25">
      <c r="A19" s="45"/>
      <c r="B19" s="45"/>
      <c r="C19" s="39"/>
      <c r="D19" s="46"/>
      <c r="E19" s="27"/>
      <c r="F19" s="31"/>
      <c r="G19" s="82" t="str">
        <f>IF(F19=0,"",VLOOKUP(F19,Employés!$A$2:$B$186,2,0))</f>
        <v/>
      </c>
      <c r="H19" s="82"/>
      <c r="I19" s="35"/>
      <c r="J19" s="29"/>
      <c r="K19" s="19"/>
      <c r="L19" s="20"/>
      <c r="M19" s="37" t="str">
        <f>IF(I19=0,"",VLOOKUP(I19,Municipalités!$A$2:$B$1290,2,TRUE))</f>
        <v/>
      </c>
    </row>
    <row r="20" spans="1:13" ht="30" customHeight="1" x14ac:dyDescent="0.25">
      <c r="A20" s="45"/>
      <c r="B20" s="45"/>
      <c r="C20" s="39"/>
      <c r="D20" s="47"/>
      <c r="E20" s="27"/>
      <c r="F20" s="31"/>
      <c r="G20" s="82" t="str">
        <f>IF(F20=0,"",VLOOKUP(F20,Employés!$A$2:$B$186,2,0))</f>
        <v/>
      </c>
      <c r="H20" s="82"/>
      <c r="I20" s="35"/>
      <c r="J20" s="29"/>
      <c r="K20" s="19"/>
      <c r="L20" s="20"/>
      <c r="M20" s="37" t="str">
        <f>IF(I20=0,"",VLOOKUP(I20,Municipalités!$A$2:$B$1290,2,TRUE))</f>
        <v/>
      </c>
    </row>
    <row r="21" spans="1:13" ht="30" customHeight="1" x14ac:dyDescent="0.25">
      <c r="A21" s="45"/>
      <c r="B21" s="45"/>
      <c r="C21" s="39"/>
      <c r="D21" s="47"/>
      <c r="E21" s="27"/>
      <c r="F21" s="31"/>
      <c r="G21" s="82" t="str">
        <f>IF(F21=0,"",VLOOKUP(F21,Employés!$A$2:$B$186,2,0))</f>
        <v/>
      </c>
      <c r="H21" s="82"/>
      <c r="I21" s="35"/>
      <c r="J21" s="29"/>
      <c r="K21" s="19"/>
      <c r="L21" s="20"/>
      <c r="M21" s="37" t="str">
        <f>IF(I21=0,"",VLOOKUP(I21,Municipalités!$A$2:$B$1290,2,TRUE))</f>
        <v/>
      </c>
    </row>
    <row r="22" spans="1:13" ht="30" customHeight="1" x14ac:dyDescent="0.25">
      <c r="A22" s="45"/>
      <c r="B22" s="45"/>
      <c r="C22" s="39"/>
      <c r="D22" s="46"/>
      <c r="E22" s="27"/>
      <c r="F22" s="31"/>
      <c r="G22" s="82" t="str">
        <f>IF(F22=0,"",VLOOKUP(F22,Employés!$A$2:$B$186,2,0))</f>
        <v/>
      </c>
      <c r="H22" s="82"/>
      <c r="I22" s="35"/>
      <c r="J22" s="29"/>
      <c r="K22" s="19"/>
      <c r="L22" s="20"/>
      <c r="M22" s="37" t="str">
        <f>IF(I22=0,"",VLOOKUP(I22,Municipalités!$A$2:$B$1290,2,TRUE))</f>
        <v/>
      </c>
    </row>
    <row r="23" spans="1:13" ht="30" customHeight="1" x14ac:dyDescent="0.25">
      <c r="A23" s="45"/>
      <c r="B23" s="45"/>
      <c r="C23" s="39"/>
      <c r="D23" s="46"/>
      <c r="E23" s="27"/>
      <c r="F23" s="31"/>
      <c r="G23" s="82" t="str">
        <f>IF(F23=0,"",VLOOKUP(F23,Employés!$A$2:$B$186,2,0))</f>
        <v/>
      </c>
      <c r="H23" s="82"/>
      <c r="I23" s="35"/>
      <c r="J23" s="29"/>
      <c r="K23" s="19"/>
      <c r="L23" s="20"/>
      <c r="M23" s="37" t="str">
        <f>IF(I23=0,"",VLOOKUP(I23,Municipalités!$A$2:$B$1290,2,TRUE))</f>
        <v/>
      </c>
    </row>
    <row r="24" spans="1:13" ht="30" customHeight="1" x14ac:dyDescent="0.25">
      <c r="A24" s="45"/>
      <c r="B24" s="45"/>
      <c r="C24" s="39"/>
      <c r="D24" s="46"/>
      <c r="E24" s="27"/>
      <c r="F24" s="31"/>
      <c r="G24" s="82" t="str">
        <f>IF(F24=0,"",VLOOKUP(F24,Employés!$A$2:$B$186,2,0))</f>
        <v/>
      </c>
      <c r="H24" s="82"/>
      <c r="I24" s="35"/>
      <c r="J24" s="29"/>
      <c r="K24" s="19"/>
      <c r="L24" s="20"/>
      <c r="M24" s="37" t="str">
        <f>IF(I24=0,"",VLOOKUP(I24,Municipalités!$A$2:$B$1290,2,TRUE))</f>
        <v/>
      </c>
    </row>
    <row r="25" spans="1:13" ht="30" customHeight="1" x14ac:dyDescent="0.25">
      <c r="A25" s="45"/>
      <c r="B25" s="45"/>
      <c r="C25" s="39"/>
      <c r="D25" s="46"/>
      <c r="E25" s="27"/>
      <c r="F25" s="31"/>
      <c r="G25" s="82" t="str">
        <f>IF(F25=0,"",VLOOKUP(F25,Employés!$A$2:$B$186,2,0))</f>
        <v/>
      </c>
      <c r="H25" s="82"/>
      <c r="I25" s="35"/>
      <c r="J25" s="29"/>
      <c r="K25" s="19"/>
      <c r="L25" s="20"/>
      <c r="M25" s="37" t="str">
        <f>IF(I25=0,"",VLOOKUP(I25,Municipalités!$A$2:$B$1290,2,TRUE))</f>
        <v/>
      </c>
    </row>
    <row r="26" spans="1:13" ht="30" customHeight="1" x14ac:dyDescent="0.25">
      <c r="A26" s="45"/>
      <c r="B26" s="45"/>
      <c r="C26" s="39"/>
      <c r="D26" s="46"/>
      <c r="E26" s="27"/>
      <c r="F26" s="31"/>
      <c r="G26" s="82" t="str">
        <f>IF(F26=0,"",VLOOKUP(F26,Employés!$A$2:$B$186,2,0))</f>
        <v/>
      </c>
      <c r="H26" s="82"/>
      <c r="I26" s="35"/>
      <c r="J26" s="29"/>
      <c r="K26" s="19"/>
      <c r="L26" s="20"/>
      <c r="M26" s="37" t="str">
        <f>IF(I26=0,"",VLOOKUP(I26,Municipalités!$A$2:$B$1290,2,TRUE))</f>
        <v/>
      </c>
    </row>
    <row r="27" spans="1:13" ht="30" customHeight="1" x14ac:dyDescent="0.25">
      <c r="A27" s="45"/>
      <c r="B27" s="45"/>
      <c r="C27" s="39"/>
      <c r="D27" s="46"/>
      <c r="E27" s="27"/>
      <c r="F27" s="31"/>
      <c r="G27" s="82" t="str">
        <f>IF(F27=0,"",VLOOKUP(F27,Employés!$A$2:$B$186,2,0))</f>
        <v/>
      </c>
      <c r="H27" s="82"/>
      <c r="I27" s="35"/>
      <c r="J27" s="29"/>
      <c r="K27" s="19"/>
      <c r="L27" s="20"/>
      <c r="M27" s="37" t="str">
        <f>IF(I27=0,"",VLOOKUP(I27,Municipalités!$A$2:$B$1290,2,TRUE))</f>
        <v/>
      </c>
    </row>
    <row r="28" spans="1:13" ht="30" customHeight="1" x14ac:dyDescent="0.25">
      <c r="A28" s="45"/>
      <c r="B28" s="45"/>
      <c r="C28" s="39"/>
      <c r="D28" s="46"/>
      <c r="E28" s="27"/>
      <c r="F28" s="31"/>
      <c r="G28" s="82" t="str">
        <f>IF(F28=0,"",VLOOKUP(F28,Employés!$A$2:$B$186,2,0))</f>
        <v/>
      </c>
      <c r="H28" s="82"/>
      <c r="I28" s="35"/>
      <c r="J28" s="29"/>
      <c r="K28" s="19"/>
      <c r="L28" s="20"/>
      <c r="M28" s="37" t="str">
        <f>IF(I28=0,"",VLOOKUP(I28,Municipalités!$A$2:$B$1290,2,TRUE))</f>
        <v/>
      </c>
    </row>
    <row r="29" spans="1:13" ht="30" customHeight="1" x14ac:dyDescent="0.25">
      <c r="A29" s="45"/>
      <c r="B29" s="45"/>
      <c r="C29" s="39"/>
      <c r="D29" s="46"/>
      <c r="E29" s="27"/>
      <c r="F29" s="31"/>
      <c r="G29" s="82" t="str">
        <f>IF(F29=0,"",VLOOKUP(F29,Employés!$A$2:$B$186,2,0))</f>
        <v/>
      </c>
      <c r="H29" s="82"/>
      <c r="I29" s="35"/>
      <c r="J29" s="29"/>
      <c r="K29" s="19"/>
      <c r="L29" s="20"/>
      <c r="M29" s="37" t="str">
        <f>IF(I29=0,"",VLOOKUP(I29,Municipalités!$A$2:$B$1290,2,TRUE))</f>
        <v/>
      </c>
    </row>
    <row r="30" spans="1:13" ht="30" customHeight="1" x14ac:dyDescent="0.25">
      <c r="A30" s="45"/>
      <c r="B30" s="45"/>
      <c r="C30" s="39"/>
      <c r="D30" s="46"/>
      <c r="E30" s="27"/>
      <c r="F30" s="31"/>
      <c r="G30" s="82" t="str">
        <f>IF(F30=0,"",VLOOKUP(F30,Employés!$A$2:$B$186,2,0))</f>
        <v/>
      </c>
      <c r="H30" s="82"/>
      <c r="I30" s="35"/>
      <c r="J30" s="29"/>
      <c r="K30" s="19"/>
      <c r="L30" s="20"/>
      <c r="M30" s="37" t="str">
        <f>IF(I30=0,"",VLOOKUP(I30,Municipalités!$A$2:$B$1290,2,TRUE))</f>
        <v/>
      </c>
    </row>
    <row r="31" spans="1:13" ht="30" customHeight="1" x14ac:dyDescent="0.25">
      <c r="A31" s="45"/>
      <c r="B31" s="45"/>
      <c r="C31" s="39"/>
      <c r="D31" s="47"/>
      <c r="E31" s="27"/>
      <c r="F31" s="31"/>
      <c r="G31" s="82" t="str">
        <f>IF(F31=0,"",VLOOKUP(F31,Employés!$A$2:$B$186,2,0))</f>
        <v/>
      </c>
      <c r="H31" s="82"/>
      <c r="I31" s="35"/>
      <c r="J31" s="29"/>
      <c r="K31" s="19"/>
      <c r="L31" s="20"/>
      <c r="M31" s="37" t="str">
        <f>IF(I31=0,"",VLOOKUP(I31,Municipalités!$A$2:$B$1290,2,TRUE))</f>
        <v/>
      </c>
    </row>
    <row r="32" spans="1:13" ht="30" customHeight="1" x14ac:dyDescent="0.25">
      <c r="A32" s="45"/>
      <c r="B32" s="45"/>
      <c r="C32" s="39"/>
      <c r="D32" s="46"/>
      <c r="E32" s="27"/>
      <c r="F32" s="31"/>
      <c r="G32" s="82" t="str">
        <f>IF(F32=0,"",VLOOKUP(F32,Employés!$A$2:$B$186,2,0))</f>
        <v/>
      </c>
      <c r="H32" s="82"/>
      <c r="I32" s="35"/>
      <c r="J32" s="29"/>
      <c r="K32" s="19"/>
      <c r="L32" s="20"/>
      <c r="M32" s="37" t="str">
        <f>IF(I32=0,"",VLOOKUP(I32,Municipalités!$A$2:$B$1290,2,TRUE))</f>
        <v/>
      </c>
    </row>
    <row r="33" spans="1:13" ht="30" customHeight="1" x14ac:dyDescent="0.25">
      <c r="A33" s="45"/>
      <c r="B33" s="45"/>
      <c r="C33" s="39"/>
      <c r="D33" s="46"/>
      <c r="E33" s="27"/>
      <c r="F33" s="31"/>
      <c r="G33" s="82" t="str">
        <f>IF(F33=0,"",VLOOKUP(F33,Employés!$A$2:$B$186,2,0))</f>
        <v/>
      </c>
      <c r="H33" s="82"/>
      <c r="I33" s="35"/>
      <c r="J33" s="29"/>
      <c r="K33" s="19"/>
      <c r="L33" s="20"/>
      <c r="M33" s="37" t="str">
        <f>IF(I33=0,"",VLOOKUP(I33,Municipalités!$A$2:$B$1290,2,TRUE))</f>
        <v/>
      </c>
    </row>
    <row r="34" spans="1:13" ht="30" customHeight="1" x14ac:dyDescent="0.25">
      <c r="A34" s="45"/>
      <c r="B34" s="45"/>
      <c r="C34" s="39"/>
      <c r="D34" s="46"/>
      <c r="E34" s="27"/>
      <c r="F34" s="31"/>
      <c r="G34" s="82" t="str">
        <f>IF(F34=0,"",VLOOKUP(F34,Employés!$A$2:$B$186,2,0))</f>
        <v/>
      </c>
      <c r="H34" s="82"/>
      <c r="I34" s="35"/>
      <c r="J34" s="29"/>
      <c r="K34" s="19"/>
      <c r="L34" s="20"/>
      <c r="M34" s="37" t="str">
        <f>IF(I34=0,"",VLOOKUP(I34,Municipalités!$A$2:$B$1290,2,TRUE))</f>
        <v/>
      </c>
    </row>
    <row r="35" spans="1:13" ht="30" customHeight="1" x14ac:dyDescent="0.25">
      <c r="A35" s="45"/>
      <c r="B35" s="45"/>
      <c r="C35" s="30"/>
      <c r="D35" s="46"/>
      <c r="E35" s="27"/>
      <c r="F35" s="31"/>
      <c r="G35" s="82" t="str">
        <f>IF(F35=0,"",VLOOKUP(F35,Employés!$A$2:$B$186,2,0))</f>
        <v/>
      </c>
      <c r="H35" s="82"/>
      <c r="I35" s="35"/>
      <c r="J35" s="29"/>
      <c r="K35" s="19"/>
      <c r="L35" s="20"/>
      <c r="M35" s="37" t="str">
        <f>IF(I35=0,"",VLOOKUP(I35,Municipalités!$A$2:$B$1290,2,TRUE))</f>
        <v/>
      </c>
    </row>
    <row r="36" spans="1:13" ht="30" customHeight="1" x14ac:dyDescent="0.25">
      <c r="A36" s="45"/>
      <c r="B36" s="45"/>
      <c r="C36" s="30"/>
      <c r="D36" s="46"/>
      <c r="E36" s="27"/>
      <c r="F36" s="31"/>
      <c r="G36" s="82" t="str">
        <f>IF(F36=0,"",VLOOKUP(F36,Employés!$A$2:$B$186,2,0))</f>
        <v/>
      </c>
      <c r="H36" s="82"/>
      <c r="I36" s="35"/>
      <c r="J36" s="29"/>
      <c r="K36" s="19"/>
      <c r="L36" s="20"/>
      <c r="M36" s="37" t="str">
        <f>IF(I36=0,"",VLOOKUP(I36,Municipalités!$A$2:$B$1290,2,TRUE))</f>
        <v/>
      </c>
    </row>
    <row r="37" spans="1:13" ht="30" customHeight="1" x14ac:dyDescent="0.25">
      <c r="A37" s="45"/>
      <c r="B37" s="45"/>
      <c r="C37" s="39"/>
      <c r="D37" s="46"/>
      <c r="E37" s="27"/>
      <c r="F37" s="31"/>
      <c r="G37" s="82" t="str">
        <f>IF(F37=0,"",VLOOKUP(F37,Employés!$A$2:$B$186,2,0))</f>
        <v/>
      </c>
      <c r="H37" s="82"/>
      <c r="I37" s="35"/>
      <c r="J37" s="29"/>
      <c r="K37" s="19"/>
      <c r="L37" s="20"/>
      <c r="M37" s="37" t="str">
        <f>IF(I37=0,"",VLOOKUP(I37,Municipalités!$A$2:$B$1290,2,TRUE))</f>
        <v/>
      </c>
    </row>
    <row r="38" spans="1:13" ht="30" customHeight="1" x14ac:dyDescent="0.25">
      <c r="A38" s="45"/>
      <c r="B38" s="45"/>
      <c r="C38" s="39"/>
      <c r="D38" s="47"/>
      <c r="E38" s="27"/>
      <c r="F38" s="31"/>
      <c r="G38" s="82" t="str">
        <f>IF(F38=0,"",VLOOKUP(F38,Employés!$A$2:$B$186,2,0))</f>
        <v/>
      </c>
      <c r="H38" s="82"/>
      <c r="I38" s="35"/>
      <c r="J38" s="29"/>
      <c r="K38" s="19"/>
      <c r="L38" s="20"/>
      <c r="M38" s="37" t="str">
        <f>IF(I38=0,"",VLOOKUP(I38,Municipalités!$A$2:$B$1290,2,TRUE))</f>
        <v/>
      </c>
    </row>
    <row r="39" spans="1:13" ht="30" customHeight="1" x14ac:dyDescent="0.25">
      <c r="A39" s="45"/>
      <c r="B39" s="45"/>
      <c r="C39" s="39"/>
      <c r="D39" s="45"/>
      <c r="E39" s="27"/>
      <c r="F39" s="31"/>
      <c r="G39" s="82" t="str">
        <f>IF(F39=0,"",VLOOKUP(F39,Employés!$A$2:$B$186,2,0))</f>
        <v/>
      </c>
      <c r="H39" s="82"/>
      <c r="I39" s="35"/>
      <c r="J39" s="29"/>
      <c r="K39" s="26"/>
      <c r="L39" s="25"/>
      <c r="M39" s="37" t="str">
        <f>IF(I39=0,"",VLOOKUP(I39,Municipalités!$A$2:$B$1290,2,TRUE))</f>
        <v/>
      </c>
    </row>
    <row r="40" spans="1:13" ht="30" customHeight="1" x14ac:dyDescent="0.25">
      <c r="A40" s="8"/>
      <c r="B40" s="8"/>
      <c r="C40" s="30"/>
      <c r="D40" s="8"/>
      <c r="E40" s="27"/>
      <c r="F40" s="31"/>
      <c r="G40" s="82" t="str">
        <f>IF(F40=0,"",VLOOKUP(F40,Employés!$A$2:$B$186,2,0))</f>
        <v/>
      </c>
      <c r="H40" s="82"/>
      <c r="I40" s="35"/>
      <c r="J40" s="29"/>
      <c r="K40" s="26"/>
      <c r="L40" s="25"/>
      <c r="M40" s="37" t="str">
        <f>IF(I40=0,"",VLOOKUP(I40,Municipalités!$A$2:$B$1290,2,TRUE))</f>
        <v/>
      </c>
    </row>
    <row r="41" spans="1:13" ht="30" customHeight="1" x14ac:dyDescent="0.25">
      <c r="A41" s="8"/>
      <c r="B41" s="8"/>
      <c r="C41" s="30"/>
      <c r="D41" s="8"/>
      <c r="E41" s="27"/>
      <c r="F41" s="31"/>
      <c r="G41" s="82" t="str">
        <f>IF(F41=0,"",VLOOKUP(F41,Employés!$A$2:$B$186,2,0))</f>
        <v/>
      </c>
      <c r="H41" s="82"/>
      <c r="I41" s="35"/>
      <c r="J41" s="29"/>
      <c r="K41" s="26"/>
      <c r="L41" s="25"/>
      <c r="M41" s="37" t="str">
        <f>IF(I41=0,"",VLOOKUP(I41,Municipalités!$A$2:$B$1290,2,TRUE))</f>
        <v/>
      </c>
    </row>
    <row r="42" spans="1:13" ht="30" customHeight="1" x14ac:dyDescent="0.25">
      <c r="A42" s="8"/>
      <c r="B42" s="8"/>
      <c r="C42" s="30"/>
      <c r="D42" s="8"/>
      <c r="E42" s="27"/>
      <c r="F42" s="31"/>
      <c r="G42" s="82" t="str">
        <f>IF(F42=0,"",VLOOKUP(F42,Employés!$A$2:$B$186,2,0))</f>
        <v/>
      </c>
      <c r="H42" s="82"/>
      <c r="I42" s="35"/>
      <c r="J42" s="29"/>
      <c r="K42" s="26"/>
      <c r="L42" s="25"/>
      <c r="M42" s="37" t="str">
        <f>IF(I42=0,"",VLOOKUP(I42,Municipalités!$A$2:$B$1290,2,TRUE))</f>
        <v/>
      </c>
    </row>
    <row r="43" spans="1:13" ht="30" customHeight="1" x14ac:dyDescent="0.25">
      <c r="A43" s="8"/>
      <c r="B43" s="8"/>
      <c r="C43" s="30"/>
      <c r="D43" s="8"/>
      <c r="E43" s="27" t="s">
        <v>1420</v>
      </c>
      <c r="F43" s="31"/>
      <c r="G43" s="82" t="str">
        <f>IF(F43=0,"",VLOOKUP(F43,Employés!$A$2:$B$186,2,0))</f>
        <v/>
      </c>
      <c r="H43" s="82"/>
      <c r="I43" s="35"/>
      <c r="J43" s="29"/>
      <c r="K43" s="26"/>
      <c r="L43" s="25" t="s">
        <v>1420</v>
      </c>
      <c r="M43" s="37" t="str">
        <f>IF(I43=0,"",VLOOKUP(I43,Municipalités!$A$2:$B$1290,2,TRUE))</f>
        <v/>
      </c>
    </row>
    <row r="44" spans="1:13" ht="30" customHeight="1" x14ac:dyDescent="0.25">
      <c r="A44" s="8"/>
      <c r="B44" s="8"/>
      <c r="C44" s="30"/>
      <c r="D44" s="8"/>
      <c r="E44" s="27"/>
      <c r="F44" s="31"/>
      <c r="G44" s="82" t="str">
        <f>IF(F44=0,"",VLOOKUP(F44,Employés!$A$2:$B$186,2,0))</f>
        <v/>
      </c>
      <c r="H44" s="82"/>
      <c r="I44" s="35"/>
      <c r="J44" s="29"/>
      <c r="K44" s="26"/>
      <c r="L44" s="25"/>
      <c r="M44" s="37" t="str">
        <f>IF(I44=0,"",VLOOKUP(I44,Municipalités!$A$2:$B$1290,2,TRUE))</f>
        <v/>
      </c>
    </row>
    <row r="45" spans="1:13" ht="30" customHeight="1" x14ac:dyDescent="0.25">
      <c r="A45" s="8"/>
      <c r="B45" s="8"/>
      <c r="C45" s="30"/>
      <c r="D45" s="8"/>
      <c r="E45" s="27"/>
      <c r="F45" s="31"/>
      <c r="G45" s="82" t="str">
        <f>IF(F45=0,"",VLOOKUP(F45,Employés!$A$2:$B$186,2,0))</f>
        <v/>
      </c>
      <c r="H45" s="82"/>
      <c r="I45" s="35"/>
      <c r="J45" s="29"/>
      <c r="K45" s="26"/>
      <c r="L45" s="25"/>
      <c r="M45" s="37" t="str">
        <f>IF(I45=0,"",VLOOKUP(I45,Municipalités!$A$2:$B$1290,2,TRUE))</f>
        <v/>
      </c>
    </row>
    <row r="46" spans="1:13" ht="30" customHeight="1" x14ac:dyDescent="0.25">
      <c r="A46" s="8"/>
      <c r="B46" s="8"/>
      <c r="C46" s="30"/>
      <c r="D46" s="8"/>
      <c r="E46" s="27"/>
      <c r="F46" s="31"/>
      <c r="G46" s="82" t="str">
        <f>IF(F46=0,"",VLOOKUP(F46,Employés!$A$2:$B$186,2,0))</f>
        <v/>
      </c>
      <c r="H46" s="82"/>
      <c r="I46" s="35"/>
      <c r="J46" s="29"/>
      <c r="K46" s="26"/>
      <c r="L46" s="25"/>
      <c r="M46" s="37" t="str">
        <f>IF(I46=0,"",VLOOKUP(I46,Municipalités!$A$2:$B$1290,2,TRUE))</f>
        <v/>
      </c>
    </row>
    <row r="47" spans="1:13" ht="30" customHeight="1" x14ac:dyDescent="0.25">
      <c r="A47" s="8"/>
      <c r="B47" s="8"/>
      <c r="C47" s="30"/>
      <c r="D47" s="8"/>
      <c r="E47" s="27"/>
      <c r="F47" s="31"/>
      <c r="G47" s="82" t="str">
        <f>IF(F47=0,"",VLOOKUP(F47,Employés!$A$2:$B$186,2,0))</f>
        <v/>
      </c>
      <c r="H47" s="82"/>
      <c r="I47" s="35"/>
      <c r="J47" s="29"/>
      <c r="K47" s="26"/>
      <c r="L47" s="25"/>
      <c r="M47" s="37" t="str">
        <f>IF(I47=0,"",VLOOKUP(I47,Municipalités!$A$2:$B$1290,2,TRUE))</f>
        <v/>
      </c>
    </row>
    <row r="48" spans="1:13" ht="30" customHeight="1" x14ac:dyDescent="0.25">
      <c r="A48" s="8"/>
      <c r="B48" s="8"/>
      <c r="C48" s="30"/>
      <c r="D48" s="8"/>
      <c r="E48" s="27"/>
      <c r="F48" s="31"/>
      <c r="G48" s="82" t="str">
        <f>IF(F48=0,"",VLOOKUP(F48,Employés!$A$2:$B$186,2,0))</f>
        <v/>
      </c>
      <c r="H48" s="82"/>
      <c r="I48" s="35"/>
      <c r="J48" s="29"/>
      <c r="K48" s="26"/>
      <c r="L48" s="25"/>
      <c r="M48" s="37" t="str">
        <f>IF(I48=0,"",VLOOKUP(I48,Municipalités!$A$2:$B$1290,2,TRUE))</f>
        <v/>
      </c>
    </row>
    <row r="49" spans="1:13" ht="30" customHeight="1" x14ac:dyDescent="0.25">
      <c r="A49" s="8"/>
      <c r="B49" s="8"/>
      <c r="C49" s="30"/>
      <c r="D49" s="8"/>
      <c r="E49" s="27"/>
      <c r="F49" s="31"/>
      <c r="G49" s="82" t="str">
        <f>IF(F49=0,"",VLOOKUP(F49,Employés!$A$2:$B$186,2,0))</f>
        <v/>
      </c>
      <c r="H49" s="82"/>
      <c r="I49" s="35"/>
      <c r="J49" s="29"/>
      <c r="K49" s="26"/>
      <c r="L49" s="25"/>
      <c r="M49" s="37" t="str">
        <f>IF(I49=0,"",VLOOKUP(I49,Municipalités!$A$2:$B$1290,2,TRUE))</f>
        <v/>
      </c>
    </row>
    <row r="50" spans="1:13" ht="30" customHeight="1" x14ac:dyDescent="0.25">
      <c r="A50" s="8"/>
      <c r="B50" s="8"/>
      <c r="C50" s="30"/>
      <c r="D50" s="8"/>
      <c r="E50" s="27"/>
      <c r="F50" s="31"/>
      <c r="G50" s="82" t="str">
        <f>IF(F50=0,"",VLOOKUP(F50,Employés!$A$2:$B$186,2,0))</f>
        <v/>
      </c>
      <c r="H50" s="82"/>
      <c r="I50" s="35"/>
      <c r="J50" s="29"/>
      <c r="K50" s="26"/>
      <c r="L50" s="25"/>
      <c r="M50" s="37" t="str">
        <f>IF(I50=0,"",VLOOKUP(I50,Municipalités!$A$2:$B$1290,2,TRUE))</f>
        <v/>
      </c>
    </row>
    <row r="51" spans="1:13" ht="30" customHeight="1" x14ac:dyDescent="0.25">
      <c r="A51" s="8"/>
      <c r="B51" s="8"/>
      <c r="C51" s="30"/>
      <c r="D51" s="8"/>
      <c r="E51" s="27"/>
      <c r="F51" s="31"/>
      <c r="G51" s="82" t="str">
        <f>IF(F51=0,"",VLOOKUP(F51,Employés!$A$2:$B$186,2,0))</f>
        <v/>
      </c>
      <c r="H51" s="82"/>
      <c r="I51" s="35"/>
      <c r="J51" s="29"/>
      <c r="K51" s="26"/>
      <c r="L51" s="25"/>
      <c r="M51" s="37" t="str">
        <f>IF(I51=0,"",VLOOKUP(I51,Municipalités!$A$2:$B$1290,2,TRUE))</f>
        <v/>
      </c>
    </row>
    <row r="52" spans="1:13" ht="30" customHeight="1" x14ac:dyDescent="0.25">
      <c r="A52" s="8"/>
      <c r="B52" s="8"/>
      <c r="C52" s="30"/>
      <c r="D52" s="8"/>
      <c r="E52" s="27"/>
      <c r="F52" s="31"/>
      <c r="G52" s="82" t="str">
        <f>IF(F52=0,"",VLOOKUP(F52,Employés!$A$2:$B$186,2,0))</f>
        <v/>
      </c>
      <c r="H52" s="82"/>
      <c r="I52" s="35"/>
      <c r="J52" s="29"/>
      <c r="K52" s="26"/>
      <c r="L52" s="25"/>
      <c r="M52" s="37" t="str">
        <f>IF(I52=0,"",VLOOKUP(I52,Municipalités!$A$2:$B$1290,2,TRUE))</f>
        <v/>
      </c>
    </row>
    <row r="53" spans="1:13" ht="30" customHeight="1" x14ac:dyDescent="0.25">
      <c r="A53" s="8"/>
      <c r="B53" s="8"/>
      <c r="C53" s="30"/>
      <c r="D53" s="8"/>
      <c r="E53" s="27"/>
      <c r="F53" s="31"/>
      <c r="G53" s="82" t="str">
        <f>IF(F53=0,"",VLOOKUP(F53,Employés!$A$2:$B$186,2,0))</f>
        <v/>
      </c>
      <c r="H53" s="82"/>
      <c r="I53" s="35"/>
      <c r="J53" s="29"/>
      <c r="K53" s="26"/>
      <c r="L53" s="25"/>
      <c r="M53" s="37" t="str">
        <f>IF(I53=0,"",VLOOKUP(I53,Municipalités!$A$2:$B$1290,2,TRUE))</f>
        <v/>
      </c>
    </row>
    <row r="54" spans="1:13" ht="30" customHeight="1" x14ac:dyDescent="0.25">
      <c r="A54" s="8"/>
      <c r="B54" s="8"/>
      <c r="C54" s="30"/>
      <c r="D54" s="8"/>
      <c r="E54" s="27"/>
      <c r="F54" s="31"/>
      <c r="G54" s="82" t="str">
        <f>IF(F54=0,"",VLOOKUP(F54,Employés!$A$2:$B$186,2,0))</f>
        <v/>
      </c>
      <c r="H54" s="82"/>
      <c r="I54" s="35"/>
      <c r="J54" s="29"/>
      <c r="K54" s="26"/>
      <c r="L54" s="25"/>
      <c r="M54" s="37" t="str">
        <f>IF(I54=0,"",VLOOKUP(I54,Municipalités!$A$2:$B$1290,2,TRUE))</f>
        <v/>
      </c>
    </row>
    <row r="55" spans="1:13" ht="30" customHeight="1" x14ac:dyDescent="0.25">
      <c r="A55" s="8"/>
      <c r="B55" s="8"/>
      <c r="C55" s="30"/>
      <c r="D55" s="8"/>
      <c r="E55" s="27"/>
      <c r="F55" s="31"/>
      <c r="G55" s="82" t="str">
        <f>IF(F55=0,"",VLOOKUP(F55,Employés!$A$2:$B$186,2,0))</f>
        <v/>
      </c>
      <c r="H55" s="82"/>
      <c r="I55" s="35"/>
      <c r="J55" s="29"/>
      <c r="K55" s="26"/>
      <c r="L55" s="25"/>
      <c r="M55" s="37" t="str">
        <f>IF(I55=0,"",VLOOKUP(I55,Municipalités!$A$2:$B$1290,2,TRUE))</f>
        <v/>
      </c>
    </row>
    <row r="56" spans="1:13" ht="30" customHeight="1" x14ac:dyDescent="0.25">
      <c r="A56" s="8"/>
      <c r="B56" s="8"/>
      <c r="C56" s="30"/>
      <c r="D56" s="8"/>
      <c r="E56" s="27"/>
      <c r="F56" s="31"/>
      <c r="G56" s="82" t="str">
        <f>IF(F56=0,"",VLOOKUP(F56,Employés!$A$2:$B$186,2,0))</f>
        <v/>
      </c>
      <c r="H56" s="82"/>
      <c r="I56" s="35"/>
      <c r="J56" s="29"/>
      <c r="K56" s="26"/>
      <c r="L56" s="25"/>
      <c r="M56" s="37" t="str">
        <f>IF(I56=0,"",VLOOKUP(I56,Municipalités!$A$2:$B$1290,2,TRUE))</f>
        <v/>
      </c>
    </row>
    <row r="57" spans="1:13" ht="30" customHeight="1" x14ac:dyDescent="0.25">
      <c r="A57" s="8"/>
      <c r="B57" s="8"/>
      <c r="C57" s="30"/>
      <c r="D57" s="8"/>
      <c r="E57" s="27"/>
      <c r="F57" s="31"/>
      <c r="G57" s="82" t="str">
        <f>IF(F57=0,"",VLOOKUP(F57,Employés!$A$2:$B$186,2,0))</f>
        <v/>
      </c>
      <c r="H57" s="82"/>
      <c r="I57" s="35"/>
      <c r="J57" s="29"/>
      <c r="K57" s="26"/>
      <c r="L57" s="25"/>
      <c r="M57" s="37" t="str">
        <f>IF(I57=0,"",VLOOKUP(I57,Municipalités!$A$2:$B$1290,2,TRUE))</f>
        <v/>
      </c>
    </row>
    <row r="58" spans="1:13" ht="30" customHeight="1" x14ac:dyDescent="0.25">
      <c r="A58" s="8"/>
      <c r="B58" s="8"/>
      <c r="C58" s="30"/>
      <c r="D58" s="8"/>
      <c r="E58" s="27"/>
      <c r="F58" s="31"/>
      <c r="G58" s="82" t="str">
        <f>IF(F58=0,"",VLOOKUP(F58,Employés!$A$2:$B$186,2,0))</f>
        <v/>
      </c>
      <c r="H58" s="82"/>
      <c r="I58" s="35"/>
      <c r="J58" s="29"/>
      <c r="K58" s="26"/>
      <c r="L58" s="25"/>
      <c r="M58" s="37" t="str">
        <f>IF(I58=0,"",VLOOKUP(I58,Municipalités!$A$2:$B$1290,2,TRUE))</f>
        <v/>
      </c>
    </row>
    <row r="59" spans="1:13" ht="30" customHeight="1" x14ac:dyDescent="0.25">
      <c r="A59" s="8"/>
      <c r="B59" s="8"/>
      <c r="C59" s="30"/>
      <c r="D59" s="8"/>
      <c r="E59" s="27"/>
      <c r="F59" s="31"/>
      <c r="G59" s="82" t="str">
        <f>IF(F59=0,"",VLOOKUP(F59,Employés!$A$2:$B$186,2,0))</f>
        <v/>
      </c>
      <c r="H59" s="82"/>
      <c r="I59" s="35"/>
      <c r="J59" s="29"/>
      <c r="K59" s="26"/>
      <c r="L59" s="25"/>
      <c r="M59" s="37" t="str">
        <f>IF(I59=0,"",VLOOKUP(I59,Municipalités!$A$2:$B$1290,2,TRUE))</f>
        <v/>
      </c>
    </row>
    <row r="60" spans="1:13" ht="30" customHeight="1" x14ac:dyDescent="0.25">
      <c r="A60" s="8"/>
      <c r="B60" s="8"/>
      <c r="C60" s="30"/>
      <c r="D60" s="8"/>
      <c r="E60" s="27"/>
      <c r="F60" s="31"/>
      <c r="G60" s="82" t="str">
        <f>IF(F60=0,"",VLOOKUP(F60,Employés!$A$2:$B$186,2,0))</f>
        <v/>
      </c>
      <c r="H60" s="82"/>
      <c r="I60" s="35"/>
      <c r="J60" s="29"/>
      <c r="K60" s="26"/>
      <c r="L60" s="25"/>
      <c r="M60" s="37" t="str">
        <f>IF(I60=0,"",VLOOKUP(I60,Municipalités!$A$2:$B$1290,2,TRUE))</f>
        <v/>
      </c>
    </row>
    <row r="61" spans="1:13" ht="30" customHeight="1" x14ac:dyDescent="0.25">
      <c r="A61" s="8"/>
      <c r="B61" s="8"/>
      <c r="C61" s="30"/>
      <c r="D61" s="8"/>
      <c r="E61" s="27"/>
      <c r="F61" s="31"/>
      <c r="G61" s="82" t="str">
        <f>IF(F61=0,"",VLOOKUP(F61,Employés!$A$2:$B$186,2,0))</f>
        <v/>
      </c>
      <c r="H61" s="82"/>
      <c r="I61" s="35"/>
      <c r="J61" s="29"/>
      <c r="K61" s="26"/>
      <c r="L61" s="25"/>
      <c r="M61" s="37" t="str">
        <f>IF(I61=0,"",VLOOKUP(I61,Municipalités!$A$2:$B$1290,2,TRUE))</f>
        <v/>
      </c>
    </row>
    <row r="62" spans="1:13" x14ac:dyDescent="0.25">
      <c r="C62" s="14"/>
    </row>
    <row r="63" spans="1:13" x14ac:dyDescent="0.25">
      <c r="C63" s="14"/>
    </row>
    <row r="64" spans="1:13" x14ac:dyDescent="0.25">
      <c r="C64" s="14"/>
    </row>
    <row r="65" spans="3:5" x14ac:dyDescent="0.25">
      <c r="C65" s="14"/>
    </row>
    <row r="66" spans="3:5" x14ac:dyDescent="0.25">
      <c r="C66" s="14"/>
    </row>
    <row r="67" spans="3:5" x14ac:dyDescent="0.25">
      <c r="C67" s="14"/>
    </row>
    <row r="68" spans="3:5" x14ac:dyDescent="0.25">
      <c r="C68" s="14"/>
    </row>
    <row r="69" spans="3:5" x14ac:dyDescent="0.25">
      <c r="C69" s="14"/>
    </row>
    <row r="70" spans="3:5" x14ac:dyDescent="0.25">
      <c r="C70" s="14"/>
    </row>
    <row r="71" spans="3:5" x14ac:dyDescent="0.25">
      <c r="C71" s="14"/>
    </row>
    <row r="72" spans="3:5" x14ac:dyDescent="0.25">
      <c r="C72" s="14"/>
    </row>
    <row r="73" spans="3:5" x14ac:dyDescent="0.25">
      <c r="C73" s="14"/>
    </row>
    <row r="74" spans="3:5" x14ac:dyDescent="0.25">
      <c r="C74" s="14"/>
    </row>
    <row r="75" spans="3:5" x14ac:dyDescent="0.25">
      <c r="C75" s="14"/>
    </row>
    <row r="76" spans="3:5" x14ac:dyDescent="0.25">
      <c r="C76" s="14"/>
    </row>
    <row r="77" spans="3:5" x14ac:dyDescent="0.25">
      <c r="C77" s="14"/>
    </row>
    <row r="78" spans="3:5" x14ac:dyDescent="0.25">
      <c r="C78" s="14"/>
      <c r="E78" s="21" t="s">
        <v>1420</v>
      </c>
    </row>
    <row r="79" spans="3:5" x14ac:dyDescent="0.25">
      <c r="C79" s="14"/>
    </row>
    <row r="80" spans="3:5" x14ac:dyDescent="0.25">
      <c r="C80" s="14"/>
    </row>
    <row r="81" spans="3:3" x14ac:dyDescent="0.25">
      <c r="C81" s="14"/>
    </row>
    <row r="82" spans="3:3" x14ac:dyDescent="0.25">
      <c r="C82" s="14"/>
    </row>
    <row r="83" spans="3:3" x14ac:dyDescent="0.25">
      <c r="C83" s="14"/>
    </row>
    <row r="84" spans="3:3" x14ac:dyDescent="0.25">
      <c r="C84" s="14"/>
    </row>
    <row r="85" spans="3:3" x14ac:dyDescent="0.25">
      <c r="C85" s="14"/>
    </row>
    <row r="86" spans="3:3" x14ac:dyDescent="0.25">
      <c r="C86" s="14"/>
    </row>
    <row r="87" spans="3:3" x14ac:dyDescent="0.25">
      <c r="C87" s="14"/>
    </row>
    <row r="88" spans="3:3" x14ac:dyDescent="0.25">
      <c r="C88" s="14"/>
    </row>
    <row r="89" spans="3:3" x14ac:dyDescent="0.25">
      <c r="C89" s="14"/>
    </row>
    <row r="90" spans="3:3" x14ac:dyDescent="0.25">
      <c r="C90" s="14"/>
    </row>
    <row r="91" spans="3:3" x14ac:dyDescent="0.25">
      <c r="C91" s="14"/>
    </row>
    <row r="92" spans="3:3" x14ac:dyDescent="0.25">
      <c r="C92" s="14"/>
    </row>
    <row r="93" spans="3:3" x14ac:dyDescent="0.25">
      <c r="C93" s="14"/>
    </row>
    <row r="94" spans="3:3" x14ac:dyDescent="0.25">
      <c r="C94" s="14"/>
    </row>
    <row r="95" spans="3:3" x14ac:dyDescent="0.25">
      <c r="C95" s="14"/>
    </row>
    <row r="96" spans="3:3" x14ac:dyDescent="0.25">
      <c r="C96" s="14"/>
    </row>
    <row r="97" spans="3:3" x14ac:dyDescent="0.25">
      <c r="C97" s="14"/>
    </row>
    <row r="98" spans="3:3" x14ac:dyDescent="0.25">
      <c r="C98" s="14"/>
    </row>
  </sheetData>
  <mergeCells count="67">
    <mergeCell ref="G59:H59"/>
    <mergeCell ref="G60:H60"/>
    <mergeCell ref="G61:H61"/>
    <mergeCell ref="G53:H53"/>
    <mergeCell ref="G54:H54"/>
    <mergeCell ref="G55:H55"/>
    <mergeCell ref="G56:H56"/>
    <mergeCell ref="G57:H57"/>
    <mergeCell ref="G58:H58"/>
    <mergeCell ref="G52:H52"/>
    <mergeCell ref="G41:H41"/>
    <mergeCell ref="G42:H42"/>
    <mergeCell ref="G43:H43"/>
    <mergeCell ref="G44:H44"/>
    <mergeCell ref="G45:H45"/>
    <mergeCell ref="G46:H46"/>
    <mergeCell ref="G47:H47"/>
    <mergeCell ref="G48:H48"/>
    <mergeCell ref="G49:H49"/>
    <mergeCell ref="G50:H50"/>
    <mergeCell ref="G51:H51"/>
    <mergeCell ref="G40:H40"/>
    <mergeCell ref="G29:H29"/>
    <mergeCell ref="G30:H30"/>
    <mergeCell ref="G31:H31"/>
    <mergeCell ref="G32:H32"/>
    <mergeCell ref="G33:H33"/>
    <mergeCell ref="G34:H34"/>
    <mergeCell ref="G35:H35"/>
    <mergeCell ref="G36:H36"/>
    <mergeCell ref="G37:H37"/>
    <mergeCell ref="G38:H38"/>
    <mergeCell ref="G39:H39"/>
    <mergeCell ref="G28:H28"/>
    <mergeCell ref="G17:H17"/>
    <mergeCell ref="G18:H18"/>
    <mergeCell ref="G19:H19"/>
    <mergeCell ref="G20:H20"/>
    <mergeCell ref="G21:H21"/>
    <mergeCell ref="G22:H22"/>
    <mergeCell ref="G23:H23"/>
    <mergeCell ref="G24:H24"/>
    <mergeCell ref="G25:H25"/>
    <mergeCell ref="G26:H26"/>
    <mergeCell ref="G27:H27"/>
    <mergeCell ref="M2:M4"/>
    <mergeCell ref="G16:H16"/>
    <mergeCell ref="I6:I7"/>
    <mergeCell ref="J6:J7"/>
    <mergeCell ref="K6:M6"/>
    <mergeCell ref="G8:H8"/>
    <mergeCell ref="G9:H9"/>
    <mergeCell ref="G10:H10"/>
    <mergeCell ref="G11:H11"/>
    <mergeCell ref="G12:H12"/>
    <mergeCell ref="G13:H13"/>
    <mergeCell ref="G14:H14"/>
    <mergeCell ref="G15:H15"/>
    <mergeCell ref="E1:F4"/>
    <mergeCell ref="L1:L2"/>
    <mergeCell ref="A6:A7"/>
    <mergeCell ref="B6:B7"/>
    <mergeCell ref="C6:C7"/>
    <mergeCell ref="D6:D7"/>
    <mergeCell ref="E6:E7"/>
    <mergeCell ref="F6:F7"/>
    <mergeCell ref="G6:H7"/>
  </mergeCells>
  <conditionalFormatting sqref="C16:C21 C23:C45">
    <cfRule type="expression" dxfId="65" priority="7" stopIfTrue="1">
      <formula>#REF!=1</formula>
    </cfRule>
    <cfRule type="expression" priority="8" stopIfTrue="1">
      <formula>#REF!=2</formula>
    </cfRule>
    <cfRule type="expression" dxfId="64" priority="9" stopIfTrue="1">
      <formula>#REF!=3</formula>
    </cfRule>
  </conditionalFormatting>
  <conditionalFormatting sqref="C22">
    <cfRule type="expression" dxfId="63" priority="4" stopIfTrue="1">
      <formula>#REF!=1</formula>
    </cfRule>
    <cfRule type="expression" priority="5" stopIfTrue="1">
      <formula>#REF!=2</formula>
    </cfRule>
    <cfRule type="expression" dxfId="62" priority="6" stopIfTrue="1">
      <formula>#REF!=3</formula>
    </cfRule>
  </conditionalFormatting>
  <conditionalFormatting sqref="C46:C61">
    <cfRule type="expression" dxfId="61" priority="1" stopIfTrue="1">
      <formula>#REF!=1</formula>
    </cfRule>
    <cfRule type="expression" priority="2" stopIfTrue="1">
      <formula>#REF!=2</formula>
    </cfRule>
    <cfRule type="expression" dxfId="60" priority="3" stopIfTrue="1">
      <formula>#REF!=3</formula>
    </cfRule>
  </conditionalFormatting>
  <dataValidations count="2">
    <dataValidation type="textLength" operator="greaterThanOrEqual" allowBlank="1" showInputMessage="1" showErrorMessage="1" errorTitle="Saisie incorrecte" error="Re-saisir le numéro d'entrée en utilisant 3 chiffres_x000a_Ex.: 001" promptTitle="Saisie du numéro d'entrée" prompt="Minimum 3 chiffres_x000a_Ex.: 001" sqref="C8:C39" xr:uid="{00000000-0002-0000-1400-000000000000}">
      <formula1>3</formula1>
    </dataValidation>
    <dataValidation operator="greaterThan" allowBlank="1" showDropDown="1" showInputMessage="1" showErrorMessage="1" errorTitle="Saisie incorrecte" error="Re-Saisir le numéro de dossier sous le format_x000a_000-000000-000" promptTitle="Saisie du numéro d'événement" prompt="000-000000-000_x000a_Ex. : 071-030901-001" sqref="J8:J39" xr:uid="{00000000-0002-0000-1400-000001000000}"/>
  </dataValidations>
  <printOptions horizontalCentered="1" verticalCentered="1"/>
  <pageMargins left="0" right="0" top="0.31496062992125984" bottom="0.39370078740157483" header="0.15748031496062992" footer="0.19685039370078741"/>
  <pageSetup paperSize="5" scale="90" orientation="landscape" r:id="rId1"/>
  <headerFooter alignWithMargins="0">
    <oddFooter>&amp;R&amp;8Page &amp;P de &amp;N</oddFooter>
  </headerFooter>
  <drawing r:id="rId2"/>
  <legacyDrawing r:id="rId3"/>
  <controls>
    <mc:AlternateContent xmlns:mc="http://schemas.openxmlformats.org/markup-compatibility/2006">
      <mc:Choice Requires="x14">
        <control shapeId="162819" r:id="rId4" name="ComboBox2">
          <controlPr defaultSize="0" autoLine="0" r:id="rId5">
            <anchor moveWithCells="1">
              <from>
                <xdr:col>4</xdr:col>
                <xdr:colOff>0</xdr:colOff>
                <xdr:row>10</xdr:row>
                <xdr:rowOff>0</xdr:rowOff>
              </from>
              <to>
                <xdr:col>4</xdr:col>
                <xdr:colOff>2965450</xdr:colOff>
                <xdr:row>11</xdr:row>
                <xdr:rowOff>38100</xdr:rowOff>
              </to>
            </anchor>
          </controlPr>
        </control>
      </mc:Choice>
      <mc:Fallback>
        <control shapeId="162819" r:id="rId4" name="ComboBox2"/>
      </mc:Fallback>
    </mc:AlternateContent>
    <mc:AlternateContent xmlns:mc="http://schemas.openxmlformats.org/markup-compatibility/2006">
      <mc:Choice Requires="x14">
        <control shapeId="162818" r:id="rId6" name="ComboBox1">
          <controlPr defaultSize="0" autoLine="0" r:id="rId7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11</xdr:col>
                <xdr:colOff>1803400</xdr:colOff>
                <xdr:row>9</xdr:row>
                <xdr:rowOff>38100</xdr:rowOff>
              </to>
            </anchor>
          </controlPr>
        </control>
      </mc:Choice>
      <mc:Fallback>
        <control shapeId="162818" r:id="rId6" name="ComboBox1"/>
      </mc:Fallback>
    </mc:AlternateContent>
    <mc:AlternateContent xmlns:mc="http://schemas.openxmlformats.org/markup-compatibility/2006">
      <mc:Choice Requires="x14">
        <control shapeId="162817" r:id="rId8" name="Button 1">
          <controlPr defaultSize="0" print="0" autoFill="0" autoPict="0" macro="[0]!test2">
            <anchor moveWithCells="1">
              <from>
                <xdr:col>5</xdr:col>
                <xdr:colOff>222250</xdr:colOff>
                <xdr:row>1</xdr:row>
                <xdr:rowOff>139700</xdr:rowOff>
              </from>
              <to>
                <xdr:col>9</xdr:col>
                <xdr:colOff>1143000</xdr:colOff>
                <xdr:row>4</xdr:row>
                <xdr:rowOff>107950</xdr:rowOff>
              </to>
            </anchor>
          </controlPr>
        </control>
      </mc:Choice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79"/>
  <dimension ref="A1:M98"/>
  <sheetViews>
    <sheetView showGridLines="0" zoomScaleNormal="100" workbookViewId="0">
      <pane xSplit="3" ySplit="7" topLeftCell="F8" activePane="bottomRight" state="frozen"/>
      <selection activeCell="C8" sqref="C8"/>
      <selection pane="topRight" activeCell="C8" sqref="C8"/>
      <selection pane="bottomLeft" activeCell="C8" sqref="C8"/>
      <selection pane="bottomRight" activeCell="M2" sqref="M2:M5"/>
    </sheetView>
  </sheetViews>
  <sheetFormatPr baseColWidth="10" defaultColWidth="11.453125" defaultRowHeight="13" x14ac:dyDescent="0.25"/>
  <cols>
    <col min="1" max="2" width="5.6328125" style="1" customWidth="1"/>
    <col min="3" max="3" width="6.6328125" style="1" customWidth="1"/>
    <col min="4" max="4" width="7.54296875" style="1" customWidth="1"/>
    <col min="5" max="5" width="44.453125" style="21" customWidth="1"/>
    <col min="6" max="6" width="10.54296875" style="1" customWidth="1"/>
    <col min="7" max="7" width="13.90625" style="1" customWidth="1"/>
    <col min="8" max="8" width="4.6328125" style="1" hidden="1" customWidth="1"/>
    <col min="9" max="9" width="6.08984375" style="1" customWidth="1"/>
    <col min="10" max="10" width="26.54296875" style="1" customWidth="1"/>
    <col min="11" max="11" width="7.36328125" style="1" customWidth="1"/>
    <col min="12" max="12" width="27" style="24" customWidth="1"/>
    <col min="13" max="13" width="26" style="1" customWidth="1"/>
    <col min="14" max="16384" width="11.453125" style="1"/>
  </cols>
  <sheetData>
    <row r="1" spans="1:13" ht="12.75" customHeight="1" x14ac:dyDescent="0.25">
      <c r="E1" s="71" t="s">
        <v>1023</v>
      </c>
      <c r="F1" s="72"/>
      <c r="L1" s="73" t="s">
        <v>1021</v>
      </c>
      <c r="M1" s="51" t="s">
        <v>1022</v>
      </c>
    </row>
    <row r="2" spans="1:13" ht="12.75" customHeight="1" x14ac:dyDescent="0.25">
      <c r="E2" s="72"/>
      <c r="F2" s="72"/>
      <c r="L2" s="74"/>
      <c r="M2" s="70">
        <f>'21'!M2:M5+1</f>
        <v>42726</v>
      </c>
    </row>
    <row r="3" spans="1:13" ht="12.75" customHeight="1" x14ac:dyDescent="0.25">
      <c r="E3" s="72"/>
      <c r="F3" s="72"/>
      <c r="L3" s="52"/>
      <c r="M3" s="70"/>
    </row>
    <row r="4" spans="1:13" ht="15.75" customHeight="1" x14ac:dyDescent="0.25">
      <c r="E4" s="72"/>
      <c r="F4" s="72"/>
      <c r="L4" s="49" t="s">
        <v>140</v>
      </c>
      <c r="M4" s="70"/>
    </row>
    <row r="5" spans="1:13" ht="21.9" customHeight="1" thickBot="1" x14ac:dyDescent="0.3">
      <c r="L5" s="36"/>
      <c r="M5" s="69">
        <f>M2</f>
        <v>42726</v>
      </c>
    </row>
    <row r="6" spans="1:13" ht="24.9" customHeight="1" x14ac:dyDescent="0.25">
      <c r="A6" s="75" t="s">
        <v>2351</v>
      </c>
      <c r="B6" s="75" t="s">
        <v>2350</v>
      </c>
      <c r="C6" s="76" t="s">
        <v>1362</v>
      </c>
      <c r="D6" s="75" t="s">
        <v>1153</v>
      </c>
      <c r="E6" s="75" t="s">
        <v>1016</v>
      </c>
      <c r="F6" s="76" t="s">
        <v>2352</v>
      </c>
      <c r="G6" s="76" t="s">
        <v>1017</v>
      </c>
      <c r="H6" s="79"/>
      <c r="I6" s="76" t="s">
        <v>1364</v>
      </c>
      <c r="J6" s="76" t="s">
        <v>1363</v>
      </c>
      <c r="K6" s="83" t="s">
        <v>1018</v>
      </c>
      <c r="L6" s="84"/>
      <c r="M6" s="84"/>
    </row>
    <row r="7" spans="1:13" ht="12.5" x14ac:dyDescent="0.25">
      <c r="A7" s="75"/>
      <c r="B7" s="75"/>
      <c r="C7" s="77"/>
      <c r="D7" s="75"/>
      <c r="E7" s="75"/>
      <c r="F7" s="78"/>
      <c r="G7" s="80"/>
      <c r="H7" s="81"/>
      <c r="I7" s="77"/>
      <c r="J7" s="77"/>
      <c r="K7" s="50" t="s">
        <v>1015</v>
      </c>
      <c r="L7" s="50" t="s">
        <v>1019</v>
      </c>
      <c r="M7" s="32" t="s">
        <v>1020</v>
      </c>
    </row>
    <row r="8" spans="1:13" ht="30" customHeight="1" x14ac:dyDescent="0.25">
      <c r="A8" s="45"/>
      <c r="B8" s="45"/>
      <c r="C8" s="30"/>
      <c r="D8" s="46"/>
      <c r="E8" s="27"/>
      <c r="F8" s="31"/>
      <c r="G8" s="82" t="str">
        <f>IF(F8=0,"",VLOOKUP(F8,Employés!$A$2:$B$186,2,0))</f>
        <v/>
      </c>
      <c r="H8" s="82"/>
      <c r="I8" s="34"/>
      <c r="J8" s="33"/>
      <c r="K8" s="19"/>
      <c r="L8" s="20" t="s">
        <v>1420</v>
      </c>
      <c r="M8" s="37" t="str">
        <f>IF(I8=0,"",VLOOKUP(I8,Municipalités!$A$2:$B$1290,2,TRUE))</f>
        <v/>
      </c>
    </row>
    <row r="9" spans="1:13" ht="30" customHeight="1" x14ac:dyDescent="0.25">
      <c r="A9" s="45"/>
      <c r="B9" s="45"/>
      <c r="C9" s="39"/>
      <c r="D9" s="47"/>
      <c r="E9" s="27"/>
      <c r="F9" s="31"/>
      <c r="G9" s="82" t="str">
        <f>IF(F9=0,"",VLOOKUP(F9,Employés!$A$2:$B$186,2,0))</f>
        <v/>
      </c>
      <c r="H9" s="82"/>
      <c r="I9" s="35"/>
      <c r="J9" s="33"/>
      <c r="K9" s="19"/>
      <c r="L9" s="20"/>
      <c r="M9" s="37" t="str">
        <f>IF(I9=0,"",VLOOKUP(I9,Municipalités!$A$2:$B$1290,2,TRUE))</f>
        <v/>
      </c>
    </row>
    <row r="10" spans="1:13" ht="30" customHeight="1" x14ac:dyDescent="0.25">
      <c r="A10" s="45"/>
      <c r="B10" s="45"/>
      <c r="C10" s="39"/>
      <c r="D10" s="48"/>
      <c r="E10" s="28"/>
      <c r="F10" s="31"/>
      <c r="G10" s="82" t="str">
        <f>IF(F10=0,"",VLOOKUP(F10,Employés!$A$2:$B$186,2,0))</f>
        <v/>
      </c>
      <c r="H10" s="82"/>
      <c r="I10" s="35"/>
      <c r="J10" s="29"/>
      <c r="K10" s="19"/>
      <c r="L10" s="20"/>
      <c r="M10" s="37" t="str">
        <f>IF(I10=0,"",VLOOKUP(I10,Municipalités!$A$2:$B$1290,2,TRUE))</f>
        <v/>
      </c>
    </row>
    <row r="11" spans="1:13" ht="30" customHeight="1" x14ac:dyDescent="0.25">
      <c r="A11" s="45"/>
      <c r="B11" s="45"/>
      <c r="C11" s="39"/>
      <c r="D11" s="47"/>
      <c r="E11" s="28" t="s">
        <v>1420</v>
      </c>
      <c r="F11" s="31"/>
      <c r="G11" s="82" t="str">
        <f>IF(F11=0,"",VLOOKUP(F11,Employés!$A$2:$B$186,2,0))</f>
        <v/>
      </c>
      <c r="H11" s="82"/>
      <c r="I11" s="35"/>
      <c r="J11" s="29"/>
      <c r="K11" s="19"/>
      <c r="L11" s="20"/>
      <c r="M11" s="37" t="str">
        <f>IF(I11=0,"",VLOOKUP(I11,Municipalités!$A$2:$B$1290,2,TRUE))</f>
        <v/>
      </c>
    </row>
    <row r="12" spans="1:13" ht="30" customHeight="1" x14ac:dyDescent="0.25">
      <c r="A12" s="45"/>
      <c r="B12" s="45"/>
      <c r="C12" s="39"/>
      <c r="D12" s="46"/>
      <c r="E12" s="27"/>
      <c r="F12" s="31"/>
      <c r="G12" s="82" t="str">
        <f>IF(F12=0,"",VLOOKUP(F12,Employés!$A$2:$B$186,2,0))</f>
        <v/>
      </c>
      <c r="H12" s="82"/>
      <c r="I12" s="35"/>
      <c r="J12" s="29"/>
      <c r="K12" s="19"/>
      <c r="L12" s="20"/>
      <c r="M12" s="37" t="str">
        <f>IF(I12=0,"",VLOOKUP(I12,Municipalités!$A$2:$B$1290,2,TRUE))</f>
        <v/>
      </c>
    </row>
    <row r="13" spans="1:13" ht="30" customHeight="1" x14ac:dyDescent="0.25">
      <c r="A13" s="45"/>
      <c r="B13" s="45"/>
      <c r="C13" s="39"/>
      <c r="D13" s="46"/>
      <c r="E13" s="27"/>
      <c r="F13" s="31"/>
      <c r="G13" s="82" t="str">
        <f>IF(F13=0,"",VLOOKUP(F13,Employés!$A$2:$B$186,2,0))</f>
        <v/>
      </c>
      <c r="H13" s="82"/>
      <c r="I13" s="35"/>
      <c r="J13" s="29"/>
      <c r="K13" s="19"/>
      <c r="L13" s="20"/>
      <c r="M13" s="37" t="str">
        <f>IF(I13=0,"",VLOOKUP(I13,Municipalités!$A$2:$B$1290,2,TRUE))</f>
        <v/>
      </c>
    </row>
    <row r="14" spans="1:13" ht="30" customHeight="1" x14ac:dyDescent="0.25">
      <c r="A14" s="45"/>
      <c r="B14" s="45"/>
      <c r="C14" s="39"/>
      <c r="D14" s="47"/>
      <c r="E14" s="27"/>
      <c r="F14" s="31"/>
      <c r="G14" s="82" t="str">
        <f>IF(F14=0,"",VLOOKUP(F14,Employés!$A$2:$B$186,2,0))</f>
        <v/>
      </c>
      <c r="H14" s="82"/>
      <c r="I14" s="35"/>
      <c r="J14" s="29"/>
      <c r="K14" s="19"/>
      <c r="L14" s="20"/>
      <c r="M14" s="37" t="str">
        <f>IF(I14=0,"",VLOOKUP(I14,Municipalités!$A$2:$B$1290,2,TRUE))</f>
        <v/>
      </c>
    </row>
    <row r="15" spans="1:13" ht="30" customHeight="1" x14ac:dyDescent="0.25">
      <c r="A15" s="45"/>
      <c r="B15" s="45"/>
      <c r="C15" s="39"/>
      <c r="D15" s="47"/>
      <c r="E15" s="27"/>
      <c r="F15" s="31"/>
      <c r="G15" s="82" t="str">
        <f>IF(F15=0,"",VLOOKUP(F15,Employés!$A$2:$B$186,2,0))</f>
        <v/>
      </c>
      <c r="H15" s="82"/>
      <c r="I15" s="35"/>
      <c r="J15" s="29"/>
      <c r="K15" s="19"/>
      <c r="L15" s="20"/>
      <c r="M15" s="37" t="str">
        <f>IF(I15=0,"",VLOOKUP(I15,Municipalités!$A$2:$B$1290,2,TRUE))</f>
        <v/>
      </c>
    </row>
    <row r="16" spans="1:13" ht="30" customHeight="1" x14ac:dyDescent="0.25">
      <c r="A16" s="45"/>
      <c r="B16" s="45"/>
      <c r="C16" s="39"/>
      <c r="D16" s="46"/>
      <c r="E16" s="27"/>
      <c r="F16" s="31"/>
      <c r="G16" s="82" t="str">
        <f>IF(F16=0,"",VLOOKUP(F16,Employés!$A$2:$B$186,2,0))</f>
        <v/>
      </c>
      <c r="H16" s="82"/>
      <c r="I16" s="35"/>
      <c r="J16" s="29"/>
      <c r="K16" s="19"/>
      <c r="L16" s="20"/>
      <c r="M16" s="37" t="str">
        <f>IF(I16=0,"",VLOOKUP(I16,Municipalités!$A$2:$B$1290,2,TRUE))</f>
        <v/>
      </c>
    </row>
    <row r="17" spans="1:13" ht="30" customHeight="1" x14ac:dyDescent="0.25">
      <c r="A17" s="45"/>
      <c r="B17" s="45"/>
      <c r="C17" s="39"/>
      <c r="D17" s="46"/>
      <c r="E17" s="27"/>
      <c r="F17" s="31"/>
      <c r="G17" s="82" t="str">
        <f>IF(F17=0,"",VLOOKUP(F17,Employés!$A$2:$B$186,2,0))</f>
        <v/>
      </c>
      <c r="H17" s="82"/>
      <c r="I17" s="35"/>
      <c r="J17" s="29"/>
      <c r="K17" s="19"/>
      <c r="L17" s="20"/>
      <c r="M17" s="37" t="str">
        <f>IF(I17=0,"",VLOOKUP(I17,Municipalités!$A$2:$B$1290,2,TRUE))</f>
        <v/>
      </c>
    </row>
    <row r="18" spans="1:13" ht="30" customHeight="1" x14ac:dyDescent="0.25">
      <c r="A18" s="45"/>
      <c r="B18" s="45"/>
      <c r="C18" s="39"/>
      <c r="D18" s="46"/>
      <c r="E18" s="27"/>
      <c r="F18" s="31"/>
      <c r="G18" s="82" t="str">
        <f>IF(F18=0,"",VLOOKUP(F18,Employés!$A$2:$B$186,2,0))</f>
        <v/>
      </c>
      <c r="H18" s="82"/>
      <c r="I18" s="35"/>
      <c r="J18" s="29"/>
      <c r="K18" s="19"/>
      <c r="L18" s="20"/>
      <c r="M18" s="37" t="str">
        <f>IF(I18=0,"",VLOOKUP(I18,Municipalités!$A$2:$B$1290,2,TRUE))</f>
        <v/>
      </c>
    </row>
    <row r="19" spans="1:13" ht="30" customHeight="1" x14ac:dyDescent="0.25">
      <c r="A19" s="45"/>
      <c r="B19" s="45"/>
      <c r="C19" s="39"/>
      <c r="D19" s="46"/>
      <c r="E19" s="27"/>
      <c r="F19" s="31"/>
      <c r="G19" s="82" t="str">
        <f>IF(F19=0,"",VLOOKUP(F19,Employés!$A$2:$B$186,2,0))</f>
        <v/>
      </c>
      <c r="H19" s="82"/>
      <c r="I19" s="35"/>
      <c r="J19" s="29"/>
      <c r="K19" s="19"/>
      <c r="L19" s="20"/>
      <c r="M19" s="37" t="str">
        <f>IF(I19=0,"",VLOOKUP(I19,Municipalités!$A$2:$B$1290,2,TRUE))</f>
        <v/>
      </c>
    </row>
    <row r="20" spans="1:13" ht="30" customHeight="1" x14ac:dyDescent="0.25">
      <c r="A20" s="45"/>
      <c r="B20" s="45"/>
      <c r="C20" s="39"/>
      <c r="D20" s="47"/>
      <c r="E20" s="27"/>
      <c r="F20" s="31"/>
      <c r="G20" s="82" t="str">
        <f>IF(F20=0,"",VLOOKUP(F20,Employés!$A$2:$B$186,2,0))</f>
        <v/>
      </c>
      <c r="H20" s="82"/>
      <c r="I20" s="35"/>
      <c r="J20" s="29"/>
      <c r="K20" s="19"/>
      <c r="L20" s="20"/>
      <c r="M20" s="37" t="str">
        <f>IF(I20=0,"",VLOOKUP(I20,Municipalités!$A$2:$B$1290,2,TRUE))</f>
        <v/>
      </c>
    </row>
    <row r="21" spans="1:13" ht="30" customHeight="1" x14ac:dyDescent="0.25">
      <c r="A21" s="45"/>
      <c r="B21" s="45"/>
      <c r="C21" s="39"/>
      <c r="D21" s="47"/>
      <c r="E21" s="27"/>
      <c r="F21" s="31"/>
      <c r="G21" s="82" t="str">
        <f>IF(F21=0,"",VLOOKUP(F21,Employés!$A$2:$B$186,2,0))</f>
        <v/>
      </c>
      <c r="H21" s="82"/>
      <c r="I21" s="35"/>
      <c r="J21" s="29"/>
      <c r="K21" s="19"/>
      <c r="L21" s="20"/>
      <c r="M21" s="37" t="str">
        <f>IF(I21=0,"",VLOOKUP(I21,Municipalités!$A$2:$B$1290,2,TRUE))</f>
        <v/>
      </c>
    </row>
    <row r="22" spans="1:13" ht="30" customHeight="1" x14ac:dyDescent="0.25">
      <c r="A22" s="45"/>
      <c r="B22" s="45"/>
      <c r="C22" s="39"/>
      <c r="D22" s="46"/>
      <c r="E22" s="27"/>
      <c r="F22" s="31"/>
      <c r="G22" s="82" t="str">
        <f>IF(F22=0,"",VLOOKUP(F22,Employés!$A$2:$B$186,2,0))</f>
        <v/>
      </c>
      <c r="H22" s="82"/>
      <c r="I22" s="35"/>
      <c r="J22" s="29"/>
      <c r="K22" s="19"/>
      <c r="L22" s="20"/>
      <c r="M22" s="37" t="str">
        <f>IF(I22=0,"",VLOOKUP(I22,Municipalités!$A$2:$B$1290,2,TRUE))</f>
        <v/>
      </c>
    </row>
    <row r="23" spans="1:13" ht="30" customHeight="1" x14ac:dyDescent="0.25">
      <c r="A23" s="45"/>
      <c r="B23" s="45"/>
      <c r="C23" s="39"/>
      <c r="D23" s="46"/>
      <c r="E23" s="27"/>
      <c r="F23" s="31"/>
      <c r="G23" s="82" t="str">
        <f>IF(F23=0,"",VLOOKUP(F23,Employés!$A$2:$B$186,2,0))</f>
        <v/>
      </c>
      <c r="H23" s="82"/>
      <c r="I23" s="35"/>
      <c r="J23" s="29"/>
      <c r="K23" s="19"/>
      <c r="L23" s="20"/>
      <c r="M23" s="37" t="str">
        <f>IF(I23=0,"",VLOOKUP(I23,Municipalités!$A$2:$B$1290,2,TRUE))</f>
        <v/>
      </c>
    </row>
    <row r="24" spans="1:13" ht="30" customHeight="1" x14ac:dyDescent="0.25">
      <c r="A24" s="45"/>
      <c r="B24" s="45"/>
      <c r="C24" s="39"/>
      <c r="D24" s="46"/>
      <c r="E24" s="27"/>
      <c r="F24" s="31"/>
      <c r="G24" s="82" t="str">
        <f>IF(F24=0,"",VLOOKUP(F24,Employés!$A$2:$B$186,2,0))</f>
        <v/>
      </c>
      <c r="H24" s="82"/>
      <c r="I24" s="35"/>
      <c r="J24" s="29"/>
      <c r="K24" s="19"/>
      <c r="L24" s="20"/>
      <c r="M24" s="37" t="str">
        <f>IF(I24=0,"",VLOOKUP(I24,Municipalités!$A$2:$B$1290,2,TRUE))</f>
        <v/>
      </c>
    </row>
    <row r="25" spans="1:13" ht="30" customHeight="1" x14ac:dyDescent="0.25">
      <c r="A25" s="45"/>
      <c r="B25" s="45"/>
      <c r="C25" s="39"/>
      <c r="D25" s="46"/>
      <c r="E25" s="27"/>
      <c r="F25" s="31"/>
      <c r="G25" s="82" t="str">
        <f>IF(F25=0,"",VLOOKUP(F25,Employés!$A$2:$B$186,2,0))</f>
        <v/>
      </c>
      <c r="H25" s="82"/>
      <c r="I25" s="35"/>
      <c r="J25" s="29"/>
      <c r="K25" s="19"/>
      <c r="L25" s="20"/>
      <c r="M25" s="37" t="str">
        <f>IF(I25=0,"",VLOOKUP(I25,Municipalités!$A$2:$B$1290,2,TRUE))</f>
        <v/>
      </c>
    </row>
    <row r="26" spans="1:13" ht="30" customHeight="1" x14ac:dyDescent="0.25">
      <c r="A26" s="45"/>
      <c r="B26" s="45"/>
      <c r="C26" s="39"/>
      <c r="D26" s="46"/>
      <c r="E26" s="27"/>
      <c r="F26" s="31"/>
      <c r="G26" s="82" t="str">
        <f>IF(F26=0,"",VLOOKUP(F26,Employés!$A$2:$B$186,2,0))</f>
        <v/>
      </c>
      <c r="H26" s="82"/>
      <c r="I26" s="35"/>
      <c r="J26" s="29"/>
      <c r="K26" s="19"/>
      <c r="L26" s="20"/>
      <c r="M26" s="37" t="str">
        <f>IF(I26=0,"",VLOOKUP(I26,Municipalités!$A$2:$B$1290,2,TRUE))</f>
        <v/>
      </c>
    </row>
    <row r="27" spans="1:13" ht="30" customHeight="1" x14ac:dyDescent="0.25">
      <c r="A27" s="45"/>
      <c r="B27" s="45"/>
      <c r="C27" s="39"/>
      <c r="D27" s="46"/>
      <c r="E27" s="27"/>
      <c r="F27" s="31"/>
      <c r="G27" s="82" t="str">
        <f>IF(F27=0,"",VLOOKUP(F27,Employés!$A$2:$B$186,2,0))</f>
        <v/>
      </c>
      <c r="H27" s="82"/>
      <c r="I27" s="35"/>
      <c r="J27" s="29"/>
      <c r="K27" s="19"/>
      <c r="L27" s="20"/>
      <c r="M27" s="37" t="str">
        <f>IF(I27=0,"",VLOOKUP(I27,Municipalités!$A$2:$B$1290,2,TRUE))</f>
        <v/>
      </c>
    </row>
    <row r="28" spans="1:13" ht="30" customHeight="1" x14ac:dyDescent="0.25">
      <c r="A28" s="45"/>
      <c r="B28" s="45"/>
      <c r="C28" s="39"/>
      <c r="D28" s="46"/>
      <c r="E28" s="27"/>
      <c r="F28" s="31"/>
      <c r="G28" s="82" t="str">
        <f>IF(F28=0,"",VLOOKUP(F28,Employés!$A$2:$B$186,2,0))</f>
        <v/>
      </c>
      <c r="H28" s="82"/>
      <c r="I28" s="35"/>
      <c r="J28" s="29"/>
      <c r="K28" s="19"/>
      <c r="L28" s="20"/>
      <c r="M28" s="37" t="str">
        <f>IF(I28=0,"",VLOOKUP(I28,Municipalités!$A$2:$B$1290,2,TRUE))</f>
        <v/>
      </c>
    </row>
    <row r="29" spans="1:13" ht="30" customHeight="1" x14ac:dyDescent="0.25">
      <c r="A29" s="45"/>
      <c r="B29" s="45"/>
      <c r="C29" s="39"/>
      <c r="D29" s="46"/>
      <c r="E29" s="27"/>
      <c r="F29" s="31"/>
      <c r="G29" s="82" t="str">
        <f>IF(F29=0,"",VLOOKUP(F29,Employés!$A$2:$B$186,2,0))</f>
        <v/>
      </c>
      <c r="H29" s="82"/>
      <c r="I29" s="35"/>
      <c r="J29" s="29"/>
      <c r="K29" s="19"/>
      <c r="L29" s="20"/>
      <c r="M29" s="37" t="str">
        <f>IF(I29=0,"",VLOOKUP(I29,Municipalités!$A$2:$B$1290,2,TRUE))</f>
        <v/>
      </c>
    </row>
    <row r="30" spans="1:13" ht="30" customHeight="1" x14ac:dyDescent="0.25">
      <c r="A30" s="45"/>
      <c r="B30" s="45"/>
      <c r="C30" s="39"/>
      <c r="D30" s="46"/>
      <c r="E30" s="27"/>
      <c r="F30" s="31"/>
      <c r="G30" s="82" t="str">
        <f>IF(F30=0,"",VLOOKUP(F30,Employés!$A$2:$B$186,2,0))</f>
        <v/>
      </c>
      <c r="H30" s="82"/>
      <c r="I30" s="35"/>
      <c r="J30" s="29"/>
      <c r="K30" s="19"/>
      <c r="L30" s="20"/>
      <c r="M30" s="37" t="str">
        <f>IF(I30=0,"",VLOOKUP(I30,Municipalités!$A$2:$B$1290,2,TRUE))</f>
        <v/>
      </c>
    </row>
    <row r="31" spans="1:13" ht="30" customHeight="1" x14ac:dyDescent="0.25">
      <c r="A31" s="45"/>
      <c r="B31" s="45"/>
      <c r="C31" s="39"/>
      <c r="D31" s="47"/>
      <c r="E31" s="27"/>
      <c r="F31" s="31"/>
      <c r="G31" s="82" t="str">
        <f>IF(F31=0,"",VLOOKUP(F31,Employés!$A$2:$B$186,2,0))</f>
        <v/>
      </c>
      <c r="H31" s="82"/>
      <c r="I31" s="35"/>
      <c r="J31" s="29"/>
      <c r="K31" s="19"/>
      <c r="L31" s="20"/>
      <c r="M31" s="37" t="str">
        <f>IF(I31=0,"",VLOOKUP(I31,Municipalités!$A$2:$B$1290,2,TRUE))</f>
        <v/>
      </c>
    </row>
    <row r="32" spans="1:13" ht="30" customHeight="1" x14ac:dyDescent="0.25">
      <c r="A32" s="45"/>
      <c r="B32" s="45"/>
      <c r="C32" s="39"/>
      <c r="D32" s="46"/>
      <c r="E32" s="27"/>
      <c r="F32" s="31"/>
      <c r="G32" s="82" t="str">
        <f>IF(F32=0,"",VLOOKUP(F32,Employés!$A$2:$B$186,2,0))</f>
        <v/>
      </c>
      <c r="H32" s="82"/>
      <c r="I32" s="35"/>
      <c r="J32" s="29"/>
      <c r="K32" s="19"/>
      <c r="L32" s="20"/>
      <c r="M32" s="37" t="str">
        <f>IF(I32=0,"",VLOOKUP(I32,Municipalités!$A$2:$B$1290,2,TRUE))</f>
        <v/>
      </c>
    </row>
    <row r="33" spans="1:13" ht="30" customHeight="1" x14ac:dyDescent="0.25">
      <c r="A33" s="45"/>
      <c r="B33" s="45"/>
      <c r="C33" s="39"/>
      <c r="D33" s="46"/>
      <c r="E33" s="27"/>
      <c r="F33" s="31"/>
      <c r="G33" s="82" t="str">
        <f>IF(F33=0,"",VLOOKUP(F33,Employés!$A$2:$B$186,2,0))</f>
        <v/>
      </c>
      <c r="H33" s="82"/>
      <c r="I33" s="35"/>
      <c r="J33" s="29"/>
      <c r="K33" s="19"/>
      <c r="L33" s="20"/>
      <c r="M33" s="37" t="str">
        <f>IF(I33=0,"",VLOOKUP(I33,Municipalités!$A$2:$B$1290,2,TRUE))</f>
        <v/>
      </c>
    </row>
    <row r="34" spans="1:13" ht="30" customHeight="1" x14ac:dyDescent="0.25">
      <c r="A34" s="45"/>
      <c r="B34" s="45"/>
      <c r="C34" s="39"/>
      <c r="D34" s="46"/>
      <c r="E34" s="27"/>
      <c r="F34" s="31"/>
      <c r="G34" s="82" t="str">
        <f>IF(F34=0,"",VLOOKUP(F34,Employés!$A$2:$B$186,2,0))</f>
        <v/>
      </c>
      <c r="H34" s="82"/>
      <c r="I34" s="35"/>
      <c r="J34" s="29"/>
      <c r="K34" s="19"/>
      <c r="L34" s="20"/>
      <c r="M34" s="37" t="str">
        <f>IF(I34=0,"",VLOOKUP(I34,Municipalités!$A$2:$B$1290,2,TRUE))</f>
        <v/>
      </c>
    </row>
    <row r="35" spans="1:13" ht="30" customHeight="1" x14ac:dyDescent="0.25">
      <c r="A35" s="45"/>
      <c r="B35" s="45"/>
      <c r="C35" s="30"/>
      <c r="D35" s="46"/>
      <c r="E35" s="27"/>
      <c r="F35" s="31"/>
      <c r="G35" s="82" t="str">
        <f>IF(F35=0,"",VLOOKUP(F35,Employés!$A$2:$B$186,2,0))</f>
        <v/>
      </c>
      <c r="H35" s="82"/>
      <c r="I35" s="35"/>
      <c r="J35" s="29"/>
      <c r="K35" s="19"/>
      <c r="L35" s="20"/>
      <c r="M35" s="37" t="str">
        <f>IF(I35=0,"",VLOOKUP(I35,Municipalités!$A$2:$B$1290,2,TRUE))</f>
        <v/>
      </c>
    </row>
    <row r="36" spans="1:13" ht="30" customHeight="1" x14ac:dyDescent="0.25">
      <c r="A36" s="45"/>
      <c r="B36" s="45"/>
      <c r="C36" s="30"/>
      <c r="D36" s="46"/>
      <c r="E36" s="27"/>
      <c r="F36" s="31"/>
      <c r="G36" s="82" t="str">
        <f>IF(F36=0,"",VLOOKUP(F36,Employés!$A$2:$B$186,2,0))</f>
        <v/>
      </c>
      <c r="H36" s="82"/>
      <c r="I36" s="35"/>
      <c r="J36" s="29"/>
      <c r="K36" s="19"/>
      <c r="L36" s="20"/>
      <c r="M36" s="37" t="str">
        <f>IF(I36=0,"",VLOOKUP(I36,Municipalités!$A$2:$B$1290,2,TRUE))</f>
        <v/>
      </c>
    </row>
    <row r="37" spans="1:13" ht="30" customHeight="1" x14ac:dyDescent="0.25">
      <c r="A37" s="45"/>
      <c r="B37" s="45"/>
      <c r="C37" s="39"/>
      <c r="D37" s="46"/>
      <c r="E37" s="27"/>
      <c r="F37" s="31"/>
      <c r="G37" s="82" t="str">
        <f>IF(F37=0,"",VLOOKUP(F37,Employés!$A$2:$B$186,2,0))</f>
        <v/>
      </c>
      <c r="H37" s="82"/>
      <c r="I37" s="35"/>
      <c r="J37" s="29"/>
      <c r="K37" s="19"/>
      <c r="L37" s="20"/>
      <c r="M37" s="37" t="str">
        <f>IF(I37=0,"",VLOOKUP(I37,Municipalités!$A$2:$B$1290,2,TRUE))</f>
        <v/>
      </c>
    </row>
    <row r="38" spans="1:13" ht="30" customHeight="1" x14ac:dyDescent="0.25">
      <c r="A38" s="45"/>
      <c r="B38" s="45"/>
      <c r="C38" s="39"/>
      <c r="D38" s="47"/>
      <c r="E38" s="27"/>
      <c r="F38" s="31"/>
      <c r="G38" s="82" t="str">
        <f>IF(F38=0,"",VLOOKUP(F38,Employés!$A$2:$B$186,2,0))</f>
        <v/>
      </c>
      <c r="H38" s="82"/>
      <c r="I38" s="35"/>
      <c r="J38" s="29"/>
      <c r="K38" s="19"/>
      <c r="L38" s="20"/>
      <c r="M38" s="37" t="str">
        <f>IF(I38=0,"",VLOOKUP(I38,Municipalités!$A$2:$B$1290,2,TRUE))</f>
        <v/>
      </c>
    </row>
    <row r="39" spans="1:13" ht="30" customHeight="1" x14ac:dyDescent="0.25">
      <c r="A39" s="45"/>
      <c r="B39" s="45"/>
      <c r="C39" s="39"/>
      <c r="D39" s="45"/>
      <c r="E39" s="27"/>
      <c r="F39" s="31"/>
      <c r="G39" s="82" t="str">
        <f>IF(F39=0,"",VLOOKUP(F39,Employés!$A$2:$B$186,2,0))</f>
        <v/>
      </c>
      <c r="H39" s="82"/>
      <c r="I39" s="35"/>
      <c r="J39" s="29"/>
      <c r="K39" s="26"/>
      <c r="L39" s="25"/>
      <c r="M39" s="37" t="str">
        <f>IF(I39=0,"",VLOOKUP(I39,Municipalités!$A$2:$B$1290,2,TRUE))</f>
        <v/>
      </c>
    </row>
    <row r="40" spans="1:13" ht="30" customHeight="1" x14ac:dyDescent="0.25">
      <c r="A40" s="8"/>
      <c r="B40" s="8"/>
      <c r="C40" s="30"/>
      <c r="D40" s="8"/>
      <c r="E40" s="27"/>
      <c r="F40" s="31"/>
      <c r="G40" s="82" t="str">
        <f>IF(F40=0,"",VLOOKUP(F40,Employés!$A$2:$B$186,2,0))</f>
        <v/>
      </c>
      <c r="H40" s="82"/>
      <c r="I40" s="35"/>
      <c r="J40" s="29"/>
      <c r="K40" s="26"/>
      <c r="L40" s="25"/>
      <c r="M40" s="37" t="str">
        <f>IF(I40=0,"",VLOOKUP(I40,Municipalités!$A$2:$B$1290,2,TRUE))</f>
        <v/>
      </c>
    </row>
    <row r="41" spans="1:13" ht="30" customHeight="1" x14ac:dyDescent="0.25">
      <c r="A41" s="8"/>
      <c r="B41" s="8"/>
      <c r="C41" s="30"/>
      <c r="D41" s="8"/>
      <c r="E41" s="27"/>
      <c r="F41" s="31"/>
      <c r="G41" s="82" t="str">
        <f>IF(F41=0,"",VLOOKUP(F41,Employés!$A$2:$B$186,2,0))</f>
        <v/>
      </c>
      <c r="H41" s="82"/>
      <c r="I41" s="35"/>
      <c r="J41" s="29"/>
      <c r="K41" s="26"/>
      <c r="L41" s="25"/>
      <c r="M41" s="37" t="str">
        <f>IF(I41=0,"",VLOOKUP(I41,Municipalités!$A$2:$B$1290,2,TRUE))</f>
        <v/>
      </c>
    </row>
    <row r="42" spans="1:13" ht="30" customHeight="1" x14ac:dyDescent="0.25">
      <c r="A42" s="8"/>
      <c r="B42" s="8"/>
      <c r="C42" s="30"/>
      <c r="D42" s="8"/>
      <c r="E42" s="27"/>
      <c r="F42" s="31"/>
      <c r="G42" s="82" t="str">
        <f>IF(F42=0,"",VLOOKUP(F42,Employés!$A$2:$B$186,2,0))</f>
        <v/>
      </c>
      <c r="H42" s="82"/>
      <c r="I42" s="35"/>
      <c r="J42" s="29"/>
      <c r="K42" s="26"/>
      <c r="L42" s="25"/>
      <c r="M42" s="37" t="str">
        <f>IF(I42=0,"",VLOOKUP(I42,Municipalités!$A$2:$B$1290,2,TRUE))</f>
        <v/>
      </c>
    </row>
    <row r="43" spans="1:13" ht="30" customHeight="1" x14ac:dyDescent="0.25">
      <c r="A43" s="8"/>
      <c r="B43" s="8"/>
      <c r="C43" s="30"/>
      <c r="D43" s="8"/>
      <c r="E43" s="27" t="s">
        <v>1420</v>
      </c>
      <c r="F43" s="31"/>
      <c r="G43" s="82" t="str">
        <f>IF(F43=0,"",VLOOKUP(F43,Employés!$A$2:$B$186,2,0))</f>
        <v/>
      </c>
      <c r="H43" s="82"/>
      <c r="I43" s="35"/>
      <c r="J43" s="29"/>
      <c r="K43" s="26"/>
      <c r="L43" s="25" t="s">
        <v>1420</v>
      </c>
      <c r="M43" s="37" t="str">
        <f>IF(I43=0,"",VLOOKUP(I43,Municipalités!$A$2:$B$1290,2,TRUE))</f>
        <v/>
      </c>
    </row>
    <row r="44" spans="1:13" ht="30" customHeight="1" x14ac:dyDescent="0.25">
      <c r="A44" s="8"/>
      <c r="B44" s="8"/>
      <c r="C44" s="30"/>
      <c r="D44" s="8"/>
      <c r="E44" s="27"/>
      <c r="F44" s="31"/>
      <c r="G44" s="82" t="str">
        <f>IF(F44=0,"",VLOOKUP(F44,Employés!$A$2:$B$186,2,0))</f>
        <v/>
      </c>
      <c r="H44" s="82"/>
      <c r="I44" s="35"/>
      <c r="J44" s="29"/>
      <c r="K44" s="26"/>
      <c r="L44" s="25"/>
      <c r="M44" s="37" t="str">
        <f>IF(I44=0,"",VLOOKUP(I44,Municipalités!$A$2:$B$1290,2,TRUE))</f>
        <v/>
      </c>
    </row>
    <row r="45" spans="1:13" ht="30" customHeight="1" x14ac:dyDescent="0.25">
      <c r="A45" s="8"/>
      <c r="B45" s="8"/>
      <c r="C45" s="30"/>
      <c r="D45" s="8"/>
      <c r="E45" s="27"/>
      <c r="F45" s="31"/>
      <c r="G45" s="82" t="str">
        <f>IF(F45=0,"",VLOOKUP(F45,Employés!$A$2:$B$186,2,0))</f>
        <v/>
      </c>
      <c r="H45" s="82"/>
      <c r="I45" s="35"/>
      <c r="J45" s="29"/>
      <c r="K45" s="26"/>
      <c r="L45" s="25"/>
      <c r="M45" s="37" t="str">
        <f>IF(I45=0,"",VLOOKUP(I45,Municipalités!$A$2:$B$1290,2,TRUE))</f>
        <v/>
      </c>
    </row>
    <row r="46" spans="1:13" ht="30" customHeight="1" x14ac:dyDescent="0.25">
      <c r="A46" s="8"/>
      <c r="B46" s="8"/>
      <c r="C46" s="30"/>
      <c r="D46" s="8"/>
      <c r="E46" s="27"/>
      <c r="F46" s="31"/>
      <c r="G46" s="82" t="str">
        <f>IF(F46=0,"",VLOOKUP(F46,Employés!$A$2:$B$186,2,0))</f>
        <v/>
      </c>
      <c r="H46" s="82"/>
      <c r="I46" s="35"/>
      <c r="J46" s="29"/>
      <c r="K46" s="26"/>
      <c r="L46" s="25"/>
      <c r="M46" s="37" t="str">
        <f>IF(I46=0,"",VLOOKUP(I46,Municipalités!$A$2:$B$1290,2,TRUE))</f>
        <v/>
      </c>
    </row>
    <row r="47" spans="1:13" ht="30" customHeight="1" x14ac:dyDescent="0.25">
      <c r="A47" s="8"/>
      <c r="B47" s="8"/>
      <c r="C47" s="30"/>
      <c r="D47" s="8"/>
      <c r="E47" s="27"/>
      <c r="F47" s="31"/>
      <c r="G47" s="82" t="str">
        <f>IF(F47=0,"",VLOOKUP(F47,Employés!$A$2:$B$186,2,0))</f>
        <v/>
      </c>
      <c r="H47" s="82"/>
      <c r="I47" s="35"/>
      <c r="J47" s="29"/>
      <c r="K47" s="26"/>
      <c r="L47" s="25"/>
      <c r="M47" s="37" t="str">
        <f>IF(I47=0,"",VLOOKUP(I47,Municipalités!$A$2:$B$1290,2,TRUE))</f>
        <v/>
      </c>
    </row>
    <row r="48" spans="1:13" ht="30" customHeight="1" x14ac:dyDescent="0.25">
      <c r="A48" s="8"/>
      <c r="B48" s="8"/>
      <c r="C48" s="30"/>
      <c r="D48" s="8"/>
      <c r="E48" s="27"/>
      <c r="F48" s="31"/>
      <c r="G48" s="82" t="str">
        <f>IF(F48=0,"",VLOOKUP(F48,Employés!$A$2:$B$186,2,0))</f>
        <v/>
      </c>
      <c r="H48" s="82"/>
      <c r="I48" s="35"/>
      <c r="J48" s="29"/>
      <c r="K48" s="26"/>
      <c r="L48" s="25"/>
      <c r="M48" s="37" t="str">
        <f>IF(I48=0,"",VLOOKUP(I48,Municipalités!$A$2:$B$1290,2,TRUE))</f>
        <v/>
      </c>
    </row>
    <row r="49" spans="1:13" ht="30" customHeight="1" x14ac:dyDescent="0.25">
      <c r="A49" s="8"/>
      <c r="B49" s="8"/>
      <c r="C49" s="30"/>
      <c r="D49" s="8"/>
      <c r="E49" s="27"/>
      <c r="F49" s="31"/>
      <c r="G49" s="82" t="str">
        <f>IF(F49=0,"",VLOOKUP(F49,Employés!$A$2:$B$186,2,0))</f>
        <v/>
      </c>
      <c r="H49" s="82"/>
      <c r="I49" s="35"/>
      <c r="J49" s="29"/>
      <c r="K49" s="26"/>
      <c r="L49" s="25"/>
      <c r="M49" s="37" t="str">
        <f>IF(I49=0,"",VLOOKUP(I49,Municipalités!$A$2:$B$1290,2,TRUE))</f>
        <v/>
      </c>
    </row>
    <row r="50" spans="1:13" ht="30" customHeight="1" x14ac:dyDescent="0.25">
      <c r="A50" s="8"/>
      <c r="B50" s="8"/>
      <c r="C50" s="30"/>
      <c r="D50" s="8"/>
      <c r="E50" s="27"/>
      <c r="F50" s="31"/>
      <c r="G50" s="82" t="str">
        <f>IF(F50=0,"",VLOOKUP(F50,Employés!$A$2:$B$186,2,0))</f>
        <v/>
      </c>
      <c r="H50" s="82"/>
      <c r="I50" s="35"/>
      <c r="J50" s="29"/>
      <c r="K50" s="26"/>
      <c r="L50" s="25"/>
      <c r="M50" s="37" t="str">
        <f>IF(I50=0,"",VLOOKUP(I50,Municipalités!$A$2:$B$1290,2,TRUE))</f>
        <v/>
      </c>
    </row>
    <row r="51" spans="1:13" ht="30" customHeight="1" x14ac:dyDescent="0.25">
      <c r="A51" s="8"/>
      <c r="B51" s="8"/>
      <c r="C51" s="30"/>
      <c r="D51" s="8"/>
      <c r="E51" s="27"/>
      <c r="F51" s="31"/>
      <c r="G51" s="82" t="str">
        <f>IF(F51=0,"",VLOOKUP(F51,Employés!$A$2:$B$186,2,0))</f>
        <v/>
      </c>
      <c r="H51" s="82"/>
      <c r="I51" s="35"/>
      <c r="J51" s="29"/>
      <c r="K51" s="26"/>
      <c r="L51" s="25"/>
      <c r="M51" s="37" t="str">
        <f>IF(I51=0,"",VLOOKUP(I51,Municipalités!$A$2:$B$1290,2,TRUE))</f>
        <v/>
      </c>
    </row>
    <row r="52" spans="1:13" ht="30" customHeight="1" x14ac:dyDescent="0.25">
      <c r="A52" s="8"/>
      <c r="B52" s="8"/>
      <c r="C52" s="30"/>
      <c r="D52" s="8"/>
      <c r="E52" s="27"/>
      <c r="F52" s="31"/>
      <c r="G52" s="82" t="str">
        <f>IF(F52=0,"",VLOOKUP(F52,Employés!$A$2:$B$186,2,0))</f>
        <v/>
      </c>
      <c r="H52" s="82"/>
      <c r="I52" s="35"/>
      <c r="J52" s="29"/>
      <c r="K52" s="26"/>
      <c r="L52" s="25"/>
      <c r="M52" s="37" t="str">
        <f>IF(I52=0,"",VLOOKUP(I52,Municipalités!$A$2:$B$1290,2,TRUE))</f>
        <v/>
      </c>
    </row>
    <row r="53" spans="1:13" ht="30" customHeight="1" x14ac:dyDescent="0.25">
      <c r="A53" s="8"/>
      <c r="B53" s="8"/>
      <c r="C53" s="30"/>
      <c r="D53" s="8"/>
      <c r="E53" s="27"/>
      <c r="F53" s="31"/>
      <c r="G53" s="82" t="str">
        <f>IF(F53=0,"",VLOOKUP(F53,Employés!$A$2:$B$186,2,0))</f>
        <v/>
      </c>
      <c r="H53" s="82"/>
      <c r="I53" s="35"/>
      <c r="J53" s="29"/>
      <c r="K53" s="26"/>
      <c r="L53" s="25"/>
      <c r="M53" s="37" t="str">
        <f>IF(I53=0,"",VLOOKUP(I53,Municipalités!$A$2:$B$1290,2,TRUE))</f>
        <v/>
      </c>
    </row>
    <row r="54" spans="1:13" ht="30" customHeight="1" x14ac:dyDescent="0.25">
      <c r="A54" s="8"/>
      <c r="B54" s="8"/>
      <c r="C54" s="30"/>
      <c r="D54" s="8"/>
      <c r="E54" s="27"/>
      <c r="F54" s="31"/>
      <c r="G54" s="82" t="str">
        <f>IF(F54=0,"",VLOOKUP(F54,Employés!$A$2:$B$186,2,0))</f>
        <v/>
      </c>
      <c r="H54" s="82"/>
      <c r="I54" s="35"/>
      <c r="J54" s="29"/>
      <c r="K54" s="26"/>
      <c r="L54" s="25"/>
      <c r="M54" s="37" t="str">
        <f>IF(I54=0,"",VLOOKUP(I54,Municipalités!$A$2:$B$1290,2,TRUE))</f>
        <v/>
      </c>
    </row>
    <row r="55" spans="1:13" ht="30" customHeight="1" x14ac:dyDescent="0.25">
      <c r="A55" s="8"/>
      <c r="B55" s="8"/>
      <c r="C55" s="30"/>
      <c r="D55" s="8"/>
      <c r="E55" s="27"/>
      <c r="F55" s="31"/>
      <c r="G55" s="82" t="str">
        <f>IF(F55=0,"",VLOOKUP(F55,Employés!$A$2:$B$186,2,0))</f>
        <v/>
      </c>
      <c r="H55" s="82"/>
      <c r="I55" s="35"/>
      <c r="J55" s="29"/>
      <c r="K55" s="26"/>
      <c r="L55" s="25"/>
      <c r="M55" s="37" t="str">
        <f>IF(I55=0,"",VLOOKUP(I55,Municipalités!$A$2:$B$1290,2,TRUE))</f>
        <v/>
      </c>
    </row>
    <row r="56" spans="1:13" ht="30" customHeight="1" x14ac:dyDescent="0.25">
      <c r="A56" s="8"/>
      <c r="B56" s="8"/>
      <c r="C56" s="30"/>
      <c r="D56" s="8"/>
      <c r="E56" s="27"/>
      <c r="F56" s="31"/>
      <c r="G56" s="82" t="str">
        <f>IF(F56=0,"",VLOOKUP(F56,Employés!$A$2:$B$186,2,0))</f>
        <v/>
      </c>
      <c r="H56" s="82"/>
      <c r="I56" s="35"/>
      <c r="J56" s="29"/>
      <c r="K56" s="26"/>
      <c r="L56" s="25"/>
      <c r="M56" s="37" t="str">
        <f>IF(I56=0,"",VLOOKUP(I56,Municipalités!$A$2:$B$1290,2,TRUE))</f>
        <v/>
      </c>
    </row>
    <row r="57" spans="1:13" ht="30" customHeight="1" x14ac:dyDescent="0.25">
      <c r="A57" s="8"/>
      <c r="B57" s="8"/>
      <c r="C57" s="30"/>
      <c r="D57" s="8"/>
      <c r="E57" s="27"/>
      <c r="F57" s="31"/>
      <c r="G57" s="82" t="str">
        <f>IF(F57=0,"",VLOOKUP(F57,Employés!$A$2:$B$186,2,0))</f>
        <v/>
      </c>
      <c r="H57" s="82"/>
      <c r="I57" s="35"/>
      <c r="J57" s="29"/>
      <c r="K57" s="26"/>
      <c r="L57" s="25"/>
      <c r="M57" s="37" t="str">
        <f>IF(I57=0,"",VLOOKUP(I57,Municipalités!$A$2:$B$1290,2,TRUE))</f>
        <v/>
      </c>
    </row>
    <row r="58" spans="1:13" ht="30" customHeight="1" x14ac:dyDescent="0.25">
      <c r="A58" s="8"/>
      <c r="B58" s="8"/>
      <c r="C58" s="30"/>
      <c r="D58" s="8"/>
      <c r="E58" s="27"/>
      <c r="F58" s="31"/>
      <c r="G58" s="82" t="str">
        <f>IF(F58=0,"",VLOOKUP(F58,Employés!$A$2:$B$186,2,0))</f>
        <v/>
      </c>
      <c r="H58" s="82"/>
      <c r="I58" s="35"/>
      <c r="J58" s="29"/>
      <c r="K58" s="26"/>
      <c r="L58" s="25"/>
      <c r="M58" s="37" t="str">
        <f>IF(I58=0,"",VLOOKUP(I58,Municipalités!$A$2:$B$1290,2,TRUE))</f>
        <v/>
      </c>
    </row>
    <row r="59" spans="1:13" ht="30" customHeight="1" x14ac:dyDescent="0.25">
      <c r="A59" s="8"/>
      <c r="B59" s="8"/>
      <c r="C59" s="30"/>
      <c r="D59" s="8"/>
      <c r="E59" s="27"/>
      <c r="F59" s="31"/>
      <c r="G59" s="82" t="str">
        <f>IF(F59=0,"",VLOOKUP(F59,Employés!$A$2:$B$186,2,0))</f>
        <v/>
      </c>
      <c r="H59" s="82"/>
      <c r="I59" s="35"/>
      <c r="J59" s="29"/>
      <c r="K59" s="26"/>
      <c r="L59" s="25"/>
      <c r="M59" s="37" t="str">
        <f>IF(I59=0,"",VLOOKUP(I59,Municipalités!$A$2:$B$1290,2,TRUE))</f>
        <v/>
      </c>
    </row>
    <row r="60" spans="1:13" ht="30" customHeight="1" x14ac:dyDescent="0.25">
      <c r="A60" s="8"/>
      <c r="B60" s="8"/>
      <c r="C60" s="30"/>
      <c r="D60" s="8"/>
      <c r="E60" s="27"/>
      <c r="F60" s="31"/>
      <c r="G60" s="82" t="str">
        <f>IF(F60=0,"",VLOOKUP(F60,Employés!$A$2:$B$186,2,0))</f>
        <v/>
      </c>
      <c r="H60" s="82"/>
      <c r="I60" s="35"/>
      <c r="J60" s="29"/>
      <c r="K60" s="26"/>
      <c r="L60" s="25"/>
      <c r="M60" s="37" t="str">
        <f>IF(I60=0,"",VLOOKUP(I60,Municipalités!$A$2:$B$1290,2,TRUE))</f>
        <v/>
      </c>
    </row>
    <row r="61" spans="1:13" ht="30" customHeight="1" x14ac:dyDescent="0.25">
      <c r="A61" s="8"/>
      <c r="B61" s="8"/>
      <c r="C61" s="30"/>
      <c r="D61" s="8"/>
      <c r="E61" s="27"/>
      <c r="F61" s="31"/>
      <c r="G61" s="82" t="str">
        <f>IF(F61=0,"",VLOOKUP(F61,Employés!$A$2:$B$186,2,0))</f>
        <v/>
      </c>
      <c r="H61" s="82"/>
      <c r="I61" s="35"/>
      <c r="J61" s="29"/>
      <c r="K61" s="26"/>
      <c r="L61" s="25"/>
      <c r="M61" s="37" t="str">
        <f>IF(I61=0,"",VLOOKUP(I61,Municipalités!$A$2:$B$1290,2,TRUE))</f>
        <v/>
      </c>
    </row>
    <row r="62" spans="1:13" x14ac:dyDescent="0.25">
      <c r="C62" s="14"/>
    </row>
    <row r="63" spans="1:13" x14ac:dyDescent="0.25">
      <c r="C63" s="14"/>
    </row>
    <row r="64" spans="1:13" x14ac:dyDescent="0.25">
      <c r="C64" s="14"/>
    </row>
    <row r="65" spans="3:5" x14ac:dyDescent="0.25">
      <c r="C65" s="14"/>
    </row>
    <row r="66" spans="3:5" x14ac:dyDescent="0.25">
      <c r="C66" s="14"/>
    </row>
    <row r="67" spans="3:5" x14ac:dyDescent="0.25">
      <c r="C67" s="14"/>
    </row>
    <row r="68" spans="3:5" x14ac:dyDescent="0.25">
      <c r="C68" s="14"/>
    </row>
    <row r="69" spans="3:5" x14ac:dyDescent="0.25">
      <c r="C69" s="14"/>
    </row>
    <row r="70" spans="3:5" x14ac:dyDescent="0.25">
      <c r="C70" s="14"/>
    </row>
    <row r="71" spans="3:5" x14ac:dyDescent="0.25">
      <c r="C71" s="14"/>
    </row>
    <row r="72" spans="3:5" x14ac:dyDescent="0.25">
      <c r="C72" s="14"/>
    </row>
    <row r="73" spans="3:5" x14ac:dyDescent="0.25">
      <c r="C73" s="14"/>
    </row>
    <row r="74" spans="3:5" x14ac:dyDescent="0.25">
      <c r="C74" s="14"/>
    </row>
    <row r="75" spans="3:5" x14ac:dyDescent="0.25">
      <c r="C75" s="14"/>
    </row>
    <row r="76" spans="3:5" x14ac:dyDescent="0.25">
      <c r="C76" s="14"/>
    </row>
    <row r="77" spans="3:5" x14ac:dyDescent="0.25">
      <c r="C77" s="14"/>
    </row>
    <row r="78" spans="3:5" x14ac:dyDescent="0.25">
      <c r="C78" s="14"/>
      <c r="E78" s="21" t="s">
        <v>1420</v>
      </c>
    </row>
    <row r="79" spans="3:5" x14ac:dyDescent="0.25">
      <c r="C79" s="14"/>
    </row>
    <row r="80" spans="3:5" x14ac:dyDescent="0.25">
      <c r="C80" s="14"/>
    </row>
    <row r="81" spans="3:3" x14ac:dyDescent="0.25">
      <c r="C81" s="14"/>
    </row>
    <row r="82" spans="3:3" x14ac:dyDescent="0.25">
      <c r="C82" s="14"/>
    </row>
    <row r="83" spans="3:3" x14ac:dyDescent="0.25">
      <c r="C83" s="14"/>
    </row>
    <row r="84" spans="3:3" x14ac:dyDescent="0.25">
      <c r="C84" s="14"/>
    </row>
    <row r="85" spans="3:3" x14ac:dyDescent="0.25">
      <c r="C85" s="14"/>
    </row>
    <row r="86" spans="3:3" x14ac:dyDescent="0.25">
      <c r="C86" s="14"/>
    </row>
    <row r="87" spans="3:3" x14ac:dyDescent="0.25">
      <c r="C87" s="14"/>
    </row>
    <row r="88" spans="3:3" x14ac:dyDescent="0.25">
      <c r="C88" s="14"/>
    </row>
    <row r="89" spans="3:3" x14ac:dyDescent="0.25">
      <c r="C89" s="14"/>
    </row>
    <row r="90" spans="3:3" x14ac:dyDescent="0.25">
      <c r="C90" s="14"/>
    </row>
    <row r="91" spans="3:3" x14ac:dyDescent="0.25">
      <c r="C91" s="14"/>
    </row>
    <row r="92" spans="3:3" x14ac:dyDescent="0.25">
      <c r="C92" s="14"/>
    </row>
    <row r="93" spans="3:3" x14ac:dyDescent="0.25">
      <c r="C93" s="14"/>
    </row>
    <row r="94" spans="3:3" x14ac:dyDescent="0.25">
      <c r="C94" s="14"/>
    </row>
    <row r="95" spans="3:3" x14ac:dyDescent="0.25">
      <c r="C95" s="14"/>
    </row>
    <row r="96" spans="3:3" x14ac:dyDescent="0.25">
      <c r="C96" s="14"/>
    </row>
    <row r="97" spans="3:3" x14ac:dyDescent="0.25">
      <c r="C97" s="14"/>
    </row>
    <row r="98" spans="3:3" x14ac:dyDescent="0.25">
      <c r="C98" s="14"/>
    </row>
  </sheetData>
  <mergeCells count="67">
    <mergeCell ref="G59:H59"/>
    <mergeCell ref="G60:H60"/>
    <mergeCell ref="G61:H61"/>
    <mergeCell ref="G53:H53"/>
    <mergeCell ref="G54:H54"/>
    <mergeCell ref="G55:H55"/>
    <mergeCell ref="G56:H56"/>
    <mergeCell ref="G57:H57"/>
    <mergeCell ref="G58:H58"/>
    <mergeCell ref="G52:H52"/>
    <mergeCell ref="G41:H41"/>
    <mergeCell ref="G42:H42"/>
    <mergeCell ref="G43:H43"/>
    <mergeCell ref="G44:H44"/>
    <mergeCell ref="G45:H45"/>
    <mergeCell ref="G46:H46"/>
    <mergeCell ref="G47:H47"/>
    <mergeCell ref="G48:H48"/>
    <mergeCell ref="G49:H49"/>
    <mergeCell ref="G50:H50"/>
    <mergeCell ref="G51:H51"/>
    <mergeCell ref="G40:H40"/>
    <mergeCell ref="G29:H29"/>
    <mergeCell ref="G30:H30"/>
    <mergeCell ref="G31:H31"/>
    <mergeCell ref="G32:H32"/>
    <mergeCell ref="G33:H33"/>
    <mergeCell ref="G34:H34"/>
    <mergeCell ref="G35:H35"/>
    <mergeCell ref="G36:H36"/>
    <mergeCell ref="G37:H37"/>
    <mergeCell ref="G38:H38"/>
    <mergeCell ref="G39:H39"/>
    <mergeCell ref="G28:H28"/>
    <mergeCell ref="G17:H17"/>
    <mergeCell ref="G18:H18"/>
    <mergeCell ref="G19:H19"/>
    <mergeCell ref="G20:H20"/>
    <mergeCell ref="G21:H21"/>
    <mergeCell ref="G22:H22"/>
    <mergeCell ref="G23:H23"/>
    <mergeCell ref="G24:H24"/>
    <mergeCell ref="G25:H25"/>
    <mergeCell ref="G26:H26"/>
    <mergeCell ref="G27:H27"/>
    <mergeCell ref="M2:M4"/>
    <mergeCell ref="G16:H16"/>
    <mergeCell ref="I6:I7"/>
    <mergeCell ref="J6:J7"/>
    <mergeCell ref="K6:M6"/>
    <mergeCell ref="G8:H8"/>
    <mergeCell ref="G9:H9"/>
    <mergeCell ref="G10:H10"/>
    <mergeCell ref="G11:H11"/>
    <mergeCell ref="G12:H12"/>
    <mergeCell ref="G13:H13"/>
    <mergeCell ref="G14:H14"/>
    <mergeCell ref="G15:H15"/>
    <mergeCell ref="E1:F4"/>
    <mergeCell ref="L1:L2"/>
    <mergeCell ref="A6:A7"/>
    <mergeCell ref="B6:B7"/>
    <mergeCell ref="C6:C7"/>
    <mergeCell ref="D6:D7"/>
    <mergeCell ref="E6:E7"/>
    <mergeCell ref="F6:F7"/>
    <mergeCell ref="G6:H7"/>
  </mergeCells>
  <conditionalFormatting sqref="C16:C21 C23:C45">
    <cfRule type="expression" dxfId="59" priority="7" stopIfTrue="1">
      <formula>#REF!=1</formula>
    </cfRule>
    <cfRule type="expression" priority="8" stopIfTrue="1">
      <formula>#REF!=2</formula>
    </cfRule>
    <cfRule type="expression" dxfId="58" priority="9" stopIfTrue="1">
      <formula>#REF!=3</formula>
    </cfRule>
  </conditionalFormatting>
  <conditionalFormatting sqref="C22">
    <cfRule type="expression" dxfId="57" priority="4" stopIfTrue="1">
      <formula>#REF!=1</formula>
    </cfRule>
    <cfRule type="expression" priority="5" stopIfTrue="1">
      <formula>#REF!=2</formula>
    </cfRule>
    <cfRule type="expression" dxfId="56" priority="6" stopIfTrue="1">
      <formula>#REF!=3</formula>
    </cfRule>
  </conditionalFormatting>
  <conditionalFormatting sqref="C46:C61">
    <cfRule type="expression" dxfId="55" priority="1" stopIfTrue="1">
      <formula>#REF!=1</formula>
    </cfRule>
    <cfRule type="expression" priority="2" stopIfTrue="1">
      <formula>#REF!=2</formula>
    </cfRule>
    <cfRule type="expression" dxfId="54" priority="3" stopIfTrue="1">
      <formula>#REF!=3</formula>
    </cfRule>
  </conditionalFormatting>
  <dataValidations count="2">
    <dataValidation operator="greaterThan" allowBlank="1" showDropDown="1" showInputMessage="1" showErrorMessage="1" errorTitle="Saisie incorrecte" error="Re-Saisir le numéro de dossier sous le format_x000a_000-000000-000" promptTitle="Saisie du numéro d'événement" prompt="000-000000-000_x000a_Ex. : 071-030901-001" sqref="J8:J39" xr:uid="{00000000-0002-0000-1500-000000000000}"/>
    <dataValidation type="textLength" operator="greaterThanOrEqual" allowBlank="1" showInputMessage="1" showErrorMessage="1" errorTitle="Saisie incorrecte" error="Re-saisir le numéro d'entrée en utilisant 3 chiffres_x000a_Ex.: 001" promptTitle="Saisie du numéro d'entrée" prompt="Minimum 3 chiffres_x000a_Ex.: 001" sqref="C8:C39" xr:uid="{00000000-0002-0000-1500-000001000000}">
      <formula1>3</formula1>
    </dataValidation>
  </dataValidations>
  <printOptions horizontalCentered="1" verticalCentered="1"/>
  <pageMargins left="0" right="0" top="0.31496062992125984" bottom="0.39370078740157483" header="0.15748031496062992" footer="0.19685039370078741"/>
  <pageSetup paperSize="5" scale="90" orientation="landscape" r:id="rId1"/>
  <headerFooter alignWithMargins="0">
    <oddFooter>&amp;R&amp;8Page &amp;P de &amp;N</oddFooter>
  </headerFooter>
  <drawing r:id="rId2"/>
  <legacyDrawing r:id="rId3"/>
  <controls>
    <mc:AlternateContent xmlns:mc="http://schemas.openxmlformats.org/markup-compatibility/2006">
      <mc:Choice Requires="x14">
        <control shapeId="163843" r:id="rId4" name="ComboBox2">
          <controlPr defaultSize="0" autoLine="0" r:id="rId5">
            <anchor moveWithCells="1">
              <from>
                <xdr:col>4</xdr:col>
                <xdr:colOff>0</xdr:colOff>
                <xdr:row>10</xdr:row>
                <xdr:rowOff>0</xdr:rowOff>
              </from>
              <to>
                <xdr:col>4</xdr:col>
                <xdr:colOff>2965450</xdr:colOff>
                <xdr:row>11</xdr:row>
                <xdr:rowOff>38100</xdr:rowOff>
              </to>
            </anchor>
          </controlPr>
        </control>
      </mc:Choice>
      <mc:Fallback>
        <control shapeId="163843" r:id="rId4" name="ComboBox2"/>
      </mc:Fallback>
    </mc:AlternateContent>
    <mc:AlternateContent xmlns:mc="http://schemas.openxmlformats.org/markup-compatibility/2006">
      <mc:Choice Requires="x14">
        <control shapeId="163842" r:id="rId6" name="ComboBox1">
          <controlPr defaultSize="0" autoLine="0" r:id="rId7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11</xdr:col>
                <xdr:colOff>1803400</xdr:colOff>
                <xdr:row>9</xdr:row>
                <xdr:rowOff>38100</xdr:rowOff>
              </to>
            </anchor>
          </controlPr>
        </control>
      </mc:Choice>
      <mc:Fallback>
        <control shapeId="163842" r:id="rId6" name="ComboBox1"/>
      </mc:Fallback>
    </mc:AlternateContent>
    <mc:AlternateContent xmlns:mc="http://schemas.openxmlformats.org/markup-compatibility/2006">
      <mc:Choice Requires="x14">
        <control shapeId="163841" r:id="rId8" name="Button 1">
          <controlPr defaultSize="0" print="0" autoFill="0" autoPict="0" macro="[0]!test2">
            <anchor moveWithCells="1">
              <from>
                <xdr:col>5</xdr:col>
                <xdr:colOff>222250</xdr:colOff>
                <xdr:row>1</xdr:row>
                <xdr:rowOff>139700</xdr:rowOff>
              </from>
              <to>
                <xdr:col>9</xdr:col>
                <xdr:colOff>1143000</xdr:colOff>
                <xdr:row>4</xdr:row>
                <xdr:rowOff>107950</xdr:rowOff>
              </to>
            </anchor>
          </controlPr>
        </control>
      </mc:Choice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80"/>
  <dimension ref="A1:M98"/>
  <sheetViews>
    <sheetView showGridLines="0" zoomScaleNormal="100" workbookViewId="0">
      <pane xSplit="3" ySplit="7" topLeftCell="D48" activePane="bottomRight" state="frozen"/>
      <selection activeCell="C8" sqref="C8"/>
      <selection pane="topRight" activeCell="C8" sqref="C8"/>
      <selection pane="bottomLeft" activeCell="C8" sqref="C8"/>
      <selection pane="bottomRight" activeCell="M2" sqref="M2:M5"/>
    </sheetView>
  </sheetViews>
  <sheetFormatPr baseColWidth="10" defaultColWidth="11.453125" defaultRowHeight="13" x14ac:dyDescent="0.25"/>
  <cols>
    <col min="1" max="2" width="5.6328125" style="1" customWidth="1"/>
    <col min="3" max="3" width="6.6328125" style="1" customWidth="1"/>
    <col min="4" max="4" width="7.54296875" style="1" customWidth="1"/>
    <col min="5" max="5" width="44.453125" style="21" customWidth="1"/>
    <col min="6" max="6" width="10.54296875" style="1" customWidth="1"/>
    <col min="7" max="7" width="13.90625" style="1" customWidth="1"/>
    <col min="8" max="8" width="4.6328125" style="1" hidden="1" customWidth="1"/>
    <col min="9" max="9" width="6.08984375" style="1" customWidth="1"/>
    <col min="10" max="10" width="26.54296875" style="1" customWidth="1"/>
    <col min="11" max="11" width="7.36328125" style="1" customWidth="1"/>
    <col min="12" max="12" width="27" style="24" customWidth="1"/>
    <col min="13" max="13" width="26" style="1" customWidth="1"/>
    <col min="14" max="16384" width="11.453125" style="1"/>
  </cols>
  <sheetData>
    <row r="1" spans="1:13" ht="12.75" customHeight="1" x14ac:dyDescent="0.25">
      <c r="E1" s="71" t="s">
        <v>1023</v>
      </c>
      <c r="F1" s="72"/>
      <c r="L1" s="73" t="s">
        <v>1021</v>
      </c>
      <c r="M1" s="51" t="s">
        <v>1022</v>
      </c>
    </row>
    <row r="2" spans="1:13" ht="12.75" customHeight="1" x14ac:dyDescent="0.25">
      <c r="E2" s="72"/>
      <c r="F2" s="72"/>
      <c r="L2" s="74"/>
      <c r="M2" s="70">
        <f>'22'!M2:M5+1</f>
        <v>42727</v>
      </c>
    </row>
    <row r="3" spans="1:13" ht="12.75" customHeight="1" x14ac:dyDescent="0.25">
      <c r="E3" s="72"/>
      <c r="F3" s="72"/>
      <c r="L3" s="52"/>
      <c r="M3" s="70"/>
    </row>
    <row r="4" spans="1:13" ht="15.75" customHeight="1" x14ac:dyDescent="0.25">
      <c r="E4" s="72"/>
      <c r="F4" s="72"/>
      <c r="L4" s="49" t="s">
        <v>140</v>
      </c>
      <c r="M4" s="70"/>
    </row>
    <row r="5" spans="1:13" ht="21.9" customHeight="1" thickBot="1" x14ac:dyDescent="0.3">
      <c r="L5" s="36"/>
      <c r="M5" s="69">
        <f>M2</f>
        <v>42727</v>
      </c>
    </row>
    <row r="6" spans="1:13" ht="24.9" customHeight="1" x14ac:dyDescent="0.25">
      <c r="A6" s="75" t="s">
        <v>2351</v>
      </c>
      <c r="B6" s="75" t="s">
        <v>2350</v>
      </c>
      <c r="C6" s="76" t="s">
        <v>1362</v>
      </c>
      <c r="D6" s="75" t="s">
        <v>1153</v>
      </c>
      <c r="E6" s="75" t="s">
        <v>1016</v>
      </c>
      <c r="F6" s="76" t="s">
        <v>2352</v>
      </c>
      <c r="G6" s="76" t="s">
        <v>1017</v>
      </c>
      <c r="H6" s="79"/>
      <c r="I6" s="76" t="s">
        <v>1364</v>
      </c>
      <c r="J6" s="76" t="s">
        <v>1363</v>
      </c>
      <c r="K6" s="83" t="s">
        <v>1018</v>
      </c>
      <c r="L6" s="84"/>
      <c r="M6" s="84"/>
    </row>
    <row r="7" spans="1:13" ht="12.5" x14ac:dyDescent="0.25">
      <c r="A7" s="75"/>
      <c r="B7" s="75"/>
      <c r="C7" s="77"/>
      <c r="D7" s="75"/>
      <c r="E7" s="75"/>
      <c r="F7" s="78"/>
      <c r="G7" s="80"/>
      <c r="H7" s="81"/>
      <c r="I7" s="77"/>
      <c r="J7" s="77"/>
      <c r="K7" s="50" t="s">
        <v>1015</v>
      </c>
      <c r="L7" s="50" t="s">
        <v>1019</v>
      </c>
      <c r="M7" s="32" t="s">
        <v>1020</v>
      </c>
    </row>
    <row r="8" spans="1:13" ht="30" customHeight="1" x14ac:dyDescent="0.25">
      <c r="A8" s="45"/>
      <c r="B8" s="45"/>
      <c r="C8" s="30"/>
      <c r="D8" s="46"/>
      <c r="E8" s="27"/>
      <c r="F8" s="31"/>
      <c r="G8" s="82" t="str">
        <f>IF(F8=0,"",VLOOKUP(F8,Employés!$A$2:$B$186,2,0))</f>
        <v/>
      </c>
      <c r="H8" s="82"/>
      <c r="I8" s="34"/>
      <c r="J8" s="33"/>
      <c r="K8" s="19"/>
      <c r="L8" s="20" t="s">
        <v>1420</v>
      </c>
      <c r="M8" s="37" t="str">
        <f>IF(I8=0,"",VLOOKUP(I8,Municipalités!$A$2:$B$1290,2,TRUE))</f>
        <v/>
      </c>
    </row>
    <row r="9" spans="1:13" ht="30" customHeight="1" x14ac:dyDescent="0.25">
      <c r="A9" s="45"/>
      <c r="B9" s="45"/>
      <c r="C9" s="39"/>
      <c r="D9" s="47"/>
      <c r="E9" s="27"/>
      <c r="F9" s="31"/>
      <c r="G9" s="82" t="str">
        <f>IF(F9=0,"",VLOOKUP(F9,Employés!$A$2:$B$186,2,0))</f>
        <v/>
      </c>
      <c r="H9" s="82"/>
      <c r="I9" s="35"/>
      <c r="J9" s="33"/>
      <c r="K9" s="19"/>
      <c r="L9" s="20"/>
      <c r="M9" s="37" t="str">
        <f>IF(I9=0,"",VLOOKUP(I9,Municipalités!$A$2:$B$1290,2,TRUE))</f>
        <v/>
      </c>
    </row>
    <row r="10" spans="1:13" ht="30" customHeight="1" x14ac:dyDescent="0.25">
      <c r="A10" s="45"/>
      <c r="B10" s="45"/>
      <c r="C10" s="39"/>
      <c r="D10" s="48"/>
      <c r="E10" s="28"/>
      <c r="F10" s="31"/>
      <c r="G10" s="82" t="str">
        <f>IF(F10=0,"",VLOOKUP(F10,Employés!$A$2:$B$186,2,0))</f>
        <v/>
      </c>
      <c r="H10" s="82"/>
      <c r="I10" s="35"/>
      <c r="J10" s="29"/>
      <c r="K10" s="19"/>
      <c r="L10" s="20"/>
      <c r="M10" s="37" t="str">
        <f>IF(I10=0,"",VLOOKUP(I10,Municipalités!$A$2:$B$1290,2,TRUE))</f>
        <v/>
      </c>
    </row>
    <row r="11" spans="1:13" ht="30" customHeight="1" x14ac:dyDescent="0.25">
      <c r="A11" s="45"/>
      <c r="B11" s="45"/>
      <c r="C11" s="39"/>
      <c r="D11" s="47"/>
      <c r="E11" s="28" t="s">
        <v>1420</v>
      </c>
      <c r="F11" s="31"/>
      <c r="G11" s="82" t="str">
        <f>IF(F11=0,"",VLOOKUP(F11,Employés!$A$2:$B$186,2,0))</f>
        <v/>
      </c>
      <c r="H11" s="82"/>
      <c r="I11" s="35"/>
      <c r="J11" s="29"/>
      <c r="K11" s="19"/>
      <c r="L11" s="20"/>
      <c r="M11" s="37" t="str">
        <f>IF(I11=0,"",VLOOKUP(I11,Municipalités!$A$2:$B$1290,2,TRUE))</f>
        <v/>
      </c>
    </row>
    <row r="12" spans="1:13" ht="30" customHeight="1" x14ac:dyDescent="0.25">
      <c r="A12" s="45"/>
      <c r="B12" s="45"/>
      <c r="C12" s="39"/>
      <c r="D12" s="46"/>
      <c r="E12" s="27"/>
      <c r="F12" s="31"/>
      <c r="G12" s="82" t="str">
        <f>IF(F12=0,"",VLOOKUP(F12,Employés!$A$2:$B$186,2,0))</f>
        <v/>
      </c>
      <c r="H12" s="82"/>
      <c r="I12" s="35"/>
      <c r="J12" s="29"/>
      <c r="K12" s="19"/>
      <c r="L12" s="20"/>
      <c r="M12" s="37" t="str">
        <f>IF(I12=0,"",VLOOKUP(I12,Municipalités!$A$2:$B$1290,2,TRUE))</f>
        <v/>
      </c>
    </row>
    <row r="13" spans="1:13" ht="30" customHeight="1" x14ac:dyDescent="0.25">
      <c r="A13" s="45"/>
      <c r="B13" s="45"/>
      <c r="C13" s="39"/>
      <c r="D13" s="46"/>
      <c r="E13" s="27"/>
      <c r="F13" s="31"/>
      <c r="G13" s="82" t="str">
        <f>IF(F13=0,"",VLOOKUP(F13,Employés!$A$2:$B$186,2,0))</f>
        <v/>
      </c>
      <c r="H13" s="82"/>
      <c r="I13" s="35"/>
      <c r="J13" s="29"/>
      <c r="K13" s="19"/>
      <c r="L13" s="20"/>
      <c r="M13" s="37" t="str">
        <f>IF(I13=0,"",VLOOKUP(I13,Municipalités!$A$2:$B$1290,2,TRUE))</f>
        <v/>
      </c>
    </row>
    <row r="14" spans="1:13" ht="30" customHeight="1" x14ac:dyDescent="0.25">
      <c r="A14" s="45"/>
      <c r="B14" s="45"/>
      <c r="C14" s="39"/>
      <c r="D14" s="47"/>
      <c r="E14" s="27"/>
      <c r="F14" s="31"/>
      <c r="G14" s="82" t="str">
        <f>IF(F14=0,"",VLOOKUP(F14,Employés!$A$2:$B$186,2,0))</f>
        <v/>
      </c>
      <c r="H14" s="82"/>
      <c r="I14" s="35"/>
      <c r="J14" s="29"/>
      <c r="K14" s="19"/>
      <c r="L14" s="20"/>
      <c r="M14" s="37" t="str">
        <f>IF(I14=0,"",VLOOKUP(I14,Municipalités!$A$2:$B$1290,2,TRUE))</f>
        <v/>
      </c>
    </row>
    <row r="15" spans="1:13" ht="30" customHeight="1" x14ac:dyDescent="0.25">
      <c r="A15" s="45"/>
      <c r="B15" s="45"/>
      <c r="C15" s="39"/>
      <c r="D15" s="47"/>
      <c r="E15" s="27"/>
      <c r="F15" s="31"/>
      <c r="G15" s="82" t="str">
        <f>IF(F15=0,"",VLOOKUP(F15,Employés!$A$2:$B$186,2,0))</f>
        <v/>
      </c>
      <c r="H15" s="82"/>
      <c r="I15" s="35"/>
      <c r="J15" s="29"/>
      <c r="K15" s="19"/>
      <c r="L15" s="20"/>
      <c r="M15" s="37" t="str">
        <f>IF(I15=0,"",VLOOKUP(I15,Municipalités!$A$2:$B$1290,2,TRUE))</f>
        <v/>
      </c>
    </row>
    <row r="16" spans="1:13" ht="30" customHeight="1" x14ac:dyDescent="0.25">
      <c r="A16" s="45"/>
      <c r="B16" s="45"/>
      <c r="C16" s="39"/>
      <c r="D16" s="46"/>
      <c r="E16" s="27"/>
      <c r="F16" s="31"/>
      <c r="G16" s="82" t="str">
        <f>IF(F16=0,"",VLOOKUP(F16,Employés!$A$2:$B$186,2,0))</f>
        <v/>
      </c>
      <c r="H16" s="82"/>
      <c r="I16" s="35"/>
      <c r="J16" s="29"/>
      <c r="K16" s="19"/>
      <c r="L16" s="20"/>
      <c r="M16" s="37" t="str">
        <f>IF(I16=0,"",VLOOKUP(I16,Municipalités!$A$2:$B$1290,2,TRUE))</f>
        <v/>
      </c>
    </row>
    <row r="17" spans="1:13" ht="30" customHeight="1" x14ac:dyDescent="0.25">
      <c r="A17" s="45"/>
      <c r="B17" s="45"/>
      <c r="C17" s="39"/>
      <c r="D17" s="46"/>
      <c r="E17" s="27"/>
      <c r="F17" s="31"/>
      <c r="G17" s="82" t="str">
        <f>IF(F17=0,"",VLOOKUP(F17,Employés!$A$2:$B$186,2,0))</f>
        <v/>
      </c>
      <c r="H17" s="82"/>
      <c r="I17" s="35"/>
      <c r="J17" s="29"/>
      <c r="K17" s="19"/>
      <c r="L17" s="20"/>
      <c r="M17" s="37" t="str">
        <f>IF(I17=0,"",VLOOKUP(I17,Municipalités!$A$2:$B$1290,2,TRUE))</f>
        <v/>
      </c>
    </row>
    <row r="18" spans="1:13" ht="30" customHeight="1" x14ac:dyDescent="0.25">
      <c r="A18" s="45"/>
      <c r="B18" s="45"/>
      <c r="C18" s="39"/>
      <c r="D18" s="46"/>
      <c r="E18" s="27"/>
      <c r="F18" s="31"/>
      <c r="G18" s="82" t="str">
        <f>IF(F18=0,"",VLOOKUP(F18,Employés!$A$2:$B$186,2,0))</f>
        <v/>
      </c>
      <c r="H18" s="82"/>
      <c r="I18" s="35"/>
      <c r="J18" s="29"/>
      <c r="K18" s="19"/>
      <c r="L18" s="20"/>
      <c r="M18" s="37" t="str">
        <f>IF(I18=0,"",VLOOKUP(I18,Municipalités!$A$2:$B$1290,2,TRUE))</f>
        <v/>
      </c>
    </row>
    <row r="19" spans="1:13" ht="30" customHeight="1" x14ac:dyDescent="0.25">
      <c r="A19" s="45"/>
      <c r="B19" s="45"/>
      <c r="C19" s="39"/>
      <c r="D19" s="46"/>
      <c r="E19" s="27"/>
      <c r="F19" s="31"/>
      <c r="G19" s="82" t="str">
        <f>IF(F19=0,"",VLOOKUP(F19,Employés!$A$2:$B$186,2,0))</f>
        <v/>
      </c>
      <c r="H19" s="82"/>
      <c r="I19" s="35"/>
      <c r="J19" s="29"/>
      <c r="K19" s="19"/>
      <c r="L19" s="20"/>
      <c r="M19" s="37" t="str">
        <f>IF(I19=0,"",VLOOKUP(I19,Municipalités!$A$2:$B$1290,2,TRUE))</f>
        <v/>
      </c>
    </row>
    <row r="20" spans="1:13" ht="30" customHeight="1" x14ac:dyDescent="0.25">
      <c r="A20" s="45"/>
      <c r="B20" s="45"/>
      <c r="C20" s="39"/>
      <c r="D20" s="47"/>
      <c r="E20" s="27"/>
      <c r="F20" s="31"/>
      <c r="G20" s="82" t="str">
        <f>IF(F20=0,"",VLOOKUP(F20,Employés!$A$2:$B$186,2,0))</f>
        <v/>
      </c>
      <c r="H20" s="82"/>
      <c r="I20" s="35"/>
      <c r="J20" s="29"/>
      <c r="K20" s="19"/>
      <c r="L20" s="20"/>
      <c r="M20" s="37" t="str">
        <f>IF(I20=0,"",VLOOKUP(I20,Municipalités!$A$2:$B$1290,2,TRUE))</f>
        <v/>
      </c>
    </row>
    <row r="21" spans="1:13" ht="30" customHeight="1" x14ac:dyDescent="0.25">
      <c r="A21" s="45"/>
      <c r="B21" s="45"/>
      <c r="C21" s="39"/>
      <c r="D21" s="47"/>
      <c r="E21" s="27"/>
      <c r="F21" s="31"/>
      <c r="G21" s="82" t="str">
        <f>IF(F21=0,"",VLOOKUP(F21,Employés!$A$2:$B$186,2,0))</f>
        <v/>
      </c>
      <c r="H21" s="82"/>
      <c r="I21" s="35"/>
      <c r="J21" s="29"/>
      <c r="K21" s="19"/>
      <c r="L21" s="20"/>
      <c r="M21" s="37" t="str">
        <f>IF(I21=0,"",VLOOKUP(I21,Municipalités!$A$2:$B$1290,2,TRUE))</f>
        <v/>
      </c>
    </row>
    <row r="22" spans="1:13" ht="30" customHeight="1" x14ac:dyDescent="0.25">
      <c r="A22" s="45"/>
      <c r="B22" s="45"/>
      <c r="C22" s="39"/>
      <c r="D22" s="46"/>
      <c r="E22" s="27"/>
      <c r="F22" s="31"/>
      <c r="G22" s="82" t="str">
        <f>IF(F22=0,"",VLOOKUP(F22,Employés!$A$2:$B$186,2,0))</f>
        <v/>
      </c>
      <c r="H22" s="82"/>
      <c r="I22" s="35"/>
      <c r="J22" s="29"/>
      <c r="K22" s="19"/>
      <c r="L22" s="20"/>
      <c r="M22" s="37" t="str">
        <f>IF(I22=0,"",VLOOKUP(I22,Municipalités!$A$2:$B$1290,2,TRUE))</f>
        <v/>
      </c>
    </row>
    <row r="23" spans="1:13" ht="30" customHeight="1" x14ac:dyDescent="0.25">
      <c r="A23" s="45"/>
      <c r="B23" s="45"/>
      <c r="C23" s="39"/>
      <c r="D23" s="46"/>
      <c r="E23" s="27"/>
      <c r="F23" s="31"/>
      <c r="G23" s="82" t="str">
        <f>IF(F23=0,"",VLOOKUP(F23,Employés!$A$2:$B$186,2,0))</f>
        <v/>
      </c>
      <c r="H23" s="82"/>
      <c r="I23" s="35"/>
      <c r="J23" s="29"/>
      <c r="K23" s="19"/>
      <c r="L23" s="20"/>
      <c r="M23" s="37" t="str">
        <f>IF(I23=0,"",VLOOKUP(I23,Municipalités!$A$2:$B$1290,2,TRUE))</f>
        <v/>
      </c>
    </row>
    <row r="24" spans="1:13" ht="30" customHeight="1" x14ac:dyDescent="0.25">
      <c r="A24" s="45"/>
      <c r="B24" s="45"/>
      <c r="C24" s="39"/>
      <c r="D24" s="46"/>
      <c r="E24" s="27"/>
      <c r="F24" s="31"/>
      <c r="G24" s="82" t="str">
        <f>IF(F24=0,"",VLOOKUP(F24,Employés!$A$2:$B$186,2,0))</f>
        <v/>
      </c>
      <c r="H24" s="82"/>
      <c r="I24" s="35"/>
      <c r="J24" s="29"/>
      <c r="K24" s="19"/>
      <c r="L24" s="20"/>
      <c r="M24" s="37" t="str">
        <f>IF(I24=0,"",VLOOKUP(I24,Municipalités!$A$2:$B$1290,2,TRUE))</f>
        <v/>
      </c>
    </row>
    <row r="25" spans="1:13" ht="30" customHeight="1" x14ac:dyDescent="0.25">
      <c r="A25" s="45"/>
      <c r="B25" s="45"/>
      <c r="C25" s="39"/>
      <c r="D25" s="46"/>
      <c r="E25" s="27"/>
      <c r="F25" s="31"/>
      <c r="G25" s="82" t="str">
        <f>IF(F25=0,"",VLOOKUP(F25,Employés!$A$2:$B$186,2,0))</f>
        <v/>
      </c>
      <c r="H25" s="82"/>
      <c r="I25" s="35"/>
      <c r="J25" s="29"/>
      <c r="K25" s="19"/>
      <c r="L25" s="20"/>
      <c r="M25" s="37" t="str">
        <f>IF(I25=0,"",VLOOKUP(I25,Municipalités!$A$2:$B$1290,2,TRUE))</f>
        <v/>
      </c>
    </row>
    <row r="26" spans="1:13" ht="30" customHeight="1" x14ac:dyDescent="0.25">
      <c r="A26" s="45"/>
      <c r="B26" s="45"/>
      <c r="C26" s="39"/>
      <c r="D26" s="46"/>
      <c r="E26" s="27"/>
      <c r="F26" s="31"/>
      <c r="G26" s="82" t="str">
        <f>IF(F26=0,"",VLOOKUP(F26,Employés!$A$2:$B$186,2,0))</f>
        <v/>
      </c>
      <c r="H26" s="82"/>
      <c r="I26" s="35"/>
      <c r="J26" s="29"/>
      <c r="K26" s="19"/>
      <c r="L26" s="20"/>
      <c r="M26" s="37" t="str">
        <f>IF(I26=0,"",VLOOKUP(I26,Municipalités!$A$2:$B$1290,2,TRUE))</f>
        <v/>
      </c>
    </row>
    <row r="27" spans="1:13" ht="30" customHeight="1" x14ac:dyDescent="0.25">
      <c r="A27" s="45"/>
      <c r="B27" s="45"/>
      <c r="C27" s="39"/>
      <c r="D27" s="46"/>
      <c r="E27" s="27"/>
      <c r="F27" s="31"/>
      <c r="G27" s="82" t="str">
        <f>IF(F27=0,"",VLOOKUP(F27,Employés!$A$2:$B$186,2,0))</f>
        <v/>
      </c>
      <c r="H27" s="82"/>
      <c r="I27" s="35"/>
      <c r="J27" s="29"/>
      <c r="K27" s="19"/>
      <c r="L27" s="20"/>
      <c r="M27" s="37" t="str">
        <f>IF(I27=0,"",VLOOKUP(I27,Municipalités!$A$2:$B$1290,2,TRUE))</f>
        <v/>
      </c>
    </row>
    <row r="28" spans="1:13" ht="30" customHeight="1" x14ac:dyDescent="0.25">
      <c r="A28" s="45"/>
      <c r="B28" s="45"/>
      <c r="C28" s="39"/>
      <c r="D28" s="46"/>
      <c r="E28" s="27"/>
      <c r="F28" s="31"/>
      <c r="G28" s="82" t="str">
        <f>IF(F28=0,"",VLOOKUP(F28,Employés!$A$2:$B$186,2,0))</f>
        <v/>
      </c>
      <c r="H28" s="82"/>
      <c r="I28" s="35"/>
      <c r="J28" s="29"/>
      <c r="K28" s="19"/>
      <c r="L28" s="20"/>
      <c r="M28" s="37" t="str">
        <f>IF(I28=0,"",VLOOKUP(I28,Municipalités!$A$2:$B$1290,2,TRUE))</f>
        <v/>
      </c>
    </row>
    <row r="29" spans="1:13" ht="30" customHeight="1" x14ac:dyDescent="0.25">
      <c r="A29" s="45"/>
      <c r="B29" s="45"/>
      <c r="C29" s="39"/>
      <c r="D29" s="46"/>
      <c r="E29" s="27"/>
      <c r="F29" s="31"/>
      <c r="G29" s="82" t="str">
        <f>IF(F29=0,"",VLOOKUP(F29,Employés!$A$2:$B$186,2,0))</f>
        <v/>
      </c>
      <c r="H29" s="82"/>
      <c r="I29" s="35"/>
      <c r="J29" s="29"/>
      <c r="K29" s="19"/>
      <c r="L29" s="20"/>
      <c r="M29" s="37" t="str">
        <f>IF(I29=0,"",VLOOKUP(I29,Municipalités!$A$2:$B$1290,2,TRUE))</f>
        <v/>
      </c>
    </row>
    <row r="30" spans="1:13" ht="30" customHeight="1" x14ac:dyDescent="0.25">
      <c r="A30" s="45"/>
      <c r="B30" s="45"/>
      <c r="C30" s="39"/>
      <c r="D30" s="46"/>
      <c r="E30" s="27"/>
      <c r="F30" s="31"/>
      <c r="G30" s="82" t="str">
        <f>IF(F30=0,"",VLOOKUP(F30,Employés!$A$2:$B$186,2,0))</f>
        <v/>
      </c>
      <c r="H30" s="82"/>
      <c r="I30" s="35"/>
      <c r="J30" s="29"/>
      <c r="K30" s="19"/>
      <c r="L30" s="20"/>
      <c r="M30" s="37" t="str">
        <f>IF(I30=0,"",VLOOKUP(I30,Municipalités!$A$2:$B$1290,2,TRUE))</f>
        <v/>
      </c>
    </row>
    <row r="31" spans="1:13" ht="30" customHeight="1" x14ac:dyDescent="0.25">
      <c r="A31" s="45"/>
      <c r="B31" s="45"/>
      <c r="C31" s="39"/>
      <c r="D31" s="47"/>
      <c r="E31" s="27"/>
      <c r="F31" s="31"/>
      <c r="G31" s="82" t="str">
        <f>IF(F31=0,"",VLOOKUP(F31,Employés!$A$2:$B$186,2,0))</f>
        <v/>
      </c>
      <c r="H31" s="82"/>
      <c r="I31" s="35"/>
      <c r="J31" s="29"/>
      <c r="K31" s="19"/>
      <c r="L31" s="20"/>
      <c r="M31" s="37" t="str">
        <f>IF(I31=0,"",VLOOKUP(I31,Municipalités!$A$2:$B$1290,2,TRUE))</f>
        <v/>
      </c>
    </row>
    <row r="32" spans="1:13" ht="30" customHeight="1" x14ac:dyDescent="0.25">
      <c r="A32" s="45"/>
      <c r="B32" s="45"/>
      <c r="C32" s="39"/>
      <c r="D32" s="46"/>
      <c r="E32" s="27"/>
      <c r="F32" s="31"/>
      <c r="G32" s="82" t="str">
        <f>IF(F32=0,"",VLOOKUP(F32,Employés!$A$2:$B$186,2,0))</f>
        <v/>
      </c>
      <c r="H32" s="82"/>
      <c r="I32" s="35"/>
      <c r="J32" s="29"/>
      <c r="K32" s="19"/>
      <c r="L32" s="20"/>
      <c r="M32" s="37" t="str">
        <f>IF(I32=0,"",VLOOKUP(I32,Municipalités!$A$2:$B$1290,2,TRUE))</f>
        <v/>
      </c>
    </row>
    <row r="33" spans="1:13" ht="30" customHeight="1" x14ac:dyDescent="0.25">
      <c r="A33" s="45"/>
      <c r="B33" s="45"/>
      <c r="C33" s="39"/>
      <c r="D33" s="46"/>
      <c r="E33" s="27"/>
      <c r="F33" s="31"/>
      <c r="G33" s="82" t="str">
        <f>IF(F33=0,"",VLOOKUP(F33,Employés!$A$2:$B$186,2,0))</f>
        <v/>
      </c>
      <c r="H33" s="82"/>
      <c r="I33" s="35"/>
      <c r="J33" s="29"/>
      <c r="K33" s="19"/>
      <c r="L33" s="20"/>
      <c r="M33" s="37" t="str">
        <f>IF(I33=0,"",VLOOKUP(I33,Municipalités!$A$2:$B$1290,2,TRUE))</f>
        <v/>
      </c>
    </row>
    <row r="34" spans="1:13" ht="30" customHeight="1" x14ac:dyDescent="0.25">
      <c r="A34" s="45"/>
      <c r="B34" s="45"/>
      <c r="C34" s="39"/>
      <c r="D34" s="46"/>
      <c r="E34" s="27"/>
      <c r="F34" s="31"/>
      <c r="G34" s="82" t="str">
        <f>IF(F34=0,"",VLOOKUP(F34,Employés!$A$2:$B$186,2,0))</f>
        <v/>
      </c>
      <c r="H34" s="82"/>
      <c r="I34" s="35"/>
      <c r="J34" s="29"/>
      <c r="K34" s="19"/>
      <c r="L34" s="20"/>
      <c r="M34" s="37" t="str">
        <f>IF(I34=0,"",VLOOKUP(I34,Municipalités!$A$2:$B$1290,2,TRUE))</f>
        <v/>
      </c>
    </row>
    <row r="35" spans="1:13" ht="30" customHeight="1" x14ac:dyDescent="0.25">
      <c r="A35" s="45"/>
      <c r="B35" s="45"/>
      <c r="C35" s="30"/>
      <c r="D35" s="46"/>
      <c r="E35" s="27"/>
      <c r="F35" s="31"/>
      <c r="G35" s="82" t="str">
        <f>IF(F35=0,"",VLOOKUP(F35,Employés!$A$2:$B$186,2,0))</f>
        <v/>
      </c>
      <c r="H35" s="82"/>
      <c r="I35" s="35"/>
      <c r="J35" s="29"/>
      <c r="K35" s="19"/>
      <c r="L35" s="20"/>
      <c r="M35" s="37" t="str">
        <f>IF(I35=0,"",VLOOKUP(I35,Municipalités!$A$2:$B$1290,2,TRUE))</f>
        <v/>
      </c>
    </row>
    <row r="36" spans="1:13" ht="30" customHeight="1" x14ac:dyDescent="0.25">
      <c r="A36" s="45"/>
      <c r="B36" s="45"/>
      <c r="C36" s="30"/>
      <c r="D36" s="46"/>
      <c r="E36" s="27"/>
      <c r="F36" s="31"/>
      <c r="G36" s="82" t="str">
        <f>IF(F36=0,"",VLOOKUP(F36,Employés!$A$2:$B$186,2,0))</f>
        <v/>
      </c>
      <c r="H36" s="82"/>
      <c r="I36" s="35"/>
      <c r="J36" s="29"/>
      <c r="K36" s="19"/>
      <c r="L36" s="20"/>
      <c r="M36" s="37" t="str">
        <f>IF(I36=0,"",VLOOKUP(I36,Municipalités!$A$2:$B$1290,2,TRUE))</f>
        <v/>
      </c>
    </row>
    <row r="37" spans="1:13" ht="30" customHeight="1" x14ac:dyDescent="0.25">
      <c r="A37" s="45"/>
      <c r="B37" s="45"/>
      <c r="C37" s="39"/>
      <c r="D37" s="46"/>
      <c r="E37" s="27"/>
      <c r="F37" s="31"/>
      <c r="G37" s="82" t="str">
        <f>IF(F37=0,"",VLOOKUP(F37,Employés!$A$2:$B$186,2,0))</f>
        <v/>
      </c>
      <c r="H37" s="82"/>
      <c r="I37" s="35"/>
      <c r="J37" s="29"/>
      <c r="K37" s="19"/>
      <c r="L37" s="20"/>
      <c r="M37" s="37" t="str">
        <f>IF(I37=0,"",VLOOKUP(I37,Municipalités!$A$2:$B$1290,2,TRUE))</f>
        <v/>
      </c>
    </row>
    <row r="38" spans="1:13" ht="30" customHeight="1" x14ac:dyDescent="0.25">
      <c r="A38" s="45"/>
      <c r="B38" s="45"/>
      <c r="C38" s="39"/>
      <c r="D38" s="47"/>
      <c r="E38" s="27"/>
      <c r="F38" s="31"/>
      <c r="G38" s="82" t="str">
        <f>IF(F38=0,"",VLOOKUP(F38,Employés!$A$2:$B$186,2,0))</f>
        <v/>
      </c>
      <c r="H38" s="82"/>
      <c r="I38" s="35"/>
      <c r="J38" s="29"/>
      <c r="K38" s="19"/>
      <c r="L38" s="20"/>
      <c r="M38" s="37" t="str">
        <f>IF(I38=0,"",VLOOKUP(I38,Municipalités!$A$2:$B$1290,2,TRUE))</f>
        <v/>
      </c>
    </row>
    <row r="39" spans="1:13" ht="30" customHeight="1" x14ac:dyDescent="0.25">
      <c r="A39" s="45"/>
      <c r="B39" s="45"/>
      <c r="C39" s="39"/>
      <c r="D39" s="45"/>
      <c r="E39" s="27"/>
      <c r="F39" s="31"/>
      <c r="G39" s="82" t="str">
        <f>IF(F39=0,"",VLOOKUP(F39,Employés!$A$2:$B$186,2,0))</f>
        <v/>
      </c>
      <c r="H39" s="82"/>
      <c r="I39" s="35"/>
      <c r="J39" s="29"/>
      <c r="K39" s="26"/>
      <c r="L39" s="25"/>
      <c r="M39" s="37" t="str">
        <f>IF(I39=0,"",VLOOKUP(I39,Municipalités!$A$2:$B$1290,2,TRUE))</f>
        <v/>
      </c>
    </row>
    <row r="40" spans="1:13" ht="30" customHeight="1" x14ac:dyDescent="0.25">
      <c r="A40" s="8"/>
      <c r="B40" s="8"/>
      <c r="C40" s="30"/>
      <c r="D40" s="8"/>
      <c r="E40" s="27"/>
      <c r="F40" s="31"/>
      <c r="G40" s="82" t="str">
        <f>IF(F40=0,"",VLOOKUP(F40,Employés!$A$2:$B$186,2,0))</f>
        <v/>
      </c>
      <c r="H40" s="82"/>
      <c r="I40" s="35"/>
      <c r="J40" s="29"/>
      <c r="K40" s="26"/>
      <c r="L40" s="25"/>
      <c r="M40" s="37" t="str">
        <f>IF(I40=0,"",VLOOKUP(I40,Municipalités!$A$2:$B$1290,2,TRUE))</f>
        <v/>
      </c>
    </row>
    <row r="41" spans="1:13" ht="30" customHeight="1" x14ac:dyDescent="0.25">
      <c r="A41" s="8"/>
      <c r="B41" s="8"/>
      <c r="C41" s="30"/>
      <c r="D41" s="8"/>
      <c r="E41" s="27"/>
      <c r="F41" s="31"/>
      <c r="G41" s="82" t="str">
        <f>IF(F41=0,"",VLOOKUP(F41,Employés!$A$2:$B$186,2,0))</f>
        <v/>
      </c>
      <c r="H41" s="82"/>
      <c r="I41" s="35"/>
      <c r="J41" s="29"/>
      <c r="K41" s="26"/>
      <c r="L41" s="25"/>
      <c r="M41" s="37" t="str">
        <f>IF(I41=0,"",VLOOKUP(I41,Municipalités!$A$2:$B$1290,2,TRUE))</f>
        <v/>
      </c>
    </row>
    <row r="42" spans="1:13" ht="30" customHeight="1" x14ac:dyDescent="0.25">
      <c r="A42" s="8"/>
      <c r="B42" s="8"/>
      <c r="C42" s="30"/>
      <c r="D42" s="8"/>
      <c r="E42" s="27"/>
      <c r="F42" s="31"/>
      <c r="G42" s="82" t="str">
        <f>IF(F42=0,"",VLOOKUP(F42,Employés!$A$2:$B$186,2,0))</f>
        <v/>
      </c>
      <c r="H42" s="82"/>
      <c r="I42" s="35"/>
      <c r="J42" s="29"/>
      <c r="K42" s="26"/>
      <c r="L42" s="25"/>
      <c r="M42" s="37" t="str">
        <f>IF(I42=0,"",VLOOKUP(I42,Municipalités!$A$2:$B$1290,2,TRUE))</f>
        <v/>
      </c>
    </row>
    <row r="43" spans="1:13" ht="30" customHeight="1" x14ac:dyDescent="0.25">
      <c r="A43" s="8"/>
      <c r="B43" s="8"/>
      <c r="C43" s="30"/>
      <c r="D43" s="8"/>
      <c r="E43" s="27" t="s">
        <v>1420</v>
      </c>
      <c r="F43" s="31"/>
      <c r="G43" s="82" t="str">
        <f>IF(F43=0,"",VLOOKUP(F43,Employés!$A$2:$B$186,2,0))</f>
        <v/>
      </c>
      <c r="H43" s="82"/>
      <c r="I43" s="35"/>
      <c r="J43" s="29"/>
      <c r="K43" s="26"/>
      <c r="L43" s="25" t="s">
        <v>1420</v>
      </c>
      <c r="M43" s="37" t="str">
        <f>IF(I43=0,"",VLOOKUP(I43,Municipalités!$A$2:$B$1290,2,TRUE))</f>
        <v/>
      </c>
    </row>
    <row r="44" spans="1:13" ht="30" customHeight="1" x14ac:dyDescent="0.25">
      <c r="A44" s="8"/>
      <c r="B44" s="8"/>
      <c r="C44" s="30"/>
      <c r="D44" s="8"/>
      <c r="E44" s="27"/>
      <c r="F44" s="31"/>
      <c r="G44" s="82" t="str">
        <f>IF(F44=0,"",VLOOKUP(F44,Employés!$A$2:$B$186,2,0))</f>
        <v/>
      </c>
      <c r="H44" s="82"/>
      <c r="I44" s="35"/>
      <c r="J44" s="29"/>
      <c r="K44" s="26"/>
      <c r="L44" s="25"/>
      <c r="M44" s="37" t="str">
        <f>IF(I44=0,"",VLOOKUP(I44,Municipalités!$A$2:$B$1290,2,TRUE))</f>
        <v/>
      </c>
    </row>
    <row r="45" spans="1:13" ht="30" customHeight="1" x14ac:dyDescent="0.25">
      <c r="A45" s="8"/>
      <c r="B45" s="8"/>
      <c r="C45" s="30"/>
      <c r="D45" s="8"/>
      <c r="E45" s="27"/>
      <c r="F45" s="31"/>
      <c r="G45" s="82" t="str">
        <f>IF(F45=0,"",VLOOKUP(F45,Employés!$A$2:$B$186,2,0))</f>
        <v/>
      </c>
      <c r="H45" s="82"/>
      <c r="I45" s="35"/>
      <c r="J45" s="29"/>
      <c r="K45" s="26"/>
      <c r="L45" s="25"/>
      <c r="M45" s="37" t="str">
        <f>IF(I45=0,"",VLOOKUP(I45,Municipalités!$A$2:$B$1290,2,TRUE))</f>
        <v/>
      </c>
    </row>
    <row r="46" spans="1:13" ht="30" customHeight="1" x14ac:dyDescent="0.25">
      <c r="A46" s="8"/>
      <c r="B46" s="8"/>
      <c r="C46" s="30"/>
      <c r="D46" s="8"/>
      <c r="E46" s="27"/>
      <c r="F46" s="31"/>
      <c r="G46" s="82" t="str">
        <f>IF(F46=0,"",VLOOKUP(F46,Employés!$A$2:$B$186,2,0))</f>
        <v/>
      </c>
      <c r="H46" s="82"/>
      <c r="I46" s="35"/>
      <c r="J46" s="29"/>
      <c r="K46" s="26"/>
      <c r="L46" s="25"/>
      <c r="M46" s="37" t="str">
        <f>IF(I46=0,"",VLOOKUP(I46,Municipalités!$A$2:$B$1290,2,TRUE))</f>
        <v/>
      </c>
    </row>
    <row r="47" spans="1:13" ht="30" customHeight="1" x14ac:dyDescent="0.25">
      <c r="A47" s="8"/>
      <c r="B47" s="8"/>
      <c r="C47" s="30"/>
      <c r="D47" s="8"/>
      <c r="E47" s="27"/>
      <c r="F47" s="31"/>
      <c r="G47" s="82" t="str">
        <f>IF(F47=0,"",VLOOKUP(F47,Employés!$A$2:$B$186,2,0))</f>
        <v/>
      </c>
      <c r="H47" s="82"/>
      <c r="I47" s="35"/>
      <c r="J47" s="29"/>
      <c r="K47" s="26"/>
      <c r="L47" s="25"/>
      <c r="M47" s="37" t="str">
        <f>IF(I47=0,"",VLOOKUP(I47,Municipalités!$A$2:$B$1290,2,TRUE))</f>
        <v/>
      </c>
    </row>
    <row r="48" spans="1:13" ht="30" customHeight="1" x14ac:dyDescent="0.25">
      <c r="A48" s="8"/>
      <c r="B48" s="8"/>
      <c r="C48" s="30"/>
      <c r="D48" s="8"/>
      <c r="E48" s="27"/>
      <c r="F48" s="31"/>
      <c r="G48" s="82" t="str">
        <f>IF(F48=0,"",VLOOKUP(F48,Employés!$A$2:$B$186,2,0))</f>
        <v/>
      </c>
      <c r="H48" s="82"/>
      <c r="I48" s="35"/>
      <c r="J48" s="29"/>
      <c r="K48" s="26"/>
      <c r="L48" s="25"/>
      <c r="M48" s="37" t="str">
        <f>IF(I48=0,"",VLOOKUP(I48,Municipalités!$A$2:$B$1290,2,TRUE))</f>
        <v/>
      </c>
    </row>
    <row r="49" spans="1:13" ht="30" customHeight="1" x14ac:dyDescent="0.25">
      <c r="A49" s="8"/>
      <c r="B49" s="8"/>
      <c r="C49" s="30"/>
      <c r="D49" s="8"/>
      <c r="E49" s="27"/>
      <c r="F49" s="31"/>
      <c r="G49" s="82" t="str">
        <f>IF(F49=0,"",VLOOKUP(F49,Employés!$A$2:$B$186,2,0))</f>
        <v/>
      </c>
      <c r="H49" s="82"/>
      <c r="I49" s="35"/>
      <c r="J49" s="29"/>
      <c r="K49" s="26"/>
      <c r="L49" s="25"/>
      <c r="M49" s="37" t="str">
        <f>IF(I49=0,"",VLOOKUP(I49,Municipalités!$A$2:$B$1290,2,TRUE))</f>
        <v/>
      </c>
    </row>
    <row r="50" spans="1:13" ht="30" customHeight="1" x14ac:dyDescent="0.25">
      <c r="A50" s="8"/>
      <c r="B50" s="8"/>
      <c r="C50" s="30"/>
      <c r="D50" s="8"/>
      <c r="E50" s="27"/>
      <c r="F50" s="31"/>
      <c r="G50" s="82" t="str">
        <f>IF(F50=0,"",VLOOKUP(F50,Employés!$A$2:$B$186,2,0))</f>
        <v/>
      </c>
      <c r="H50" s="82"/>
      <c r="I50" s="35"/>
      <c r="J50" s="29"/>
      <c r="K50" s="26"/>
      <c r="L50" s="25"/>
      <c r="M50" s="37" t="str">
        <f>IF(I50=0,"",VLOOKUP(I50,Municipalités!$A$2:$B$1290,2,TRUE))</f>
        <v/>
      </c>
    </row>
    <row r="51" spans="1:13" ht="30" customHeight="1" x14ac:dyDescent="0.25">
      <c r="A51" s="8"/>
      <c r="B51" s="8"/>
      <c r="C51" s="30"/>
      <c r="D51" s="8"/>
      <c r="E51" s="27"/>
      <c r="F51" s="31"/>
      <c r="G51" s="82" t="str">
        <f>IF(F51=0,"",VLOOKUP(F51,Employés!$A$2:$B$186,2,0))</f>
        <v/>
      </c>
      <c r="H51" s="82"/>
      <c r="I51" s="35"/>
      <c r="J51" s="29"/>
      <c r="K51" s="26"/>
      <c r="L51" s="25"/>
      <c r="M51" s="37" t="str">
        <f>IF(I51=0,"",VLOOKUP(I51,Municipalités!$A$2:$B$1290,2,TRUE))</f>
        <v/>
      </c>
    </row>
    <row r="52" spans="1:13" ht="30" customHeight="1" x14ac:dyDescent="0.25">
      <c r="A52" s="8"/>
      <c r="B52" s="8"/>
      <c r="C52" s="30"/>
      <c r="D52" s="8"/>
      <c r="E52" s="27"/>
      <c r="F52" s="31"/>
      <c r="G52" s="82" t="str">
        <f>IF(F52=0,"",VLOOKUP(F52,Employés!$A$2:$B$186,2,0))</f>
        <v/>
      </c>
      <c r="H52" s="82"/>
      <c r="I52" s="35"/>
      <c r="J52" s="29"/>
      <c r="K52" s="26"/>
      <c r="L52" s="25"/>
      <c r="M52" s="37" t="str">
        <f>IF(I52=0,"",VLOOKUP(I52,Municipalités!$A$2:$B$1290,2,TRUE))</f>
        <v/>
      </c>
    </row>
    <row r="53" spans="1:13" ht="30" customHeight="1" x14ac:dyDescent="0.25">
      <c r="A53" s="8"/>
      <c r="B53" s="8"/>
      <c r="C53" s="30"/>
      <c r="D53" s="8"/>
      <c r="E53" s="27"/>
      <c r="F53" s="31"/>
      <c r="G53" s="82" t="str">
        <f>IF(F53=0,"",VLOOKUP(F53,Employés!$A$2:$B$186,2,0))</f>
        <v/>
      </c>
      <c r="H53" s="82"/>
      <c r="I53" s="35"/>
      <c r="J53" s="29"/>
      <c r="K53" s="26"/>
      <c r="L53" s="25"/>
      <c r="M53" s="37" t="str">
        <f>IF(I53=0,"",VLOOKUP(I53,Municipalités!$A$2:$B$1290,2,TRUE))</f>
        <v/>
      </c>
    </row>
    <row r="54" spans="1:13" ht="30" customHeight="1" x14ac:dyDescent="0.25">
      <c r="A54" s="8"/>
      <c r="B54" s="8"/>
      <c r="C54" s="30"/>
      <c r="D54" s="8"/>
      <c r="E54" s="27"/>
      <c r="F54" s="31"/>
      <c r="G54" s="82" t="str">
        <f>IF(F54=0,"",VLOOKUP(F54,Employés!$A$2:$B$186,2,0))</f>
        <v/>
      </c>
      <c r="H54" s="82"/>
      <c r="I54" s="35"/>
      <c r="J54" s="29"/>
      <c r="K54" s="26"/>
      <c r="L54" s="25"/>
      <c r="M54" s="37" t="str">
        <f>IF(I54=0,"",VLOOKUP(I54,Municipalités!$A$2:$B$1290,2,TRUE))</f>
        <v/>
      </c>
    </row>
    <row r="55" spans="1:13" ht="30" customHeight="1" x14ac:dyDescent="0.25">
      <c r="A55" s="8"/>
      <c r="B55" s="8"/>
      <c r="C55" s="30"/>
      <c r="D55" s="8"/>
      <c r="E55" s="27"/>
      <c r="F55" s="31"/>
      <c r="G55" s="82" t="str">
        <f>IF(F55=0,"",VLOOKUP(F55,Employés!$A$2:$B$186,2,0))</f>
        <v/>
      </c>
      <c r="H55" s="82"/>
      <c r="I55" s="35"/>
      <c r="J55" s="29"/>
      <c r="K55" s="26"/>
      <c r="L55" s="25"/>
      <c r="M55" s="37" t="str">
        <f>IF(I55=0,"",VLOOKUP(I55,Municipalités!$A$2:$B$1290,2,TRUE))</f>
        <v/>
      </c>
    </row>
    <row r="56" spans="1:13" ht="30" customHeight="1" x14ac:dyDescent="0.25">
      <c r="A56" s="8"/>
      <c r="B56" s="8"/>
      <c r="C56" s="30"/>
      <c r="D56" s="8"/>
      <c r="E56" s="27"/>
      <c r="F56" s="31"/>
      <c r="G56" s="82" t="str">
        <f>IF(F56=0,"",VLOOKUP(F56,Employés!$A$2:$B$186,2,0))</f>
        <v/>
      </c>
      <c r="H56" s="82"/>
      <c r="I56" s="35"/>
      <c r="J56" s="29"/>
      <c r="K56" s="26"/>
      <c r="L56" s="25"/>
      <c r="M56" s="37" t="str">
        <f>IF(I56=0,"",VLOOKUP(I56,Municipalités!$A$2:$B$1290,2,TRUE))</f>
        <v/>
      </c>
    </row>
    <row r="57" spans="1:13" ht="30" customHeight="1" x14ac:dyDescent="0.25">
      <c r="A57" s="8"/>
      <c r="B57" s="8"/>
      <c r="C57" s="30"/>
      <c r="D57" s="8"/>
      <c r="E57" s="27"/>
      <c r="F57" s="31"/>
      <c r="G57" s="82" t="str">
        <f>IF(F57=0,"",VLOOKUP(F57,Employés!$A$2:$B$186,2,0))</f>
        <v/>
      </c>
      <c r="H57" s="82"/>
      <c r="I57" s="35"/>
      <c r="J57" s="29"/>
      <c r="K57" s="26"/>
      <c r="L57" s="25"/>
      <c r="M57" s="37" t="str">
        <f>IF(I57=0,"",VLOOKUP(I57,Municipalités!$A$2:$B$1290,2,TRUE))</f>
        <v/>
      </c>
    </row>
    <row r="58" spans="1:13" ht="30" customHeight="1" x14ac:dyDescent="0.25">
      <c r="A58" s="8"/>
      <c r="B58" s="8"/>
      <c r="C58" s="30"/>
      <c r="D58" s="8"/>
      <c r="E58" s="27"/>
      <c r="F58" s="31"/>
      <c r="G58" s="82" t="str">
        <f>IF(F58=0,"",VLOOKUP(F58,Employés!$A$2:$B$186,2,0))</f>
        <v/>
      </c>
      <c r="H58" s="82"/>
      <c r="I58" s="35"/>
      <c r="J58" s="29"/>
      <c r="K58" s="26"/>
      <c r="L58" s="25"/>
      <c r="M58" s="37" t="str">
        <f>IF(I58=0,"",VLOOKUP(I58,Municipalités!$A$2:$B$1290,2,TRUE))</f>
        <v/>
      </c>
    </row>
    <row r="59" spans="1:13" ht="30" customHeight="1" x14ac:dyDescent="0.25">
      <c r="A59" s="8"/>
      <c r="B59" s="8"/>
      <c r="C59" s="30"/>
      <c r="D59" s="8"/>
      <c r="E59" s="27"/>
      <c r="F59" s="31"/>
      <c r="G59" s="82" t="str">
        <f>IF(F59=0,"",VLOOKUP(F59,Employés!$A$2:$B$186,2,0))</f>
        <v/>
      </c>
      <c r="H59" s="82"/>
      <c r="I59" s="35"/>
      <c r="J59" s="29"/>
      <c r="K59" s="26"/>
      <c r="L59" s="25"/>
      <c r="M59" s="37" t="str">
        <f>IF(I59=0,"",VLOOKUP(I59,Municipalités!$A$2:$B$1290,2,TRUE))</f>
        <v/>
      </c>
    </row>
    <row r="60" spans="1:13" ht="30" customHeight="1" x14ac:dyDescent="0.25">
      <c r="A60" s="8"/>
      <c r="B60" s="8"/>
      <c r="C60" s="30"/>
      <c r="D60" s="8"/>
      <c r="E60" s="27"/>
      <c r="F60" s="31"/>
      <c r="G60" s="82" t="str">
        <f>IF(F60=0,"",VLOOKUP(F60,Employés!$A$2:$B$186,2,0))</f>
        <v/>
      </c>
      <c r="H60" s="82"/>
      <c r="I60" s="35"/>
      <c r="J60" s="29"/>
      <c r="K60" s="26"/>
      <c r="L60" s="25"/>
      <c r="M60" s="37" t="str">
        <f>IF(I60=0,"",VLOOKUP(I60,Municipalités!$A$2:$B$1290,2,TRUE))</f>
        <v/>
      </c>
    </row>
    <row r="61" spans="1:13" ht="30" customHeight="1" x14ac:dyDescent="0.25">
      <c r="A61" s="8"/>
      <c r="B61" s="8"/>
      <c r="C61" s="30"/>
      <c r="D61" s="8"/>
      <c r="E61" s="27"/>
      <c r="F61" s="31"/>
      <c r="G61" s="82" t="str">
        <f>IF(F61=0,"",VLOOKUP(F61,Employés!$A$2:$B$186,2,0))</f>
        <v/>
      </c>
      <c r="H61" s="82"/>
      <c r="I61" s="35"/>
      <c r="J61" s="29"/>
      <c r="K61" s="26"/>
      <c r="L61" s="25"/>
      <c r="M61" s="37" t="str">
        <f>IF(I61=0,"",VLOOKUP(I61,Municipalités!$A$2:$B$1290,2,TRUE))</f>
        <v/>
      </c>
    </row>
    <row r="62" spans="1:13" x14ac:dyDescent="0.25">
      <c r="C62" s="14"/>
    </row>
    <row r="63" spans="1:13" x14ac:dyDescent="0.25">
      <c r="C63" s="14"/>
    </row>
    <row r="64" spans="1:13" x14ac:dyDescent="0.25">
      <c r="C64" s="14"/>
    </row>
    <row r="65" spans="3:5" x14ac:dyDescent="0.25">
      <c r="C65" s="14"/>
    </row>
    <row r="66" spans="3:5" x14ac:dyDescent="0.25">
      <c r="C66" s="14"/>
    </row>
    <row r="67" spans="3:5" x14ac:dyDescent="0.25">
      <c r="C67" s="14"/>
    </row>
    <row r="68" spans="3:5" x14ac:dyDescent="0.25">
      <c r="C68" s="14"/>
    </row>
    <row r="69" spans="3:5" x14ac:dyDescent="0.25">
      <c r="C69" s="14"/>
    </row>
    <row r="70" spans="3:5" x14ac:dyDescent="0.25">
      <c r="C70" s="14"/>
    </row>
    <row r="71" spans="3:5" x14ac:dyDescent="0.25">
      <c r="C71" s="14"/>
    </row>
    <row r="72" spans="3:5" x14ac:dyDescent="0.25">
      <c r="C72" s="14"/>
    </row>
    <row r="73" spans="3:5" x14ac:dyDescent="0.25">
      <c r="C73" s="14"/>
    </row>
    <row r="74" spans="3:5" x14ac:dyDescent="0.25">
      <c r="C74" s="14"/>
    </row>
    <row r="75" spans="3:5" x14ac:dyDescent="0.25">
      <c r="C75" s="14"/>
    </row>
    <row r="76" spans="3:5" x14ac:dyDescent="0.25">
      <c r="C76" s="14"/>
    </row>
    <row r="77" spans="3:5" x14ac:dyDescent="0.25">
      <c r="C77" s="14"/>
    </row>
    <row r="78" spans="3:5" x14ac:dyDescent="0.25">
      <c r="C78" s="14"/>
      <c r="E78" s="21" t="s">
        <v>1420</v>
      </c>
    </row>
    <row r="79" spans="3:5" x14ac:dyDescent="0.25">
      <c r="C79" s="14"/>
    </row>
    <row r="80" spans="3:5" x14ac:dyDescent="0.25">
      <c r="C80" s="14"/>
    </row>
    <row r="81" spans="3:3" x14ac:dyDescent="0.25">
      <c r="C81" s="14"/>
    </row>
    <row r="82" spans="3:3" x14ac:dyDescent="0.25">
      <c r="C82" s="14"/>
    </row>
    <row r="83" spans="3:3" x14ac:dyDescent="0.25">
      <c r="C83" s="14"/>
    </row>
    <row r="84" spans="3:3" x14ac:dyDescent="0.25">
      <c r="C84" s="14"/>
    </row>
    <row r="85" spans="3:3" x14ac:dyDescent="0.25">
      <c r="C85" s="14"/>
    </row>
    <row r="86" spans="3:3" x14ac:dyDescent="0.25">
      <c r="C86" s="14"/>
    </row>
    <row r="87" spans="3:3" x14ac:dyDescent="0.25">
      <c r="C87" s="14"/>
    </row>
    <row r="88" spans="3:3" x14ac:dyDescent="0.25">
      <c r="C88" s="14"/>
    </row>
    <row r="89" spans="3:3" x14ac:dyDescent="0.25">
      <c r="C89" s="14"/>
    </row>
    <row r="90" spans="3:3" x14ac:dyDescent="0.25">
      <c r="C90" s="14"/>
    </row>
    <row r="91" spans="3:3" x14ac:dyDescent="0.25">
      <c r="C91" s="14"/>
    </row>
    <row r="92" spans="3:3" x14ac:dyDescent="0.25">
      <c r="C92" s="14"/>
    </row>
    <row r="93" spans="3:3" x14ac:dyDescent="0.25">
      <c r="C93" s="14"/>
    </row>
    <row r="94" spans="3:3" x14ac:dyDescent="0.25">
      <c r="C94" s="14"/>
    </row>
    <row r="95" spans="3:3" x14ac:dyDescent="0.25">
      <c r="C95" s="14"/>
    </row>
    <row r="96" spans="3:3" x14ac:dyDescent="0.25">
      <c r="C96" s="14"/>
    </row>
    <row r="97" spans="3:3" x14ac:dyDescent="0.25">
      <c r="C97" s="14"/>
    </row>
    <row r="98" spans="3:3" x14ac:dyDescent="0.25">
      <c r="C98" s="14"/>
    </row>
  </sheetData>
  <mergeCells count="67">
    <mergeCell ref="G59:H59"/>
    <mergeCell ref="G60:H60"/>
    <mergeCell ref="G61:H61"/>
    <mergeCell ref="G53:H53"/>
    <mergeCell ref="G54:H54"/>
    <mergeCell ref="G55:H55"/>
    <mergeCell ref="G56:H56"/>
    <mergeCell ref="G57:H57"/>
    <mergeCell ref="G58:H58"/>
    <mergeCell ref="G52:H52"/>
    <mergeCell ref="G41:H41"/>
    <mergeCell ref="G42:H42"/>
    <mergeCell ref="G43:H43"/>
    <mergeCell ref="G44:H44"/>
    <mergeCell ref="G45:H45"/>
    <mergeCell ref="G46:H46"/>
    <mergeCell ref="G47:H47"/>
    <mergeCell ref="G48:H48"/>
    <mergeCell ref="G49:H49"/>
    <mergeCell ref="G50:H50"/>
    <mergeCell ref="G51:H51"/>
    <mergeCell ref="G40:H40"/>
    <mergeCell ref="G29:H29"/>
    <mergeCell ref="G30:H30"/>
    <mergeCell ref="G31:H31"/>
    <mergeCell ref="G32:H32"/>
    <mergeCell ref="G33:H33"/>
    <mergeCell ref="G34:H34"/>
    <mergeCell ref="G35:H35"/>
    <mergeCell ref="G36:H36"/>
    <mergeCell ref="G37:H37"/>
    <mergeCell ref="G38:H38"/>
    <mergeCell ref="G39:H39"/>
    <mergeCell ref="G28:H28"/>
    <mergeCell ref="G17:H17"/>
    <mergeCell ref="G18:H18"/>
    <mergeCell ref="G19:H19"/>
    <mergeCell ref="G20:H20"/>
    <mergeCell ref="G21:H21"/>
    <mergeCell ref="G22:H22"/>
    <mergeCell ref="G23:H23"/>
    <mergeCell ref="G24:H24"/>
    <mergeCell ref="G25:H25"/>
    <mergeCell ref="G26:H26"/>
    <mergeCell ref="G27:H27"/>
    <mergeCell ref="M2:M4"/>
    <mergeCell ref="G16:H16"/>
    <mergeCell ref="I6:I7"/>
    <mergeCell ref="J6:J7"/>
    <mergeCell ref="K6:M6"/>
    <mergeCell ref="G8:H8"/>
    <mergeCell ref="G9:H9"/>
    <mergeCell ref="G10:H10"/>
    <mergeCell ref="G11:H11"/>
    <mergeCell ref="G12:H12"/>
    <mergeCell ref="G13:H13"/>
    <mergeCell ref="G14:H14"/>
    <mergeCell ref="G15:H15"/>
    <mergeCell ref="E1:F4"/>
    <mergeCell ref="L1:L2"/>
    <mergeCell ref="A6:A7"/>
    <mergeCell ref="B6:B7"/>
    <mergeCell ref="C6:C7"/>
    <mergeCell ref="D6:D7"/>
    <mergeCell ref="E6:E7"/>
    <mergeCell ref="F6:F7"/>
    <mergeCell ref="G6:H7"/>
  </mergeCells>
  <conditionalFormatting sqref="C16:C21 C23:C45">
    <cfRule type="expression" dxfId="53" priority="7" stopIfTrue="1">
      <formula>#REF!=1</formula>
    </cfRule>
    <cfRule type="expression" priority="8" stopIfTrue="1">
      <formula>#REF!=2</formula>
    </cfRule>
    <cfRule type="expression" dxfId="52" priority="9" stopIfTrue="1">
      <formula>#REF!=3</formula>
    </cfRule>
  </conditionalFormatting>
  <conditionalFormatting sqref="C22">
    <cfRule type="expression" dxfId="51" priority="4" stopIfTrue="1">
      <formula>#REF!=1</formula>
    </cfRule>
    <cfRule type="expression" priority="5" stopIfTrue="1">
      <formula>#REF!=2</formula>
    </cfRule>
    <cfRule type="expression" dxfId="50" priority="6" stopIfTrue="1">
      <formula>#REF!=3</formula>
    </cfRule>
  </conditionalFormatting>
  <conditionalFormatting sqref="C46:C61">
    <cfRule type="expression" dxfId="49" priority="1" stopIfTrue="1">
      <formula>#REF!=1</formula>
    </cfRule>
    <cfRule type="expression" priority="2" stopIfTrue="1">
      <formula>#REF!=2</formula>
    </cfRule>
    <cfRule type="expression" dxfId="48" priority="3" stopIfTrue="1">
      <formula>#REF!=3</formula>
    </cfRule>
  </conditionalFormatting>
  <dataValidations count="2">
    <dataValidation operator="greaterThan" allowBlank="1" showDropDown="1" showInputMessage="1" showErrorMessage="1" errorTitle="Saisie incorrecte" error="Re-Saisir le numéro de dossier sous le format_x000a_000-000000-000" promptTitle="Saisie du numéro d'événement" prompt="000-000000-000_x000a_Ex. : 071-030901-001" sqref="J8:J39" xr:uid="{00000000-0002-0000-1600-000000000000}"/>
    <dataValidation type="textLength" operator="greaterThanOrEqual" allowBlank="1" showInputMessage="1" showErrorMessage="1" errorTitle="Saisie incorrecte" error="Re-saisir le numéro d'entrée en utilisant 3 chiffres_x000a_Ex.: 001" promptTitle="Saisie du numéro d'entrée" prompt="Minimum 3 chiffres_x000a_Ex.: 001" sqref="C8:C39" xr:uid="{00000000-0002-0000-1600-000001000000}">
      <formula1>3</formula1>
    </dataValidation>
  </dataValidations>
  <printOptions horizontalCentered="1" verticalCentered="1"/>
  <pageMargins left="0" right="0" top="0.31496062992125984" bottom="0.39370078740157483" header="0.15748031496062992" footer="0.19685039370078741"/>
  <pageSetup paperSize="5" scale="90" orientation="landscape" r:id="rId1"/>
  <headerFooter alignWithMargins="0">
    <oddFooter>&amp;R&amp;8Page &amp;P de &amp;N</oddFooter>
  </headerFooter>
  <drawing r:id="rId2"/>
  <legacyDrawing r:id="rId3"/>
  <controls>
    <mc:AlternateContent xmlns:mc="http://schemas.openxmlformats.org/markup-compatibility/2006">
      <mc:Choice Requires="x14">
        <control shapeId="164867" r:id="rId4" name="ComboBox2">
          <controlPr defaultSize="0" autoLine="0" r:id="rId5">
            <anchor moveWithCells="1">
              <from>
                <xdr:col>4</xdr:col>
                <xdr:colOff>0</xdr:colOff>
                <xdr:row>10</xdr:row>
                <xdr:rowOff>0</xdr:rowOff>
              </from>
              <to>
                <xdr:col>4</xdr:col>
                <xdr:colOff>2965450</xdr:colOff>
                <xdr:row>11</xdr:row>
                <xdr:rowOff>38100</xdr:rowOff>
              </to>
            </anchor>
          </controlPr>
        </control>
      </mc:Choice>
      <mc:Fallback>
        <control shapeId="164867" r:id="rId4" name="ComboBox2"/>
      </mc:Fallback>
    </mc:AlternateContent>
    <mc:AlternateContent xmlns:mc="http://schemas.openxmlformats.org/markup-compatibility/2006">
      <mc:Choice Requires="x14">
        <control shapeId="164866" r:id="rId6" name="ComboBox1">
          <controlPr defaultSize="0" autoLine="0" r:id="rId7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11</xdr:col>
                <xdr:colOff>1803400</xdr:colOff>
                <xdr:row>9</xdr:row>
                <xdr:rowOff>38100</xdr:rowOff>
              </to>
            </anchor>
          </controlPr>
        </control>
      </mc:Choice>
      <mc:Fallback>
        <control shapeId="164866" r:id="rId6" name="ComboBox1"/>
      </mc:Fallback>
    </mc:AlternateContent>
    <mc:AlternateContent xmlns:mc="http://schemas.openxmlformats.org/markup-compatibility/2006">
      <mc:Choice Requires="x14">
        <control shapeId="164865" r:id="rId8" name="Button 1">
          <controlPr defaultSize="0" print="0" autoFill="0" autoPict="0" macro="[0]!test2">
            <anchor moveWithCells="1">
              <from>
                <xdr:col>5</xdr:col>
                <xdr:colOff>222250</xdr:colOff>
                <xdr:row>1</xdr:row>
                <xdr:rowOff>139700</xdr:rowOff>
              </from>
              <to>
                <xdr:col>9</xdr:col>
                <xdr:colOff>1143000</xdr:colOff>
                <xdr:row>4</xdr:row>
                <xdr:rowOff>107950</xdr:rowOff>
              </to>
            </anchor>
          </controlPr>
        </control>
      </mc:Choice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81"/>
  <dimension ref="A1:M98"/>
  <sheetViews>
    <sheetView showGridLines="0" zoomScaleNormal="100" workbookViewId="0">
      <pane xSplit="3" ySplit="7" topLeftCell="D8" activePane="bottomRight" state="frozen"/>
      <selection activeCell="C8" sqref="C8"/>
      <selection pane="topRight" activeCell="C8" sqref="C8"/>
      <selection pane="bottomLeft" activeCell="C8" sqref="C8"/>
      <selection pane="bottomRight" activeCell="M2" sqref="M2:M5"/>
    </sheetView>
  </sheetViews>
  <sheetFormatPr baseColWidth="10" defaultColWidth="11.453125" defaultRowHeight="13" x14ac:dyDescent="0.25"/>
  <cols>
    <col min="1" max="2" width="5.6328125" style="1" customWidth="1"/>
    <col min="3" max="3" width="6.6328125" style="1" customWidth="1"/>
    <col min="4" max="4" width="7.54296875" style="1" customWidth="1"/>
    <col min="5" max="5" width="44.453125" style="21" customWidth="1"/>
    <col min="6" max="6" width="10.54296875" style="1" customWidth="1"/>
    <col min="7" max="7" width="13.90625" style="1" customWidth="1"/>
    <col min="8" max="8" width="4.6328125" style="1" hidden="1" customWidth="1"/>
    <col min="9" max="9" width="6.08984375" style="1" customWidth="1"/>
    <col min="10" max="10" width="26.54296875" style="1" customWidth="1"/>
    <col min="11" max="11" width="7.36328125" style="1" customWidth="1"/>
    <col min="12" max="12" width="27" style="24" customWidth="1"/>
    <col min="13" max="13" width="26" style="1" customWidth="1"/>
    <col min="14" max="16384" width="11.453125" style="1"/>
  </cols>
  <sheetData>
    <row r="1" spans="1:13" ht="12.75" customHeight="1" x14ac:dyDescent="0.25">
      <c r="E1" s="71" t="s">
        <v>1023</v>
      </c>
      <c r="F1" s="72"/>
      <c r="L1" s="73" t="s">
        <v>1021</v>
      </c>
      <c r="M1" s="51" t="s">
        <v>1022</v>
      </c>
    </row>
    <row r="2" spans="1:13" ht="12.75" customHeight="1" x14ac:dyDescent="0.25">
      <c r="E2" s="72"/>
      <c r="F2" s="72"/>
      <c r="L2" s="74"/>
      <c r="M2" s="70">
        <f>'23'!M2:M5+1</f>
        <v>42728</v>
      </c>
    </row>
    <row r="3" spans="1:13" ht="12.75" customHeight="1" x14ac:dyDescent="0.25">
      <c r="E3" s="72"/>
      <c r="F3" s="72"/>
      <c r="L3" s="52"/>
      <c r="M3" s="70"/>
    </row>
    <row r="4" spans="1:13" ht="15.75" customHeight="1" x14ac:dyDescent="0.25">
      <c r="E4" s="72"/>
      <c r="F4" s="72"/>
      <c r="L4" s="49" t="s">
        <v>140</v>
      </c>
      <c r="M4" s="70"/>
    </row>
    <row r="5" spans="1:13" ht="21.9" customHeight="1" thickBot="1" x14ac:dyDescent="0.3">
      <c r="L5" s="36"/>
      <c r="M5" s="69">
        <f>M2</f>
        <v>42728</v>
      </c>
    </row>
    <row r="6" spans="1:13" ht="24.9" customHeight="1" x14ac:dyDescent="0.25">
      <c r="A6" s="75" t="s">
        <v>2351</v>
      </c>
      <c r="B6" s="75" t="s">
        <v>2350</v>
      </c>
      <c r="C6" s="76" t="s">
        <v>1362</v>
      </c>
      <c r="D6" s="75" t="s">
        <v>1153</v>
      </c>
      <c r="E6" s="75" t="s">
        <v>1016</v>
      </c>
      <c r="F6" s="76" t="s">
        <v>2352</v>
      </c>
      <c r="G6" s="76" t="s">
        <v>1017</v>
      </c>
      <c r="H6" s="79"/>
      <c r="I6" s="76" t="s">
        <v>1364</v>
      </c>
      <c r="J6" s="76" t="s">
        <v>1363</v>
      </c>
      <c r="K6" s="83" t="s">
        <v>1018</v>
      </c>
      <c r="L6" s="84"/>
      <c r="M6" s="84"/>
    </row>
    <row r="7" spans="1:13" ht="12.5" x14ac:dyDescent="0.25">
      <c r="A7" s="75"/>
      <c r="B7" s="75"/>
      <c r="C7" s="77"/>
      <c r="D7" s="75"/>
      <c r="E7" s="75"/>
      <c r="F7" s="78"/>
      <c r="G7" s="80"/>
      <c r="H7" s="81"/>
      <c r="I7" s="77"/>
      <c r="J7" s="77"/>
      <c r="K7" s="50" t="s">
        <v>1015</v>
      </c>
      <c r="L7" s="50" t="s">
        <v>1019</v>
      </c>
      <c r="M7" s="32" t="s">
        <v>1020</v>
      </c>
    </row>
    <row r="8" spans="1:13" ht="30" customHeight="1" x14ac:dyDescent="0.25">
      <c r="A8" s="45"/>
      <c r="B8" s="45"/>
      <c r="C8" s="30"/>
      <c r="D8" s="46"/>
      <c r="E8" s="27"/>
      <c r="F8" s="31"/>
      <c r="G8" s="82" t="str">
        <f>IF(F8=0,"",VLOOKUP(F8,Employés!$A$2:$B$186,2,0))</f>
        <v/>
      </c>
      <c r="H8" s="82"/>
      <c r="I8" s="34"/>
      <c r="J8" s="33"/>
      <c r="K8" s="19"/>
      <c r="L8" s="20" t="s">
        <v>1420</v>
      </c>
      <c r="M8" s="37" t="str">
        <f>IF(I8=0,"",VLOOKUP(I8,Municipalités!$A$2:$B$1290,2,TRUE))</f>
        <v/>
      </c>
    </row>
    <row r="9" spans="1:13" ht="30" customHeight="1" x14ac:dyDescent="0.25">
      <c r="A9" s="45"/>
      <c r="B9" s="45"/>
      <c r="C9" s="39"/>
      <c r="D9" s="47"/>
      <c r="E9" s="27"/>
      <c r="F9" s="31"/>
      <c r="G9" s="82" t="str">
        <f>IF(F9=0,"",VLOOKUP(F9,Employés!$A$2:$B$186,2,0))</f>
        <v/>
      </c>
      <c r="H9" s="82"/>
      <c r="I9" s="35"/>
      <c r="J9" s="33"/>
      <c r="K9" s="19"/>
      <c r="L9" s="20"/>
      <c r="M9" s="37" t="str">
        <f>IF(I9=0,"",VLOOKUP(I9,Municipalités!$A$2:$B$1290,2,TRUE))</f>
        <v/>
      </c>
    </row>
    <row r="10" spans="1:13" ht="30" customHeight="1" x14ac:dyDescent="0.25">
      <c r="A10" s="45"/>
      <c r="B10" s="45"/>
      <c r="C10" s="39"/>
      <c r="D10" s="48"/>
      <c r="E10" s="28"/>
      <c r="F10" s="31"/>
      <c r="G10" s="82" t="str">
        <f>IF(F10=0,"",VLOOKUP(F10,Employés!$A$2:$B$186,2,0))</f>
        <v/>
      </c>
      <c r="H10" s="82"/>
      <c r="I10" s="35"/>
      <c r="J10" s="29"/>
      <c r="K10" s="19"/>
      <c r="L10" s="20"/>
      <c r="M10" s="37" t="str">
        <f>IF(I10=0,"",VLOOKUP(I10,Municipalités!$A$2:$B$1290,2,TRUE))</f>
        <v/>
      </c>
    </row>
    <row r="11" spans="1:13" ht="30" customHeight="1" x14ac:dyDescent="0.25">
      <c r="A11" s="45"/>
      <c r="B11" s="45"/>
      <c r="C11" s="39"/>
      <c r="D11" s="47"/>
      <c r="E11" s="28" t="s">
        <v>1420</v>
      </c>
      <c r="F11" s="31"/>
      <c r="G11" s="82" t="str">
        <f>IF(F11=0,"",VLOOKUP(F11,Employés!$A$2:$B$186,2,0))</f>
        <v/>
      </c>
      <c r="H11" s="82"/>
      <c r="I11" s="35"/>
      <c r="J11" s="29"/>
      <c r="K11" s="19"/>
      <c r="L11" s="20"/>
      <c r="M11" s="37" t="str">
        <f>IF(I11=0,"",VLOOKUP(I11,Municipalités!$A$2:$B$1290,2,TRUE))</f>
        <v/>
      </c>
    </row>
    <row r="12" spans="1:13" ht="30" customHeight="1" x14ac:dyDescent="0.25">
      <c r="A12" s="45"/>
      <c r="B12" s="45"/>
      <c r="C12" s="39"/>
      <c r="D12" s="46"/>
      <c r="E12" s="27"/>
      <c r="F12" s="31"/>
      <c r="G12" s="82" t="str">
        <f>IF(F12=0,"",VLOOKUP(F12,Employés!$A$2:$B$186,2,0))</f>
        <v/>
      </c>
      <c r="H12" s="82"/>
      <c r="I12" s="35"/>
      <c r="J12" s="29"/>
      <c r="K12" s="19"/>
      <c r="L12" s="20"/>
      <c r="M12" s="37" t="str">
        <f>IF(I12=0,"",VLOOKUP(I12,Municipalités!$A$2:$B$1290,2,TRUE))</f>
        <v/>
      </c>
    </row>
    <row r="13" spans="1:13" ht="30" customHeight="1" x14ac:dyDescent="0.25">
      <c r="A13" s="45"/>
      <c r="B13" s="45"/>
      <c r="C13" s="39"/>
      <c r="D13" s="46"/>
      <c r="E13" s="27"/>
      <c r="F13" s="31"/>
      <c r="G13" s="82" t="str">
        <f>IF(F13=0,"",VLOOKUP(F13,Employés!$A$2:$B$186,2,0))</f>
        <v/>
      </c>
      <c r="H13" s="82"/>
      <c r="I13" s="35"/>
      <c r="J13" s="29"/>
      <c r="K13" s="19"/>
      <c r="L13" s="20"/>
      <c r="M13" s="37" t="str">
        <f>IF(I13=0,"",VLOOKUP(I13,Municipalités!$A$2:$B$1290,2,TRUE))</f>
        <v/>
      </c>
    </row>
    <row r="14" spans="1:13" ht="30" customHeight="1" x14ac:dyDescent="0.25">
      <c r="A14" s="45"/>
      <c r="B14" s="45"/>
      <c r="C14" s="39"/>
      <c r="D14" s="47"/>
      <c r="E14" s="27"/>
      <c r="F14" s="31"/>
      <c r="G14" s="82" t="str">
        <f>IF(F14=0,"",VLOOKUP(F14,Employés!$A$2:$B$186,2,0))</f>
        <v/>
      </c>
      <c r="H14" s="82"/>
      <c r="I14" s="35"/>
      <c r="J14" s="29"/>
      <c r="K14" s="19"/>
      <c r="L14" s="20"/>
      <c r="M14" s="37" t="str">
        <f>IF(I14=0,"",VLOOKUP(I14,Municipalités!$A$2:$B$1290,2,TRUE))</f>
        <v/>
      </c>
    </row>
    <row r="15" spans="1:13" ht="30" customHeight="1" x14ac:dyDescent="0.25">
      <c r="A15" s="45"/>
      <c r="B15" s="45"/>
      <c r="C15" s="39"/>
      <c r="D15" s="47"/>
      <c r="E15" s="27"/>
      <c r="F15" s="31"/>
      <c r="G15" s="82" t="str">
        <f>IF(F15=0,"",VLOOKUP(F15,Employés!$A$2:$B$186,2,0))</f>
        <v/>
      </c>
      <c r="H15" s="82"/>
      <c r="I15" s="35"/>
      <c r="J15" s="29"/>
      <c r="K15" s="19"/>
      <c r="L15" s="20"/>
      <c r="M15" s="37" t="str">
        <f>IF(I15=0,"",VLOOKUP(I15,Municipalités!$A$2:$B$1290,2,TRUE))</f>
        <v/>
      </c>
    </row>
    <row r="16" spans="1:13" ht="30" customHeight="1" x14ac:dyDescent="0.25">
      <c r="A16" s="45"/>
      <c r="B16" s="45"/>
      <c r="C16" s="39"/>
      <c r="D16" s="46"/>
      <c r="E16" s="27"/>
      <c r="F16" s="31"/>
      <c r="G16" s="82" t="str">
        <f>IF(F16=0,"",VLOOKUP(F16,Employés!$A$2:$B$186,2,0))</f>
        <v/>
      </c>
      <c r="H16" s="82"/>
      <c r="I16" s="35"/>
      <c r="J16" s="29"/>
      <c r="K16" s="19"/>
      <c r="L16" s="20"/>
      <c r="M16" s="37" t="str">
        <f>IF(I16=0,"",VLOOKUP(I16,Municipalités!$A$2:$B$1290,2,TRUE))</f>
        <v/>
      </c>
    </row>
    <row r="17" spans="1:13" ht="30" customHeight="1" x14ac:dyDescent="0.25">
      <c r="A17" s="45"/>
      <c r="B17" s="45"/>
      <c r="C17" s="39"/>
      <c r="D17" s="46"/>
      <c r="E17" s="27"/>
      <c r="F17" s="31"/>
      <c r="G17" s="82" t="str">
        <f>IF(F17=0,"",VLOOKUP(F17,Employés!$A$2:$B$186,2,0))</f>
        <v/>
      </c>
      <c r="H17" s="82"/>
      <c r="I17" s="35"/>
      <c r="J17" s="29"/>
      <c r="K17" s="19"/>
      <c r="L17" s="20"/>
      <c r="M17" s="37" t="str">
        <f>IF(I17=0,"",VLOOKUP(I17,Municipalités!$A$2:$B$1290,2,TRUE))</f>
        <v/>
      </c>
    </row>
    <row r="18" spans="1:13" ht="30" customHeight="1" x14ac:dyDescent="0.25">
      <c r="A18" s="45"/>
      <c r="B18" s="45"/>
      <c r="C18" s="39"/>
      <c r="D18" s="46"/>
      <c r="E18" s="27"/>
      <c r="F18" s="31"/>
      <c r="G18" s="82" t="str">
        <f>IF(F18=0,"",VLOOKUP(F18,Employés!$A$2:$B$186,2,0))</f>
        <v/>
      </c>
      <c r="H18" s="82"/>
      <c r="I18" s="35"/>
      <c r="J18" s="29"/>
      <c r="K18" s="19"/>
      <c r="L18" s="20"/>
      <c r="M18" s="37" t="str">
        <f>IF(I18=0,"",VLOOKUP(I18,Municipalités!$A$2:$B$1290,2,TRUE))</f>
        <v/>
      </c>
    </row>
    <row r="19" spans="1:13" ht="30" customHeight="1" x14ac:dyDescent="0.25">
      <c r="A19" s="45"/>
      <c r="B19" s="45"/>
      <c r="C19" s="39"/>
      <c r="D19" s="46"/>
      <c r="E19" s="27"/>
      <c r="F19" s="31"/>
      <c r="G19" s="82" t="str">
        <f>IF(F19=0,"",VLOOKUP(F19,Employés!$A$2:$B$186,2,0))</f>
        <v/>
      </c>
      <c r="H19" s="82"/>
      <c r="I19" s="35"/>
      <c r="J19" s="29"/>
      <c r="K19" s="19"/>
      <c r="L19" s="20"/>
      <c r="M19" s="37" t="str">
        <f>IF(I19=0,"",VLOOKUP(I19,Municipalités!$A$2:$B$1290,2,TRUE))</f>
        <v/>
      </c>
    </row>
    <row r="20" spans="1:13" ht="30" customHeight="1" x14ac:dyDescent="0.25">
      <c r="A20" s="45"/>
      <c r="B20" s="45"/>
      <c r="C20" s="39"/>
      <c r="D20" s="47"/>
      <c r="E20" s="27"/>
      <c r="F20" s="31"/>
      <c r="G20" s="82" t="str">
        <f>IF(F20=0,"",VLOOKUP(F20,Employés!$A$2:$B$186,2,0))</f>
        <v/>
      </c>
      <c r="H20" s="82"/>
      <c r="I20" s="35"/>
      <c r="J20" s="29"/>
      <c r="K20" s="19"/>
      <c r="L20" s="20"/>
      <c r="M20" s="37" t="str">
        <f>IF(I20=0,"",VLOOKUP(I20,Municipalités!$A$2:$B$1290,2,TRUE))</f>
        <v/>
      </c>
    </row>
    <row r="21" spans="1:13" ht="30" customHeight="1" x14ac:dyDescent="0.25">
      <c r="A21" s="45"/>
      <c r="B21" s="45"/>
      <c r="C21" s="39"/>
      <c r="D21" s="47"/>
      <c r="E21" s="27"/>
      <c r="F21" s="31"/>
      <c r="G21" s="82" t="str">
        <f>IF(F21=0,"",VLOOKUP(F21,Employés!$A$2:$B$186,2,0))</f>
        <v/>
      </c>
      <c r="H21" s="82"/>
      <c r="I21" s="35"/>
      <c r="J21" s="29"/>
      <c r="K21" s="19"/>
      <c r="L21" s="20"/>
      <c r="M21" s="37" t="str">
        <f>IF(I21=0,"",VLOOKUP(I21,Municipalités!$A$2:$B$1290,2,TRUE))</f>
        <v/>
      </c>
    </row>
    <row r="22" spans="1:13" ht="30" customHeight="1" x14ac:dyDescent="0.25">
      <c r="A22" s="45"/>
      <c r="B22" s="45"/>
      <c r="C22" s="39"/>
      <c r="D22" s="46"/>
      <c r="E22" s="27"/>
      <c r="F22" s="31"/>
      <c r="G22" s="82" t="str">
        <f>IF(F22=0,"",VLOOKUP(F22,Employés!$A$2:$B$186,2,0))</f>
        <v/>
      </c>
      <c r="H22" s="82"/>
      <c r="I22" s="35"/>
      <c r="J22" s="29"/>
      <c r="K22" s="19"/>
      <c r="L22" s="20"/>
      <c r="M22" s="37" t="str">
        <f>IF(I22=0,"",VLOOKUP(I22,Municipalités!$A$2:$B$1290,2,TRUE))</f>
        <v/>
      </c>
    </row>
    <row r="23" spans="1:13" ht="30" customHeight="1" x14ac:dyDescent="0.25">
      <c r="A23" s="45"/>
      <c r="B23" s="45"/>
      <c r="C23" s="39"/>
      <c r="D23" s="46"/>
      <c r="E23" s="27"/>
      <c r="F23" s="31"/>
      <c r="G23" s="82" t="str">
        <f>IF(F23=0,"",VLOOKUP(F23,Employés!$A$2:$B$186,2,0))</f>
        <v/>
      </c>
      <c r="H23" s="82"/>
      <c r="I23" s="35"/>
      <c r="J23" s="29"/>
      <c r="K23" s="19"/>
      <c r="L23" s="20"/>
      <c r="M23" s="37" t="str">
        <f>IF(I23=0,"",VLOOKUP(I23,Municipalités!$A$2:$B$1290,2,TRUE))</f>
        <v/>
      </c>
    </row>
    <row r="24" spans="1:13" ht="30" customHeight="1" x14ac:dyDescent="0.25">
      <c r="A24" s="45"/>
      <c r="B24" s="45"/>
      <c r="C24" s="39"/>
      <c r="D24" s="46"/>
      <c r="E24" s="27"/>
      <c r="F24" s="31"/>
      <c r="G24" s="82" t="str">
        <f>IF(F24=0,"",VLOOKUP(F24,Employés!$A$2:$B$186,2,0))</f>
        <v/>
      </c>
      <c r="H24" s="82"/>
      <c r="I24" s="35"/>
      <c r="J24" s="29"/>
      <c r="K24" s="19"/>
      <c r="L24" s="20"/>
      <c r="M24" s="37" t="str">
        <f>IF(I24=0,"",VLOOKUP(I24,Municipalités!$A$2:$B$1290,2,TRUE))</f>
        <v/>
      </c>
    </row>
    <row r="25" spans="1:13" ht="30" customHeight="1" x14ac:dyDescent="0.25">
      <c r="A25" s="45"/>
      <c r="B25" s="45"/>
      <c r="C25" s="39"/>
      <c r="D25" s="46"/>
      <c r="E25" s="27"/>
      <c r="F25" s="31"/>
      <c r="G25" s="82" t="str">
        <f>IF(F25=0,"",VLOOKUP(F25,Employés!$A$2:$B$186,2,0))</f>
        <v/>
      </c>
      <c r="H25" s="82"/>
      <c r="I25" s="35"/>
      <c r="J25" s="29"/>
      <c r="K25" s="19"/>
      <c r="L25" s="20"/>
      <c r="M25" s="37" t="str">
        <f>IF(I25=0,"",VLOOKUP(I25,Municipalités!$A$2:$B$1290,2,TRUE))</f>
        <v/>
      </c>
    </row>
    <row r="26" spans="1:13" ht="30" customHeight="1" x14ac:dyDescent="0.25">
      <c r="A26" s="45"/>
      <c r="B26" s="45"/>
      <c r="C26" s="39"/>
      <c r="D26" s="46"/>
      <c r="E26" s="27"/>
      <c r="F26" s="31"/>
      <c r="G26" s="82" t="str">
        <f>IF(F26=0,"",VLOOKUP(F26,Employés!$A$2:$B$186,2,0))</f>
        <v/>
      </c>
      <c r="H26" s="82"/>
      <c r="I26" s="35"/>
      <c r="J26" s="29"/>
      <c r="K26" s="19"/>
      <c r="L26" s="20"/>
      <c r="M26" s="37" t="str">
        <f>IF(I26=0,"",VLOOKUP(I26,Municipalités!$A$2:$B$1290,2,TRUE))</f>
        <v/>
      </c>
    </row>
    <row r="27" spans="1:13" ht="30" customHeight="1" x14ac:dyDescent="0.25">
      <c r="A27" s="45"/>
      <c r="B27" s="45"/>
      <c r="C27" s="39"/>
      <c r="D27" s="46"/>
      <c r="E27" s="27"/>
      <c r="F27" s="31"/>
      <c r="G27" s="82" t="str">
        <f>IF(F27=0,"",VLOOKUP(F27,Employés!$A$2:$B$186,2,0))</f>
        <v/>
      </c>
      <c r="H27" s="82"/>
      <c r="I27" s="35"/>
      <c r="J27" s="29"/>
      <c r="K27" s="19"/>
      <c r="L27" s="20"/>
      <c r="M27" s="37" t="str">
        <f>IF(I27=0,"",VLOOKUP(I27,Municipalités!$A$2:$B$1290,2,TRUE))</f>
        <v/>
      </c>
    </row>
    <row r="28" spans="1:13" ht="30" customHeight="1" x14ac:dyDescent="0.25">
      <c r="A28" s="45"/>
      <c r="B28" s="45"/>
      <c r="C28" s="39"/>
      <c r="D28" s="46"/>
      <c r="E28" s="27"/>
      <c r="F28" s="31"/>
      <c r="G28" s="82" t="str">
        <f>IF(F28=0,"",VLOOKUP(F28,Employés!$A$2:$B$186,2,0))</f>
        <v/>
      </c>
      <c r="H28" s="82"/>
      <c r="I28" s="35"/>
      <c r="J28" s="29"/>
      <c r="K28" s="19"/>
      <c r="L28" s="20"/>
      <c r="M28" s="37" t="str">
        <f>IF(I28=0,"",VLOOKUP(I28,Municipalités!$A$2:$B$1290,2,TRUE))</f>
        <v/>
      </c>
    </row>
    <row r="29" spans="1:13" ht="30" customHeight="1" x14ac:dyDescent="0.25">
      <c r="A29" s="45"/>
      <c r="B29" s="45"/>
      <c r="C29" s="39"/>
      <c r="D29" s="46"/>
      <c r="E29" s="27"/>
      <c r="F29" s="31"/>
      <c r="G29" s="82" t="str">
        <f>IF(F29=0,"",VLOOKUP(F29,Employés!$A$2:$B$186,2,0))</f>
        <v/>
      </c>
      <c r="H29" s="82"/>
      <c r="I29" s="35"/>
      <c r="J29" s="29"/>
      <c r="K29" s="19"/>
      <c r="L29" s="20"/>
      <c r="M29" s="37" t="str">
        <f>IF(I29=0,"",VLOOKUP(I29,Municipalités!$A$2:$B$1290,2,TRUE))</f>
        <v/>
      </c>
    </row>
    <row r="30" spans="1:13" ht="30" customHeight="1" x14ac:dyDescent="0.25">
      <c r="A30" s="45"/>
      <c r="B30" s="45"/>
      <c r="C30" s="39"/>
      <c r="D30" s="46"/>
      <c r="E30" s="27"/>
      <c r="F30" s="31"/>
      <c r="G30" s="82" t="str">
        <f>IF(F30=0,"",VLOOKUP(F30,Employés!$A$2:$B$186,2,0))</f>
        <v/>
      </c>
      <c r="H30" s="82"/>
      <c r="I30" s="35"/>
      <c r="J30" s="29"/>
      <c r="K30" s="19"/>
      <c r="L30" s="20"/>
      <c r="M30" s="37" t="str">
        <f>IF(I30=0,"",VLOOKUP(I30,Municipalités!$A$2:$B$1290,2,TRUE))</f>
        <v/>
      </c>
    </row>
    <row r="31" spans="1:13" ht="30" customHeight="1" x14ac:dyDescent="0.25">
      <c r="A31" s="45"/>
      <c r="B31" s="45"/>
      <c r="C31" s="39"/>
      <c r="D31" s="47"/>
      <c r="E31" s="27"/>
      <c r="F31" s="31"/>
      <c r="G31" s="82" t="str">
        <f>IF(F31=0,"",VLOOKUP(F31,Employés!$A$2:$B$186,2,0))</f>
        <v/>
      </c>
      <c r="H31" s="82"/>
      <c r="I31" s="35"/>
      <c r="J31" s="29"/>
      <c r="K31" s="19"/>
      <c r="L31" s="20"/>
      <c r="M31" s="37" t="str">
        <f>IF(I31=0,"",VLOOKUP(I31,Municipalités!$A$2:$B$1290,2,TRUE))</f>
        <v/>
      </c>
    </row>
    <row r="32" spans="1:13" ht="30" customHeight="1" x14ac:dyDescent="0.25">
      <c r="A32" s="45"/>
      <c r="B32" s="45"/>
      <c r="C32" s="39"/>
      <c r="D32" s="46"/>
      <c r="E32" s="27"/>
      <c r="F32" s="31"/>
      <c r="G32" s="82" t="str">
        <f>IF(F32=0,"",VLOOKUP(F32,Employés!$A$2:$B$186,2,0))</f>
        <v/>
      </c>
      <c r="H32" s="82"/>
      <c r="I32" s="35"/>
      <c r="J32" s="29"/>
      <c r="K32" s="19"/>
      <c r="L32" s="20"/>
      <c r="M32" s="37" t="str">
        <f>IF(I32=0,"",VLOOKUP(I32,Municipalités!$A$2:$B$1290,2,TRUE))</f>
        <v/>
      </c>
    </row>
    <row r="33" spans="1:13" ht="30" customHeight="1" x14ac:dyDescent="0.25">
      <c r="A33" s="45"/>
      <c r="B33" s="45"/>
      <c r="C33" s="39"/>
      <c r="D33" s="46"/>
      <c r="E33" s="27"/>
      <c r="F33" s="31"/>
      <c r="G33" s="82" t="str">
        <f>IF(F33=0,"",VLOOKUP(F33,Employés!$A$2:$B$186,2,0))</f>
        <v/>
      </c>
      <c r="H33" s="82"/>
      <c r="I33" s="35"/>
      <c r="J33" s="29"/>
      <c r="K33" s="19"/>
      <c r="L33" s="20"/>
      <c r="M33" s="37" t="str">
        <f>IF(I33=0,"",VLOOKUP(I33,Municipalités!$A$2:$B$1290,2,TRUE))</f>
        <v/>
      </c>
    </row>
    <row r="34" spans="1:13" ht="30" customHeight="1" x14ac:dyDescent="0.25">
      <c r="A34" s="45"/>
      <c r="B34" s="45"/>
      <c r="C34" s="39"/>
      <c r="D34" s="46"/>
      <c r="E34" s="27"/>
      <c r="F34" s="31"/>
      <c r="G34" s="82" t="str">
        <f>IF(F34=0,"",VLOOKUP(F34,Employés!$A$2:$B$186,2,0))</f>
        <v/>
      </c>
      <c r="H34" s="82"/>
      <c r="I34" s="35"/>
      <c r="J34" s="29"/>
      <c r="K34" s="19"/>
      <c r="L34" s="20"/>
      <c r="M34" s="37" t="str">
        <f>IF(I34=0,"",VLOOKUP(I34,Municipalités!$A$2:$B$1290,2,TRUE))</f>
        <v/>
      </c>
    </row>
    <row r="35" spans="1:13" ht="30" customHeight="1" x14ac:dyDescent="0.25">
      <c r="A35" s="45"/>
      <c r="B35" s="45"/>
      <c r="C35" s="30"/>
      <c r="D35" s="46"/>
      <c r="E35" s="27"/>
      <c r="F35" s="31"/>
      <c r="G35" s="82" t="str">
        <f>IF(F35=0,"",VLOOKUP(F35,Employés!$A$2:$B$186,2,0))</f>
        <v/>
      </c>
      <c r="H35" s="82"/>
      <c r="I35" s="35"/>
      <c r="J35" s="29"/>
      <c r="K35" s="19"/>
      <c r="L35" s="20"/>
      <c r="M35" s="37" t="str">
        <f>IF(I35=0,"",VLOOKUP(I35,Municipalités!$A$2:$B$1290,2,TRUE))</f>
        <v/>
      </c>
    </row>
    <row r="36" spans="1:13" ht="30" customHeight="1" x14ac:dyDescent="0.25">
      <c r="A36" s="45"/>
      <c r="B36" s="45"/>
      <c r="C36" s="30"/>
      <c r="D36" s="46"/>
      <c r="E36" s="27"/>
      <c r="F36" s="31"/>
      <c r="G36" s="82" t="str">
        <f>IF(F36=0,"",VLOOKUP(F36,Employés!$A$2:$B$186,2,0))</f>
        <v/>
      </c>
      <c r="H36" s="82"/>
      <c r="I36" s="35"/>
      <c r="J36" s="29"/>
      <c r="K36" s="19"/>
      <c r="L36" s="20"/>
      <c r="M36" s="37" t="str">
        <f>IF(I36=0,"",VLOOKUP(I36,Municipalités!$A$2:$B$1290,2,TRUE))</f>
        <v/>
      </c>
    </row>
    <row r="37" spans="1:13" ht="30" customHeight="1" x14ac:dyDescent="0.25">
      <c r="A37" s="45"/>
      <c r="B37" s="45"/>
      <c r="C37" s="39"/>
      <c r="D37" s="46"/>
      <c r="E37" s="27"/>
      <c r="F37" s="31"/>
      <c r="G37" s="82" t="str">
        <f>IF(F37=0,"",VLOOKUP(F37,Employés!$A$2:$B$186,2,0))</f>
        <v/>
      </c>
      <c r="H37" s="82"/>
      <c r="I37" s="35"/>
      <c r="J37" s="29"/>
      <c r="K37" s="19"/>
      <c r="L37" s="20"/>
      <c r="M37" s="37" t="str">
        <f>IF(I37=0,"",VLOOKUP(I37,Municipalités!$A$2:$B$1290,2,TRUE))</f>
        <v/>
      </c>
    </row>
    <row r="38" spans="1:13" ht="30" customHeight="1" x14ac:dyDescent="0.25">
      <c r="A38" s="45"/>
      <c r="B38" s="45"/>
      <c r="C38" s="39"/>
      <c r="D38" s="47"/>
      <c r="E38" s="27"/>
      <c r="F38" s="31"/>
      <c r="G38" s="82" t="str">
        <f>IF(F38=0,"",VLOOKUP(F38,Employés!$A$2:$B$186,2,0))</f>
        <v/>
      </c>
      <c r="H38" s="82"/>
      <c r="I38" s="35"/>
      <c r="J38" s="29"/>
      <c r="K38" s="19"/>
      <c r="L38" s="20"/>
      <c r="M38" s="37" t="str">
        <f>IF(I38=0,"",VLOOKUP(I38,Municipalités!$A$2:$B$1290,2,TRUE))</f>
        <v/>
      </c>
    </row>
    <row r="39" spans="1:13" ht="30" customHeight="1" x14ac:dyDescent="0.25">
      <c r="A39" s="45"/>
      <c r="B39" s="45"/>
      <c r="C39" s="39"/>
      <c r="D39" s="45"/>
      <c r="E39" s="27"/>
      <c r="F39" s="31"/>
      <c r="G39" s="82" t="str">
        <f>IF(F39=0,"",VLOOKUP(F39,Employés!$A$2:$B$186,2,0))</f>
        <v/>
      </c>
      <c r="H39" s="82"/>
      <c r="I39" s="35"/>
      <c r="J39" s="29"/>
      <c r="K39" s="26"/>
      <c r="L39" s="25"/>
      <c r="M39" s="37" t="str">
        <f>IF(I39=0,"",VLOOKUP(I39,Municipalités!$A$2:$B$1290,2,TRUE))</f>
        <v/>
      </c>
    </row>
    <row r="40" spans="1:13" ht="30" customHeight="1" x14ac:dyDescent="0.25">
      <c r="A40" s="8"/>
      <c r="B40" s="8"/>
      <c r="C40" s="30"/>
      <c r="D40" s="8"/>
      <c r="E40" s="27"/>
      <c r="F40" s="31"/>
      <c r="G40" s="82" t="str">
        <f>IF(F40=0,"",VLOOKUP(F40,Employés!$A$2:$B$186,2,0))</f>
        <v/>
      </c>
      <c r="H40" s="82"/>
      <c r="I40" s="35"/>
      <c r="J40" s="29"/>
      <c r="K40" s="26"/>
      <c r="L40" s="25"/>
      <c r="M40" s="37" t="str">
        <f>IF(I40=0,"",VLOOKUP(I40,Municipalités!$A$2:$B$1290,2,TRUE))</f>
        <v/>
      </c>
    </row>
    <row r="41" spans="1:13" ht="30" customHeight="1" x14ac:dyDescent="0.25">
      <c r="A41" s="8"/>
      <c r="B41" s="8"/>
      <c r="C41" s="30"/>
      <c r="D41" s="8"/>
      <c r="E41" s="27"/>
      <c r="F41" s="31"/>
      <c r="G41" s="82" t="str">
        <f>IF(F41=0,"",VLOOKUP(F41,Employés!$A$2:$B$186,2,0))</f>
        <v/>
      </c>
      <c r="H41" s="82"/>
      <c r="I41" s="35"/>
      <c r="J41" s="29"/>
      <c r="K41" s="26"/>
      <c r="L41" s="25"/>
      <c r="M41" s="37" t="str">
        <f>IF(I41=0,"",VLOOKUP(I41,Municipalités!$A$2:$B$1290,2,TRUE))</f>
        <v/>
      </c>
    </row>
    <row r="42" spans="1:13" ht="30" customHeight="1" x14ac:dyDescent="0.25">
      <c r="A42" s="8"/>
      <c r="B42" s="8"/>
      <c r="C42" s="30"/>
      <c r="D42" s="8"/>
      <c r="E42" s="27"/>
      <c r="F42" s="31"/>
      <c r="G42" s="82" t="str">
        <f>IF(F42=0,"",VLOOKUP(F42,Employés!$A$2:$B$186,2,0))</f>
        <v/>
      </c>
      <c r="H42" s="82"/>
      <c r="I42" s="35"/>
      <c r="J42" s="29"/>
      <c r="K42" s="26"/>
      <c r="L42" s="25"/>
      <c r="M42" s="37" t="str">
        <f>IF(I42=0,"",VLOOKUP(I42,Municipalités!$A$2:$B$1290,2,TRUE))</f>
        <v/>
      </c>
    </row>
    <row r="43" spans="1:13" ht="30" customHeight="1" x14ac:dyDescent="0.25">
      <c r="A43" s="8"/>
      <c r="B43" s="8"/>
      <c r="C43" s="30"/>
      <c r="D43" s="8"/>
      <c r="E43" s="27" t="s">
        <v>1420</v>
      </c>
      <c r="F43" s="31"/>
      <c r="G43" s="82" t="str">
        <f>IF(F43=0,"",VLOOKUP(F43,Employés!$A$2:$B$186,2,0))</f>
        <v/>
      </c>
      <c r="H43" s="82"/>
      <c r="I43" s="35"/>
      <c r="J43" s="29"/>
      <c r="K43" s="26"/>
      <c r="L43" s="25" t="s">
        <v>1420</v>
      </c>
      <c r="M43" s="37" t="str">
        <f>IF(I43=0,"",VLOOKUP(I43,Municipalités!$A$2:$B$1290,2,TRUE))</f>
        <v/>
      </c>
    </row>
    <row r="44" spans="1:13" ht="30" customHeight="1" x14ac:dyDescent="0.25">
      <c r="A44" s="8"/>
      <c r="B44" s="8"/>
      <c r="C44" s="30"/>
      <c r="D44" s="8"/>
      <c r="E44" s="27"/>
      <c r="F44" s="31"/>
      <c r="G44" s="82" t="str">
        <f>IF(F44=0,"",VLOOKUP(F44,Employés!$A$2:$B$186,2,0))</f>
        <v/>
      </c>
      <c r="H44" s="82"/>
      <c r="I44" s="35"/>
      <c r="J44" s="29"/>
      <c r="K44" s="26"/>
      <c r="L44" s="25"/>
      <c r="M44" s="37" t="str">
        <f>IF(I44=0,"",VLOOKUP(I44,Municipalités!$A$2:$B$1290,2,TRUE))</f>
        <v/>
      </c>
    </row>
    <row r="45" spans="1:13" ht="30" customHeight="1" x14ac:dyDescent="0.25">
      <c r="A45" s="8"/>
      <c r="B45" s="8"/>
      <c r="C45" s="30"/>
      <c r="D45" s="8"/>
      <c r="E45" s="27"/>
      <c r="F45" s="31"/>
      <c r="G45" s="82" t="str">
        <f>IF(F45=0,"",VLOOKUP(F45,Employés!$A$2:$B$186,2,0))</f>
        <v/>
      </c>
      <c r="H45" s="82"/>
      <c r="I45" s="35"/>
      <c r="J45" s="29"/>
      <c r="K45" s="26"/>
      <c r="L45" s="25"/>
      <c r="M45" s="37" t="str">
        <f>IF(I45=0,"",VLOOKUP(I45,Municipalités!$A$2:$B$1290,2,TRUE))</f>
        <v/>
      </c>
    </row>
    <row r="46" spans="1:13" ht="30" customHeight="1" x14ac:dyDescent="0.25">
      <c r="A46" s="8"/>
      <c r="B46" s="8"/>
      <c r="C46" s="30"/>
      <c r="D46" s="8"/>
      <c r="E46" s="27"/>
      <c r="F46" s="31"/>
      <c r="G46" s="82" t="str">
        <f>IF(F46=0,"",VLOOKUP(F46,Employés!$A$2:$B$186,2,0))</f>
        <v/>
      </c>
      <c r="H46" s="82"/>
      <c r="I46" s="35"/>
      <c r="J46" s="29"/>
      <c r="K46" s="26"/>
      <c r="L46" s="25"/>
      <c r="M46" s="37" t="str">
        <f>IF(I46=0,"",VLOOKUP(I46,Municipalités!$A$2:$B$1290,2,TRUE))</f>
        <v/>
      </c>
    </row>
    <row r="47" spans="1:13" ht="30" customHeight="1" x14ac:dyDescent="0.25">
      <c r="A47" s="8"/>
      <c r="B47" s="8"/>
      <c r="C47" s="30"/>
      <c r="D47" s="8"/>
      <c r="E47" s="27"/>
      <c r="F47" s="31"/>
      <c r="G47" s="82" t="str">
        <f>IF(F47=0,"",VLOOKUP(F47,Employés!$A$2:$B$186,2,0))</f>
        <v/>
      </c>
      <c r="H47" s="82"/>
      <c r="I47" s="35"/>
      <c r="J47" s="29"/>
      <c r="K47" s="26"/>
      <c r="L47" s="25"/>
      <c r="M47" s="37" t="str">
        <f>IF(I47=0,"",VLOOKUP(I47,Municipalités!$A$2:$B$1290,2,TRUE))</f>
        <v/>
      </c>
    </row>
    <row r="48" spans="1:13" ht="30" customHeight="1" x14ac:dyDescent="0.25">
      <c r="A48" s="8"/>
      <c r="B48" s="8"/>
      <c r="C48" s="30"/>
      <c r="D48" s="8"/>
      <c r="E48" s="27"/>
      <c r="F48" s="31"/>
      <c r="G48" s="82" t="str">
        <f>IF(F48=0,"",VLOOKUP(F48,Employés!$A$2:$B$186,2,0))</f>
        <v/>
      </c>
      <c r="H48" s="82"/>
      <c r="I48" s="35"/>
      <c r="J48" s="29"/>
      <c r="K48" s="26"/>
      <c r="L48" s="25"/>
      <c r="M48" s="37" t="str">
        <f>IF(I48=0,"",VLOOKUP(I48,Municipalités!$A$2:$B$1290,2,TRUE))</f>
        <v/>
      </c>
    </row>
    <row r="49" spans="1:13" ht="30" customHeight="1" x14ac:dyDescent="0.25">
      <c r="A49" s="8"/>
      <c r="B49" s="8"/>
      <c r="C49" s="30"/>
      <c r="D49" s="8"/>
      <c r="E49" s="27"/>
      <c r="F49" s="31"/>
      <c r="G49" s="82" t="str">
        <f>IF(F49=0,"",VLOOKUP(F49,Employés!$A$2:$B$186,2,0))</f>
        <v/>
      </c>
      <c r="H49" s="82"/>
      <c r="I49" s="35"/>
      <c r="J49" s="29"/>
      <c r="K49" s="26"/>
      <c r="L49" s="25"/>
      <c r="M49" s="37" t="str">
        <f>IF(I49=0,"",VLOOKUP(I49,Municipalités!$A$2:$B$1290,2,TRUE))</f>
        <v/>
      </c>
    </row>
    <row r="50" spans="1:13" ht="30" customHeight="1" x14ac:dyDescent="0.25">
      <c r="A50" s="8"/>
      <c r="B50" s="8"/>
      <c r="C50" s="30"/>
      <c r="D50" s="8"/>
      <c r="E50" s="27"/>
      <c r="F50" s="31"/>
      <c r="G50" s="82" t="str">
        <f>IF(F50=0,"",VLOOKUP(F50,Employés!$A$2:$B$186,2,0))</f>
        <v/>
      </c>
      <c r="H50" s="82"/>
      <c r="I50" s="35"/>
      <c r="J50" s="29"/>
      <c r="K50" s="26"/>
      <c r="L50" s="25"/>
      <c r="M50" s="37" t="str">
        <f>IF(I50=0,"",VLOOKUP(I50,Municipalités!$A$2:$B$1290,2,TRUE))</f>
        <v/>
      </c>
    </row>
    <row r="51" spans="1:13" ht="30" customHeight="1" x14ac:dyDescent="0.25">
      <c r="A51" s="8"/>
      <c r="B51" s="8"/>
      <c r="C51" s="30"/>
      <c r="D51" s="8"/>
      <c r="E51" s="27"/>
      <c r="F51" s="31"/>
      <c r="G51" s="82" t="str">
        <f>IF(F51=0,"",VLOOKUP(F51,Employés!$A$2:$B$186,2,0))</f>
        <v/>
      </c>
      <c r="H51" s="82"/>
      <c r="I51" s="35"/>
      <c r="J51" s="29"/>
      <c r="K51" s="26"/>
      <c r="L51" s="25"/>
      <c r="M51" s="37" t="str">
        <f>IF(I51=0,"",VLOOKUP(I51,Municipalités!$A$2:$B$1290,2,TRUE))</f>
        <v/>
      </c>
    </row>
    <row r="52" spans="1:13" ht="30" customHeight="1" x14ac:dyDescent="0.25">
      <c r="A52" s="8"/>
      <c r="B52" s="8"/>
      <c r="C52" s="30"/>
      <c r="D52" s="8"/>
      <c r="E52" s="27"/>
      <c r="F52" s="31"/>
      <c r="G52" s="82" t="str">
        <f>IF(F52=0,"",VLOOKUP(F52,Employés!$A$2:$B$186,2,0))</f>
        <v/>
      </c>
      <c r="H52" s="82"/>
      <c r="I52" s="35"/>
      <c r="J52" s="29"/>
      <c r="K52" s="26"/>
      <c r="L52" s="25"/>
      <c r="M52" s="37" t="str">
        <f>IF(I52=0,"",VLOOKUP(I52,Municipalités!$A$2:$B$1290,2,TRUE))</f>
        <v/>
      </c>
    </row>
    <row r="53" spans="1:13" ht="30" customHeight="1" x14ac:dyDescent="0.25">
      <c r="A53" s="8"/>
      <c r="B53" s="8"/>
      <c r="C53" s="30"/>
      <c r="D53" s="8"/>
      <c r="E53" s="27"/>
      <c r="F53" s="31"/>
      <c r="G53" s="82" t="str">
        <f>IF(F53=0,"",VLOOKUP(F53,Employés!$A$2:$B$186,2,0))</f>
        <v/>
      </c>
      <c r="H53" s="82"/>
      <c r="I53" s="35"/>
      <c r="J53" s="29"/>
      <c r="K53" s="26"/>
      <c r="L53" s="25"/>
      <c r="M53" s="37" t="str">
        <f>IF(I53=0,"",VLOOKUP(I53,Municipalités!$A$2:$B$1290,2,TRUE))</f>
        <v/>
      </c>
    </row>
    <row r="54" spans="1:13" ht="30" customHeight="1" x14ac:dyDescent="0.25">
      <c r="A54" s="8"/>
      <c r="B54" s="8"/>
      <c r="C54" s="30"/>
      <c r="D54" s="8"/>
      <c r="E54" s="27"/>
      <c r="F54" s="31"/>
      <c r="G54" s="82" t="str">
        <f>IF(F54=0,"",VLOOKUP(F54,Employés!$A$2:$B$186,2,0))</f>
        <v/>
      </c>
      <c r="H54" s="82"/>
      <c r="I54" s="35"/>
      <c r="J54" s="29"/>
      <c r="K54" s="26"/>
      <c r="L54" s="25"/>
      <c r="M54" s="37" t="str">
        <f>IF(I54=0,"",VLOOKUP(I54,Municipalités!$A$2:$B$1290,2,TRUE))</f>
        <v/>
      </c>
    </row>
    <row r="55" spans="1:13" ht="30" customHeight="1" x14ac:dyDescent="0.25">
      <c r="A55" s="8"/>
      <c r="B55" s="8"/>
      <c r="C55" s="30"/>
      <c r="D55" s="8"/>
      <c r="E55" s="27"/>
      <c r="F55" s="31"/>
      <c r="G55" s="82" t="str">
        <f>IF(F55=0,"",VLOOKUP(F55,Employés!$A$2:$B$186,2,0))</f>
        <v/>
      </c>
      <c r="H55" s="82"/>
      <c r="I55" s="35"/>
      <c r="J55" s="29"/>
      <c r="K55" s="26"/>
      <c r="L55" s="25"/>
      <c r="M55" s="37" t="str">
        <f>IF(I55=0,"",VLOOKUP(I55,Municipalités!$A$2:$B$1290,2,TRUE))</f>
        <v/>
      </c>
    </row>
    <row r="56" spans="1:13" ht="30" customHeight="1" x14ac:dyDescent="0.25">
      <c r="A56" s="8"/>
      <c r="B56" s="8"/>
      <c r="C56" s="30"/>
      <c r="D56" s="8"/>
      <c r="E56" s="27"/>
      <c r="F56" s="31"/>
      <c r="G56" s="82" t="str">
        <f>IF(F56=0,"",VLOOKUP(F56,Employés!$A$2:$B$186,2,0))</f>
        <v/>
      </c>
      <c r="H56" s="82"/>
      <c r="I56" s="35"/>
      <c r="J56" s="29"/>
      <c r="K56" s="26"/>
      <c r="L56" s="25"/>
      <c r="M56" s="37" t="str">
        <f>IF(I56=0,"",VLOOKUP(I56,Municipalités!$A$2:$B$1290,2,TRUE))</f>
        <v/>
      </c>
    </row>
    <row r="57" spans="1:13" ht="30" customHeight="1" x14ac:dyDescent="0.25">
      <c r="A57" s="8"/>
      <c r="B57" s="8"/>
      <c r="C57" s="30"/>
      <c r="D57" s="8"/>
      <c r="E57" s="27"/>
      <c r="F57" s="31"/>
      <c r="G57" s="82" t="str">
        <f>IF(F57=0,"",VLOOKUP(F57,Employés!$A$2:$B$186,2,0))</f>
        <v/>
      </c>
      <c r="H57" s="82"/>
      <c r="I57" s="35"/>
      <c r="J57" s="29"/>
      <c r="K57" s="26"/>
      <c r="L57" s="25"/>
      <c r="M57" s="37" t="str">
        <f>IF(I57=0,"",VLOOKUP(I57,Municipalités!$A$2:$B$1290,2,TRUE))</f>
        <v/>
      </c>
    </row>
    <row r="58" spans="1:13" ht="30" customHeight="1" x14ac:dyDescent="0.25">
      <c r="A58" s="8"/>
      <c r="B58" s="8"/>
      <c r="C58" s="30"/>
      <c r="D58" s="8"/>
      <c r="E58" s="27"/>
      <c r="F58" s="31"/>
      <c r="G58" s="82" t="str">
        <f>IF(F58=0,"",VLOOKUP(F58,Employés!$A$2:$B$186,2,0))</f>
        <v/>
      </c>
      <c r="H58" s="82"/>
      <c r="I58" s="35"/>
      <c r="J58" s="29"/>
      <c r="K58" s="26"/>
      <c r="L58" s="25"/>
      <c r="M58" s="37" t="str">
        <f>IF(I58=0,"",VLOOKUP(I58,Municipalités!$A$2:$B$1290,2,TRUE))</f>
        <v/>
      </c>
    </row>
    <row r="59" spans="1:13" ht="30" customHeight="1" x14ac:dyDescent="0.25">
      <c r="A59" s="8"/>
      <c r="B59" s="8"/>
      <c r="C59" s="30"/>
      <c r="D59" s="8"/>
      <c r="E59" s="27"/>
      <c r="F59" s="31"/>
      <c r="G59" s="82" t="str">
        <f>IF(F59=0,"",VLOOKUP(F59,Employés!$A$2:$B$186,2,0))</f>
        <v/>
      </c>
      <c r="H59" s="82"/>
      <c r="I59" s="35"/>
      <c r="J59" s="29"/>
      <c r="K59" s="26"/>
      <c r="L59" s="25"/>
      <c r="M59" s="37" t="str">
        <f>IF(I59=0,"",VLOOKUP(I59,Municipalités!$A$2:$B$1290,2,TRUE))</f>
        <v/>
      </c>
    </row>
    <row r="60" spans="1:13" ht="30" customHeight="1" x14ac:dyDescent="0.25">
      <c r="A60" s="8"/>
      <c r="B60" s="8"/>
      <c r="C60" s="30"/>
      <c r="D60" s="8"/>
      <c r="E60" s="27"/>
      <c r="F60" s="31"/>
      <c r="G60" s="82" t="str">
        <f>IF(F60=0,"",VLOOKUP(F60,Employés!$A$2:$B$186,2,0))</f>
        <v/>
      </c>
      <c r="H60" s="82"/>
      <c r="I60" s="35"/>
      <c r="J60" s="29"/>
      <c r="K60" s="26"/>
      <c r="L60" s="25"/>
      <c r="M60" s="37" t="str">
        <f>IF(I60=0,"",VLOOKUP(I60,Municipalités!$A$2:$B$1290,2,TRUE))</f>
        <v/>
      </c>
    </row>
    <row r="61" spans="1:13" ht="30" customHeight="1" x14ac:dyDescent="0.25">
      <c r="A61" s="8"/>
      <c r="B61" s="8"/>
      <c r="C61" s="30"/>
      <c r="D61" s="8"/>
      <c r="E61" s="27"/>
      <c r="F61" s="31"/>
      <c r="G61" s="82" t="str">
        <f>IF(F61=0,"",VLOOKUP(F61,Employés!$A$2:$B$186,2,0))</f>
        <v/>
      </c>
      <c r="H61" s="82"/>
      <c r="I61" s="35"/>
      <c r="J61" s="29"/>
      <c r="K61" s="26"/>
      <c r="L61" s="25"/>
      <c r="M61" s="37" t="str">
        <f>IF(I61=0,"",VLOOKUP(I61,Municipalités!$A$2:$B$1290,2,TRUE))</f>
        <v/>
      </c>
    </row>
    <row r="62" spans="1:13" x14ac:dyDescent="0.25">
      <c r="C62" s="14"/>
    </row>
    <row r="63" spans="1:13" x14ac:dyDescent="0.25">
      <c r="C63" s="14"/>
    </row>
    <row r="64" spans="1:13" x14ac:dyDescent="0.25">
      <c r="C64" s="14"/>
    </row>
    <row r="65" spans="3:5" x14ac:dyDescent="0.25">
      <c r="C65" s="14"/>
    </row>
    <row r="66" spans="3:5" x14ac:dyDescent="0.25">
      <c r="C66" s="14"/>
    </row>
    <row r="67" spans="3:5" x14ac:dyDescent="0.25">
      <c r="C67" s="14"/>
    </row>
    <row r="68" spans="3:5" x14ac:dyDescent="0.25">
      <c r="C68" s="14"/>
    </row>
    <row r="69" spans="3:5" x14ac:dyDescent="0.25">
      <c r="C69" s="14"/>
    </row>
    <row r="70" spans="3:5" x14ac:dyDescent="0.25">
      <c r="C70" s="14"/>
    </row>
    <row r="71" spans="3:5" x14ac:dyDescent="0.25">
      <c r="C71" s="14"/>
    </row>
    <row r="72" spans="3:5" x14ac:dyDescent="0.25">
      <c r="C72" s="14"/>
    </row>
    <row r="73" spans="3:5" x14ac:dyDescent="0.25">
      <c r="C73" s="14"/>
    </row>
    <row r="74" spans="3:5" x14ac:dyDescent="0.25">
      <c r="C74" s="14"/>
    </row>
    <row r="75" spans="3:5" x14ac:dyDescent="0.25">
      <c r="C75" s="14"/>
    </row>
    <row r="76" spans="3:5" x14ac:dyDescent="0.25">
      <c r="C76" s="14"/>
    </row>
    <row r="77" spans="3:5" x14ac:dyDescent="0.25">
      <c r="C77" s="14"/>
    </row>
    <row r="78" spans="3:5" x14ac:dyDescent="0.25">
      <c r="C78" s="14"/>
      <c r="E78" s="21" t="s">
        <v>1420</v>
      </c>
    </row>
    <row r="79" spans="3:5" x14ac:dyDescent="0.25">
      <c r="C79" s="14"/>
    </row>
    <row r="80" spans="3:5" x14ac:dyDescent="0.25">
      <c r="C80" s="14"/>
    </row>
    <row r="81" spans="3:3" x14ac:dyDescent="0.25">
      <c r="C81" s="14"/>
    </row>
    <row r="82" spans="3:3" x14ac:dyDescent="0.25">
      <c r="C82" s="14"/>
    </row>
    <row r="83" spans="3:3" x14ac:dyDescent="0.25">
      <c r="C83" s="14"/>
    </row>
    <row r="84" spans="3:3" x14ac:dyDescent="0.25">
      <c r="C84" s="14"/>
    </row>
    <row r="85" spans="3:3" x14ac:dyDescent="0.25">
      <c r="C85" s="14"/>
    </row>
    <row r="86" spans="3:3" x14ac:dyDescent="0.25">
      <c r="C86" s="14"/>
    </row>
    <row r="87" spans="3:3" x14ac:dyDescent="0.25">
      <c r="C87" s="14"/>
    </row>
    <row r="88" spans="3:3" x14ac:dyDescent="0.25">
      <c r="C88" s="14"/>
    </row>
    <row r="89" spans="3:3" x14ac:dyDescent="0.25">
      <c r="C89" s="14"/>
    </row>
    <row r="90" spans="3:3" x14ac:dyDescent="0.25">
      <c r="C90" s="14"/>
    </row>
    <row r="91" spans="3:3" x14ac:dyDescent="0.25">
      <c r="C91" s="14"/>
    </row>
    <row r="92" spans="3:3" x14ac:dyDescent="0.25">
      <c r="C92" s="14"/>
    </row>
    <row r="93" spans="3:3" x14ac:dyDescent="0.25">
      <c r="C93" s="14"/>
    </row>
    <row r="94" spans="3:3" x14ac:dyDescent="0.25">
      <c r="C94" s="14"/>
    </row>
    <row r="95" spans="3:3" x14ac:dyDescent="0.25">
      <c r="C95" s="14"/>
    </row>
    <row r="96" spans="3:3" x14ac:dyDescent="0.25">
      <c r="C96" s="14"/>
    </row>
    <row r="97" spans="3:3" x14ac:dyDescent="0.25">
      <c r="C97" s="14"/>
    </row>
    <row r="98" spans="3:3" x14ac:dyDescent="0.25">
      <c r="C98" s="14"/>
    </row>
  </sheetData>
  <mergeCells count="67">
    <mergeCell ref="G59:H59"/>
    <mergeCell ref="G60:H60"/>
    <mergeCell ref="G61:H61"/>
    <mergeCell ref="G53:H53"/>
    <mergeCell ref="G54:H54"/>
    <mergeCell ref="G55:H55"/>
    <mergeCell ref="G56:H56"/>
    <mergeCell ref="G57:H57"/>
    <mergeCell ref="G58:H58"/>
    <mergeCell ref="G52:H52"/>
    <mergeCell ref="G41:H41"/>
    <mergeCell ref="G42:H42"/>
    <mergeCell ref="G43:H43"/>
    <mergeCell ref="G44:H44"/>
    <mergeCell ref="G45:H45"/>
    <mergeCell ref="G46:H46"/>
    <mergeCell ref="G47:H47"/>
    <mergeCell ref="G48:H48"/>
    <mergeCell ref="G49:H49"/>
    <mergeCell ref="G50:H50"/>
    <mergeCell ref="G51:H51"/>
    <mergeCell ref="G40:H40"/>
    <mergeCell ref="G29:H29"/>
    <mergeCell ref="G30:H30"/>
    <mergeCell ref="G31:H31"/>
    <mergeCell ref="G32:H32"/>
    <mergeCell ref="G33:H33"/>
    <mergeCell ref="G34:H34"/>
    <mergeCell ref="G35:H35"/>
    <mergeCell ref="G36:H36"/>
    <mergeCell ref="G37:H37"/>
    <mergeCell ref="G38:H38"/>
    <mergeCell ref="G39:H39"/>
    <mergeCell ref="G28:H28"/>
    <mergeCell ref="G17:H17"/>
    <mergeCell ref="G18:H18"/>
    <mergeCell ref="G19:H19"/>
    <mergeCell ref="G20:H20"/>
    <mergeCell ref="G21:H21"/>
    <mergeCell ref="G22:H22"/>
    <mergeCell ref="G23:H23"/>
    <mergeCell ref="G24:H24"/>
    <mergeCell ref="G25:H25"/>
    <mergeCell ref="G26:H26"/>
    <mergeCell ref="G27:H27"/>
    <mergeCell ref="M2:M4"/>
    <mergeCell ref="G16:H16"/>
    <mergeCell ref="I6:I7"/>
    <mergeCell ref="J6:J7"/>
    <mergeCell ref="K6:M6"/>
    <mergeCell ref="G8:H8"/>
    <mergeCell ref="G9:H9"/>
    <mergeCell ref="G10:H10"/>
    <mergeCell ref="G11:H11"/>
    <mergeCell ref="G12:H12"/>
    <mergeCell ref="G13:H13"/>
    <mergeCell ref="G14:H14"/>
    <mergeCell ref="G15:H15"/>
    <mergeCell ref="E1:F4"/>
    <mergeCell ref="L1:L2"/>
    <mergeCell ref="A6:A7"/>
    <mergeCell ref="B6:B7"/>
    <mergeCell ref="C6:C7"/>
    <mergeCell ref="D6:D7"/>
    <mergeCell ref="E6:E7"/>
    <mergeCell ref="F6:F7"/>
    <mergeCell ref="G6:H7"/>
  </mergeCells>
  <conditionalFormatting sqref="C16:C21 C23:C45">
    <cfRule type="expression" dxfId="47" priority="7" stopIfTrue="1">
      <formula>#REF!=1</formula>
    </cfRule>
    <cfRule type="expression" priority="8" stopIfTrue="1">
      <formula>#REF!=2</formula>
    </cfRule>
    <cfRule type="expression" dxfId="46" priority="9" stopIfTrue="1">
      <formula>#REF!=3</formula>
    </cfRule>
  </conditionalFormatting>
  <conditionalFormatting sqref="C22">
    <cfRule type="expression" dxfId="45" priority="4" stopIfTrue="1">
      <formula>#REF!=1</formula>
    </cfRule>
    <cfRule type="expression" priority="5" stopIfTrue="1">
      <formula>#REF!=2</formula>
    </cfRule>
    <cfRule type="expression" dxfId="44" priority="6" stopIfTrue="1">
      <formula>#REF!=3</formula>
    </cfRule>
  </conditionalFormatting>
  <conditionalFormatting sqref="C46:C61">
    <cfRule type="expression" dxfId="43" priority="1" stopIfTrue="1">
      <formula>#REF!=1</formula>
    </cfRule>
    <cfRule type="expression" priority="2" stopIfTrue="1">
      <formula>#REF!=2</formula>
    </cfRule>
    <cfRule type="expression" dxfId="42" priority="3" stopIfTrue="1">
      <formula>#REF!=3</formula>
    </cfRule>
  </conditionalFormatting>
  <dataValidations count="2">
    <dataValidation type="textLength" operator="greaterThanOrEqual" allowBlank="1" showInputMessage="1" showErrorMessage="1" errorTitle="Saisie incorrecte" error="Re-saisir le numéro d'entrée en utilisant 3 chiffres_x000a_Ex.: 001" promptTitle="Saisie du numéro d'entrée" prompt="Minimum 3 chiffres_x000a_Ex.: 001" sqref="C8:C39" xr:uid="{00000000-0002-0000-1700-000000000000}">
      <formula1>3</formula1>
    </dataValidation>
    <dataValidation operator="greaterThan" allowBlank="1" showDropDown="1" showInputMessage="1" showErrorMessage="1" errorTitle="Saisie incorrecte" error="Re-Saisir le numéro de dossier sous le format_x000a_000-000000-000" promptTitle="Saisie du numéro d'événement" prompt="000-000000-000_x000a_Ex. : 071-030901-001" sqref="J8:J39" xr:uid="{00000000-0002-0000-1700-000001000000}"/>
  </dataValidations>
  <printOptions horizontalCentered="1" verticalCentered="1"/>
  <pageMargins left="0" right="0" top="0.31496062992125984" bottom="0.39370078740157483" header="0.15748031496062992" footer="0.19685039370078741"/>
  <pageSetup paperSize="5" scale="90" orientation="landscape" r:id="rId1"/>
  <headerFooter alignWithMargins="0">
    <oddFooter>&amp;R&amp;8Page &amp;P de &amp;N</oddFooter>
  </headerFooter>
  <drawing r:id="rId2"/>
  <legacyDrawing r:id="rId3"/>
  <controls>
    <mc:AlternateContent xmlns:mc="http://schemas.openxmlformats.org/markup-compatibility/2006">
      <mc:Choice Requires="x14">
        <control shapeId="165891" r:id="rId4" name="ComboBox2">
          <controlPr defaultSize="0" autoLine="0" r:id="rId5">
            <anchor moveWithCells="1">
              <from>
                <xdr:col>4</xdr:col>
                <xdr:colOff>0</xdr:colOff>
                <xdr:row>10</xdr:row>
                <xdr:rowOff>0</xdr:rowOff>
              </from>
              <to>
                <xdr:col>4</xdr:col>
                <xdr:colOff>2965450</xdr:colOff>
                <xdr:row>11</xdr:row>
                <xdr:rowOff>38100</xdr:rowOff>
              </to>
            </anchor>
          </controlPr>
        </control>
      </mc:Choice>
      <mc:Fallback>
        <control shapeId="165891" r:id="rId4" name="ComboBox2"/>
      </mc:Fallback>
    </mc:AlternateContent>
    <mc:AlternateContent xmlns:mc="http://schemas.openxmlformats.org/markup-compatibility/2006">
      <mc:Choice Requires="x14">
        <control shapeId="165890" r:id="rId6" name="ComboBox1">
          <controlPr defaultSize="0" autoLine="0" r:id="rId7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11</xdr:col>
                <xdr:colOff>1803400</xdr:colOff>
                <xdr:row>9</xdr:row>
                <xdr:rowOff>38100</xdr:rowOff>
              </to>
            </anchor>
          </controlPr>
        </control>
      </mc:Choice>
      <mc:Fallback>
        <control shapeId="165890" r:id="rId6" name="ComboBox1"/>
      </mc:Fallback>
    </mc:AlternateContent>
    <mc:AlternateContent xmlns:mc="http://schemas.openxmlformats.org/markup-compatibility/2006">
      <mc:Choice Requires="x14">
        <control shapeId="165889" r:id="rId8" name="Button 1">
          <controlPr defaultSize="0" print="0" autoFill="0" autoPict="0" macro="[0]!test2">
            <anchor moveWithCells="1">
              <from>
                <xdr:col>5</xdr:col>
                <xdr:colOff>222250</xdr:colOff>
                <xdr:row>1</xdr:row>
                <xdr:rowOff>139700</xdr:rowOff>
              </from>
              <to>
                <xdr:col>9</xdr:col>
                <xdr:colOff>1143000</xdr:colOff>
                <xdr:row>4</xdr:row>
                <xdr:rowOff>107950</xdr:rowOff>
              </to>
            </anchor>
          </controlPr>
        </control>
      </mc:Choice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euil82"/>
  <dimension ref="A1:M98"/>
  <sheetViews>
    <sheetView showGridLines="0" zoomScaleNormal="100" workbookViewId="0">
      <pane xSplit="3" ySplit="7" topLeftCell="F8" activePane="bottomRight" state="frozen"/>
      <selection activeCell="C8" sqref="C8"/>
      <selection pane="topRight" activeCell="C8" sqref="C8"/>
      <selection pane="bottomLeft" activeCell="C8" sqref="C8"/>
      <selection pane="bottomRight" activeCell="M2" sqref="M2:M5"/>
    </sheetView>
  </sheetViews>
  <sheetFormatPr baseColWidth="10" defaultColWidth="11.453125" defaultRowHeight="13" x14ac:dyDescent="0.25"/>
  <cols>
    <col min="1" max="2" width="5.6328125" style="1" customWidth="1"/>
    <col min="3" max="3" width="6.6328125" style="1" customWidth="1"/>
    <col min="4" max="4" width="7.54296875" style="1" customWidth="1"/>
    <col min="5" max="5" width="44.453125" style="21" customWidth="1"/>
    <col min="6" max="6" width="10.54296875" style="1" customWidth="1"/>
    <col min="7" max="7" width="13.90625" style="1" customWidth="1"/>
    <col min="8" max="8" width="4.6328125" style="1" hidden="1" customWidth="1"/>
    <col min="9" max="9" width="6.08984375" style="1" customWidth="1"/>
    <col min="10" max="10" width="26.54296875" style="1" customWidth="1"/>
    <col min="11" max="11" width="7.36328125" style="1" customWidth="1"/>
    <col min="12" max="12" width="27" style="24" customWidth="1"/>
    <col min="13" max="13" width="26" style="1" customWidth="1"/>
    <col min="14" max="16384" width="11.453125" style="1"/>
  </cols>
  <sheetData>
    <row r="1" spans="1:13" ht="12.75" customHeight="1" x14ac:dyDescent="0.25">
      <c r="E1" s="71" t="s">
        <v>1023</v>
      </c>
      <c r="F1" s="72"/>
      <c r="L1" s="73" t="s">
        <v>1021</v>
      </c>
      <c r="M1" s="51" t="s">
        <v>1022</v>
      </c>
    </row>
    <row r="2" spans="1:13" ht="12.75" customHeight="1" x14ac:dyDescent="0.25">
      <c r="E2" s="72"/>
      <c r="F2" s="72"/>
      <c r="L2" s="74"/>
      <c r="M2" s="70">
        <f>'24'!M2:M5+1</f>
        <v>42729</v>
      </c>
    </row>
    <row r="3" spans="1:13" ht="12.75" customHeight="1" x14ac:dyDescent="0.25">
      <c r="E3" s="72"/>
      <c r="F3" s="72"/>
      <c r="L3" s="52"/>
      <c r="M3" s="70"/>
    </row>
    <row r="4" spans="1:13" ht="15.75" customHeight="1" x14ac:dyDescent="0.25">
      <c r="E4" s="72"/>
      <c r="F4" s="72"/>
      <c r="L4" s="49" t="s">
        <v>140</v>
      </c>
      <c r="M4" s="70"/>
    </row>
    <row r="5" spans="1:13" ht="21.9" customHeight="1" thickBot="1" x14ac:dyDescent="0.3">
      <c r="L5" s="36"/>
      <c r="M5" s="69">
        <f>M2</f>
        <v>42729</v>
      </c>
    </row>
    <row r="6" spans="1:13" ht="24.9" customHeight="1" x14ac:dyDescent="0.25">
      <c r="A6" s="75" t="s">
        <v>2351</v>
      </c>
      <c r="B6" s="75" t="s">
        <v>2350</v>
      </c>
      <c r="C6" s="76" t="s">
        <v>1362</v>
      </c>
      <c r="D6" s="75" t="s">
        <v>1153</v>
      </c>
      <c r="E6" s="75" t="s">
        <v>1016</v>
      </c>
      <c r="F6" s="76" t="s">
        <v>2352</v>
      </c>
      <c r="G6" s="76" t="s">
        <v>1017</v>
      </c>
      <c r="H6" s="79"/>
      <c r="I6" s="76" t="s">
        <v>1364</v>
      </c>
      <c r="J6" s="76" t="s">
        <v>1363</v>
      </c>
      <c r="K6" s="83" t="s">
        <v>1018</v>
      </c>
      <c r="L6" s="84"/>
      <c r="M6" s="84"/>
    </row>
    <row r="7" spans="1:13" ht="12.5" x14ac:dyDescent="0.25">
      <c r="A7" s="75"/>
      <c r="B7" s="75"/>
      <c r="C7" s="77"/>
      <c r="D7" s="75"/>
      <c r="E7" s="75"/>
      <c r="F7" s="78"/>
      <c r="G7" s="80"/>
      <c r="H7" s="81"/>
      <c r="I7" s="77"/>
      <c r="J7" s="77"/>
      <c r="K7" s="50" t="s">
        <v>1015</v>
      </c>
      <c r="L7" s="50" t="s">
        <v>1019</v>
      </c>
      <c r="M7" s="32" t="s">
        <v>1020</v>
      </c>
    </row>
    <row r="8" spans="1:13" ht="30" customHeight="1" x14ac:dyDescent="0.25">
      <c r="A8" s="45"/>
      <c r="B8" s="45"/>
      <c r="C8" s="30"/>
      <c r="D8" s="46"/>
      <c r="E8" s="27"/>
      <c r="F8" s="31"/>
      <c r="G8" s="82" t="str">
        <f>IF(F8=0,"",VLOOKUP(F8,Employés!$A$2:$B$186,2,0))</f>
        <v/>
      </c>
      <c r="H8" s="82"/>
      <c r="I8" s="34"/>
      <c r="J8" s="33"/>
      <c r="K8" s="19"/>
      <c r="L8" s="20" t="s">
        <v>1420</v>
      </c>
      <c r="M8" s="37" t="str">
        <f>IF(I8=0,"",VLOOKUP(I8,Municipalités!$A$2:$B$1290,2,TRUE))</f>
        <v/>
      </c>
    </row>
    <row r="9" spans="1:13" ht="30" customHeight="1" x14ac:dyDescent="0.25">
      <c r="A9" s="45"/>
      <c r="B9" s="45"/>
      <c r="C9" s="39"/>
      <c r="D9" s="47"/>
      <c r="E9" s="27"/>
      <c r="F9" s="31"/>
      <c r="G9" s="82" t="str">
        <f>IF(F9=0,"",VLOOKUP(F9,Employés!$A$2:$B$186,2,0))</f>
        <v/>
      </c>
      <c r="H9" s="82"/>
      <c r="I9" s="35"/>
      <c r="J9" s="33"/>
      <c r="K9" s="19"/>
      <c r="L9" s="20"/>
      <c r="M9" s="37" t="str">
        <f>IF(I9=0,"",VLOOKUP(I9,Municipalités!$A$2:$B$1290,2,TRUE))</f>
        <v/>
      </c>
    </row>
    <row r="10" spans="1:13" ht="30" customHeight="1" x14ac:dyDescent="0.25">
      <c r="A10" s="45"/>
      <c r="B10" s="45"/>
      <c r="C10" s="39"/>
      <c r="D10" s="48"/>
      <c r="E10" s="28"/>
      <c r="F10" s="31"/>
      <c r="G10" s="82" t="str">
        <f>IF(F10=0,"",VLOOKUP(F10,Employés!$A$2:$B$186,2,0))</f>
        <v/>
      </c>
      <c r="H10" s="82"/>
      <c r="I10" s="35"/>
      <c r="J10" s="29"/>
      <c r="K10" s="19"/>
      <c r="L10" s="20"/>
      <c r="M10" s="37" t="str">
        <f>IF(I10=0,"",VLOOKUP(I10,Municipalités!$A$2:$B$1290,2,TRUE))</f>
        <v/>
      </c>
    </row>
    <row r="11" spans="1:13" ht="30" customHeight="1" x14ac:dyDescent="0.25">
      <c r="A11" s="45"/>
      <c r="B11" s="45"/>
      <c r="C11" s="39"/>
      <c r="D11" s="47"/>
      <c r="E11" s="28" t="s">
        <v>1420</v>
      </c>
      <c r="F11" s="31"/>
      <c r="G11" s="82" t="str">
        <f>IF(F11=0,"",VLOOKUP(F11,Employés!$A$2:$B$186,2,0))</f>
        <v/>
      </c>
      <c r="H11" s="82"/>
      <c r="I11" s="35"/>
      <c r="J11" s="29"/>
      <c r="K11" s="19"/>
      <c r="L11" s="20"/>
      <c r="M11" s="37" t="str">
        <f>IF(I11=0,"",VLOOKUP(I11,Municipalités!$A$2:$B$1290,2,TRUE))</f>
        <v/>
      </c>
    </row>
    <row r="12" spans="1:13" ht="30" customHeight="1" x14ac:dyDescent="0.25">
      <c r="A12" s="45"/>
      <c r="B12" s="45"/>
      <c r="C12" s="39"/>
      <c r="D12" s="46"/>
      <c r="E12" s="27"/>
      <c r="F12" s="31"/>
      <c r="G12" s="82" t="str">
        <f>IF(F12=0,"",VLOOKUP(F12,Employés!$A$2:$B$186,2,0))</f>
        <v/>
      </c>
      <c r="H12" s="82"/>
      <c r="I12" s="35"/>
      <c r="J12" s="29"/>
      <c r="K12" s="19"/>
      <c r="L12" s="20"/>
      <c r="M12" s="37" t="str">
        <f>IF(I12=0,"",VLOOKUP(I12,Municipalités!$A$2:$B$1290,2,TRUE))</f>
        <v/>
      </c>
    </row>
    <row r="13" spans="1:13" ht="30" customHeight="1" x14ac:dyDescent="0.25">
      <c r="A13" s="45"/>
      <c r="B13" s="45"/>
      <c r="C13" s="39"/>
      <c r="D13" s="46"/>
      <c r="E13" s="27"/>
      <c r="F13" s="31"/>
      <c r="G13" s="82" t="str">
        <f>IF(F13=0,"",VLOOKUP(F13,Employés!$A$2:$B$186,2,0))</f>
        <v/>
      </c>
      <c r="H13" s="82"/>
      <c r="I13" s="35"/>
      <c r="J13" s="29"/>
      <c r="K13" s="19"/>
      <c r="L13" s="20"/>
      <c r="M13" s="37" t="str">
        <f>IF(I13=0,"",VLOOKUP(I13,Municipalités!$A$2:$B$1290,2,TRUE))</f>
        <v/>
      </c>
    </row>
    <row r="14" spans="1:13" ht="30" customHeight="1" x14ac:dyDescent="0.25">
      <c r="A14" s="45"/>
      <c r="B14" s="45"/>
      <c r="C14" s="39"/>
      <c r="D14" s="47"/>
      <c r="E14" s="27"/>
      <c r="F14" s="31"/>
      <c r="G14" s="82" t="str">
        <f>IF(F14=0,"",VLOOKUP(F14,Employés!$A$2:$B$186,2,0))</f>
        <v/>
      </c>
      <c r="H14" s="82"/>
      <c r="I14" s="35"/>
      <c r="J14" s="29"/>
      <c r="K14" s="19"/>
      <c r="L14" s="20"/>
      <c r="M14" s="37" t="str">
        <f>IF(I14=0,"",VLOOKUP(I14,Municipalités!$A$2:$B$1290,2,TRUE))</f>
        <v/>
      </c>
    </row>
    <row r="15" spans="1:13" ht="30" customHeight="1" x14ac:dyDescent="0.25">
      <c r="A15" s="45"/>
      <c r="B15" s="45"/>
      <c r="C15" s="39"/>
      <c r="D15" s="47"/>
      <c r="E15" s="27"/>
      <c r="F15" s="31"/>
      <c r="G15" s="82" t="str">
        <f>IF(F15=0,"",VLOOKUP(F15,Employés!$A$2:$B$186,2,0))</f>
        <v/>
      </c>
      <c r="H15" s="82"/>
      <c r="I15" s="35"/>
      <c r="J15" s="29"/>
      <c r="K15" s="19"/>
      <c r="L15" s="20"/>
      <c r="M15" s="37" t="str">
        <f>IF(I15=0,"",VLOOKUP(I15,Municipalités!$A$2:$B$1290,2,TRUE))</f>
        <v/>
      </c>
    </row>
    <row r="16" spans="1:13" ht="30" customHeight="1" x14ac:dyDescent="0.25">
      <c r="A16" s="45"/>
      <c r="B16" s="45"/>
      <c r="C16" s="39"/>
      <c r="D16" s="46"/>
      <c r="E16" s="27"/>
      <c r="F16" s="31"/>
      <c r="G16" s="82" t="str">
        <f>IF(F16=0,"",VLOOKUP(F16,Employés!$A$2:$B$186,2,0))</f>
        <v/>
      </c>
      <c r="H16" s="82"/>
      <c r="I16" s="35"/>
      <c r="J16" s="29"/>
      <c r="K16" s="19"/>
      <c r="L16" s="20"/>
      <c r="M16" s="37" t="str">
        <f>IF(I16=0,"",VLOOKUP(I16,Municipalités!$A$2:$B$1290,2,TRUE))</f>
        <v/>
      </c>
    </row>
    <row r="17" spans="1:13" ht="30" customHeight="1" x14ac:dyDescent="0.25">
      <c r="A17" s="45"/>
      <c r="B17" s="45"/>
      <c r="C17" s="39"/>
      <c r="D17" s="46"/>
      <c r="E17" s="27"/>
      <c r="F17" s="31"/>
      <c r="G17" s="82" t="str">
        <f>IF(F17=0,"",VLOOKUP(F17,Employés!$A$2:$B$186,2,0))</f>
        <v/>
      </c>
      <c r="H17" s="82"/>
      <c r="I17" s="35"/>
      <c r="J17" s="29"/>
      <c r="K17" s="19"/>
      <c r="L17" s="20"/>
      <c r="M17" s="37" t="str">
        <f>IF(I17=0,"",VLOOKUP(I17,Municipalités!$A$2:$B$1290,2,TRUE))</f>
        <v/>
      </c>
    </row>
    <row r="18" spans="1:13" ht="30" customHeight="1" x14ac:dyDescent="0.25">
      <c r="A18" s="45"/>
      <c r="B18" s="45"/>
      <c r="C18" s="39"/>
      <c r="D18" s="46"/>
      <c r="E18" s="27"/>
      <c r="F18" s="31"/>
      <c r="G18" s="82" t="str">
        <f>IF(F18=0,"",VLOOKUP(F18,Employés!$A$2:$B$186,2,0))</f>
        <v/>
      </c>
      <c r="H18" s="82"/>
      <c r="I18" s="35"/>
      <c r="J18" s="29"/>
      <c r="K18" s="19"/>
      <c r="L18" s="20"/>
      <c r="M18" s="37" t="str">
        <f>IF(I18=0,"",VLOOKUP(I18,Municipalités!$A$2:$B$1290,2,TRUE))</f>
        <v/>
      </c>
    </row>
    <row r="19" spans="1:13" ht="30" customHeight="1" x14ac:dyDescent="0.25">
      <c r="A19" s="45"/>
      <c r="B19" s="45"/>
      <c r="C19" s="39"/>
      <c r="D19" s="46"/>
      <c r="E19" s="27"/>
      <c r="F19" s="31"/>
      <c r="G19" s="82" t="str">
        <f>IF(F19=0,"",VLOOKUP(F19,Employés!$A$2:$B$186,2,0))</f>
        <v/>
      </c>
      <c r="H19" s="82"/>
      <c r="I19" s="35"/>
      <c r="J19" s="29"/>
      <c r="K19" s="19"/>
      <c r="L19" s="20"/>
      <c r="M19" s="37" t="str">
        <f>IF(I19=0,"",VLOOKUP(I19,Municipalités!$A$2:$B$1290,2,TRUE))</f>
        <v/>
      </c>
    </row>
    <row r="20" spans="1:13" ht="30" customHeight="1" x14ac:dyDescent="0.25">
      <c r="A20" s="45"/>
      <c r="B20" s="45"/>
      <c r="C20" s="39"/>
      <c r="D20" s="47"/>
      <c r="E20" s="27"/>
      <c r="F20" s="31"/>
      <c r="G20" s="82" t="str">
        <f>IF(F20=0,"",VLOOKUP(F20,Employés!$A$2:$B$186,2,0))</f>
        <v/>
      </c>
      <c r="H20" s="82"/>
      <c r="I20" s="35"/>
      <c r="J20" s="29"/>
      <c r="K20" s="19"/>
      <c r="L20" s="20"/>
      <c r="M20" s="37" t="str">
        <f>IF(I20=0,"",VLOOKUP(I20,Municipalités!$A$2:$B$1290,2,TRUE))</f>
        <v/>
      </c>
    </row>
    <row r="21" spans="1:13" ht="30" customHeight="1" x14ac:dyDescent="0.25">
      <c r="A21" s="45"/>
      <c r="B21" s="45"/>
      <c r="C21" s="39"/>
      <c r="D21" s="47"/>
      <c r="E21" s="27"/>
      <c r="F21" s="31"/>
      <c r="G21" s="82" t="str">
        <f>IF(F21=0,"",VLOOKUP(F21,Employés!$A$2:$B$186,2,0))</f>
        <v/>
      </c>
      <c r="H21" s="82"/>
      <c r="I21" s="35"/>
      <c r="J21" s="29"/>
      <c r="K21" s="19"/>
      <c r="L21" s="20"/>
      <c r="M21" s="37" t="str">
        <f>IF(I21=0,"",VLOOKUP(I21,Municipalités!$A$2:$B$1290,2,TRUE))</f>
        <v/>
      </c>
    </row>
    <row r="22" spans="1:13" ht="30" customHeight="1" x14ac:dyDescent="0.25">
      <c r="A22" s="45"/>
      <c r="B22" s="45"/>
      <c r="C22" s="39"/>
      <c r="D22" s="46"/>
      <c r="E22" s="27"/>
      <c r="F22" s="31"/>
      <c r="G22" s="82" t="str">
        <f>IF(F22=0,"",VLOOKUP(F22,Employés!$A$2:$B$186,2,0))</f>
        <v/>
      </c>
      <c r="H22" s="82"/>
      <c r="I22" s="35"/>
      <c r="J22" s="29"/>
      <c r="K22" s="19"/>
      <c r="L22" s="20"/>
      <c r="M22" s="37" t="str">
        <f>IF(I22=0,"",VLOOKUP(I22,Municipalités!$A$2:$B$1290,2,TRUE))</f>
        <v/>
      </c>
    </row>
    <row r="23" spans="1:13" ht="30" customHeight="1" x14ac:dyDescent="0.25">
      <c r="A23" s="45"/>
      <c r="B23" s="45"/>
      <c r="C23" s="39"/>
      <c r="D23" s="46"/>
      <c r="E23" s="27"/>
      <c r="F23" s="31"/>
      <c r="G23" s="82" t="str">
        <f>IF(F23=0,"",VLOOKUP(F23,Employés!$A$2:$B$186,2,0))</f>
        <v/>
      </c>
      <c r="H23" s="82"/>
      <c r="I23" s="35"/>
      <c r="J23" s="29"/>
      <c r="K23" s="19"/>
      <c r="L23" s="20"/>
      <c r="M23" s="37" t="str">
        <f>IF(I23=0,"",VLOOKUP(I23,Municipalités!$A$2:$B$1290,2,TRUE))</f>
        <v/>
      </c>
    </row>
    <row r="24" spans="1:13" ht="30" customHeight="1" x14ac:dyDescent="0.25">
      <c r="A24" s="45"/>
      <c r="B24" s="45"/>
      <c r="C24" s="39"/>
      <c r="D24" s="46"/>
      <c r="E24" s="27"/>
      <c r="F24" s="31"/>
      <c r="G24" s="82" t="str">
        <f>IF(F24=0,"",VLOOKUP(F24,Employés!$A$2:$B$186,2,0))</f>
        <v/>
      </c>
      <c r="H24" s="82"/>
      <c r="I24" s="35"/>
      <c r="J24" s="29"/>
      <c r="K24" s="19"/>
      <c r="L24" s="20"/>
      <c r="M24" s="37" t="str">
        <f>IF(I24=0,"",VLOOKUP(I24,Municipalités!$A$2:$B$1290,2,TRUE))</f>
        <v/>
      </c>
    </row>
    <row r="25" spans="1:13" ht="30" customHeight="1" x14ac:dyDescent="0.25">
      <c r="A25" s="45"/>
      <c r="B25" s="45"/>
      <c r="C25" s="39"/>
      <c r="D25" s="46"/>
      <c r="E25" s="27"/>
      <c r="F25" s="31"/>
      <c r="G25" s="82" t="str">
        <f>IF(F25=0,"",VLOOKUP(F25,Employés!$A$2:$B$186,2,0))</f>
        <v/>
      </c>
      <c r="H25" s="82"/>
      <c r="I25" s="35"/>
      <c r="J25" s="29"/>
      <c r="K25" s="19"/>
      <c r="L25" s="20"/>
      <c r="M25" s="37" t="str">
        <f>IF(I25=0,"",VLOOKUP(I25,Municipalités!$A$2:$B$1290,2,TRUE))</f>
        <v/>
      </c>
    </row>
    <row r="26" spans="1:13" ht="30" customHeight="1" x14ac:dyDescent="0.25">
      <c r="A26" s="45"/>
      <c r="B26" s="45"/>
      <c r="C26" s="39"/>
      <c r="D26" s="46"/>
      <c r="E26" s="27"/>
      <c r="F26" s="31"/>
      <c r="G26" s="82" t="str">
        <f>IF(F26=0,"",VLOOKUP(F26,Employés!$A$2:$B$186,2,0))</f>
        <v/>
      </c>
      <c r="H26" s="82"/>
      <c r="I26" s="35"/>
      <c r="J26" s="29"/>
      <c r="K26" s="19"/>
      <c r="L26" s="20"/>
      <c r="M26" s="37" t="str">
        <f>IF(I26=0,"",VLOOKUP(I26,Municipalités!$A$2:$B$1290,2,TRUE))</f>
        <v/>
      </c>
    </row>
    <row r="27" spans="1:13" ht="30" customHeight="1" x14ac:dyDescent="0.25">
      <c r="A27" s="45"/>
      <c r="B27" s="45"/>
      <c r="C27" s="39"/>
      <c r="D27" s="46"/>
      <c r="E27" s="27"/>
      <c r="F27" s="31"/>
      <c r="G27" s="82" t="str">
        <f>IF(F27=0,"",VLOOKUP(F27,Employés!$A$2:$B$186,2,0))</f>
        <v/>
      </c>
      <c r="H27" s="82"/>
      <c r="I27" s="35"/>
      <c r="J27" s="29"/>
      <c r="K27" s="19"/>
      <c r="L27" s="20"/>
      <c r="M27" s="37" t="str">
        <f>IF(I27=0,"",VLOOKUP(I27,Municipalités!$A$2:$B$1290,2,TRUE))</f>
        <v/>
      </c>
    </row>
    <row r="28" spans="1:13" ht="30" customHeight="1" x14ac:dyDescent="0.25">
      <c r="A28" s="45"/>
      <c r="B28" s="45"/>
      <c r="C28" s="39"/>
      <c r="D28" s="46"/>
      <c r="E28" s="27"/>
      <c r="F28" s="31"/>
      <c r="G28" s="82" t="str">
        <f>IF(F28=0,"",VLOOKUP(F28,Employés!$A$2:$B$186,2,0))</f>
        <v/>
      </c>
      <c r="H28" s="82"/>
      <c r="I28" s="35"/>
      <c r="J28" s="29"/>
      <c r="K28" s="19"/>
      <c r="L28" s="20"/>
      <c r="M28" s="37" t="str">
        <f>IF(I28=0,"",VLOOKUP(I28,Municipalités!$A$2:$B$1290,2,TRUE))</f>
        <v/>
      </c>
    </row>
    <row r="29" spans="1:13" ht="30" customHeight="1" x14ac:dyDescent="0.25">
      <c r="A29" s="45"/>
      <c r="B29" s="45"/>
      <c r="C29" s="39"/>
      <c r="D29" s="46"/>
      <c r="E29" s="27"/>
      <c r="F29" s="31"/>
      <c r="G29" s="82" t="str">
        <f>IF(F29=0,"",VLOOKUP(F29,Employés!$A$2:$B$186,2,0))</f>
        <v/>
      </c>
      <c r="H29" s="82"/>
      <c r="I29" s="35"/>
      <c r="J29" s="29"/>
      <c r="K29" s="19"/>
      <c r="L29" s="20"/>
      <c r="M29" s="37" t="str">
        <f>IF(I29=0,"",VLOOKUP(I29,Municipalités!$A$2:$B$1290,2,TRUE))</f>
        <v/>
      </c>
    </row>
    <row r="30" spans="1:13" ht="30" customHeight="1" x14ac:dyDescent="0.25">
      <c r="A30" s="45"/>
      <c r="B30" s="45"/>
      <c r="C30" s="39"/>
      <c r="D30" s="46"/>
      <c r="E30" s="27"/>
      <c r="F30" s="31"/>
      <c r="G30" s="82" t="str">
        <f>IF(F30=0,"",VLOOKUP(F30,Employés!$A$2:$B$186,2,0))</f>
        <v/>
      </c>
      <c r="H30" s="82"/>
      <c r="I30" s="35"/>
      <c r="J30" s="29"/>
      <c r="K30" s="19"/>
      <c r="L30" s="20"/>
      <c r="M30" s="37" t="str">
        <f>IF(I30=0,"",VLOOKUP(I30,Municipalités!$A$2:$B$1290,2,TRUE))</f>
        <v/>
      </c>
    </row>
    <row r="31" spans="1:13" ht="30" customHeight="1" x14ac:dyDescent="0.25">
      <c r="A31" s="45"/>
      <c r="B31" s="45"/>
      <c r="C31" s="39"/>
      <c r="D31" s="47"/>
      <c r="E31" s="27"/>
      <c r="F31" s="31"/>
      <c r="G31" s="82" t="str">
        <f>IF(F31=0,"",VLOOKUP(F31,Employés!$A$2:$B$186,2,0))</f>
        <v/>
      </c>
      <c r="H31" s="82"/>
      <c r="I31" s="35"/>
      <c r="J31" s="29"/>
      <c r="K31" s="19"/>
      <c r="L31" s="20"/>
      <c r="M31" s="37" t="str">
        <f>IF(I31=0,"",VLOOKUP(I31,Municipalités!$A$2:$B$1290,2,TRUE))</f>
        <v/>
      </c>
    </row>
    <row r="32" spans="1:13" ht="30" customHeight="1" x14ac:dyDescent="0.25">
      <c r="A32" s="45"/>
      <c r="B32" s="45"/>
      <c r="C32" s="39"/>
      <c r="D32" s="46"/>
      <c r="E32" s="27"/>
      <c r="F32" s="31"/>
      <c r="G32" s="82" t="str">
        <f>IF(F32=0,"",VLOOKUP(F32,Employés!$A$2:$B$186,2,0))</f>
        <v/>
      </c>
      <c r="H32" s="82"/>
      <c r="I32" s="35"/>
      <c r="J32" s="29"/>
      <c r="K32" s="19"/>
      <c r="L32" s="20"/>
      <c r="M32" s="37" t="str">
        <f>IF(I32=0,"",VLOOKUP(I32,Municipalités!$A$2:$B$1290,2,TRUE))</f>
        <v/>
      </c>
    </row>
    <row r="33" spans="1:13" ht="30" customHeight="1" x14ac:dyDescent="0.25">
      <c r="A33" s="45"/>
      <c r="B33" s="45"/>
      <c r="C33" s="39"/>
      <c r="D33" s="46"/>
      <c r="E33" s="27"/>
      <c r="F33" s="31"/>
      <c r="G33" s="82" t="str">
        <f>IF(F33=0,"",VLOOKUP(F33,Employés!$A$2:$B$186,2,0))</f>
        <v/>
      </c>
      <c r="H33" s="82"/>
      <c r="I33" s="35"/>
      <c r="J33" s="29"/>
      <c r="K33" s="19"/>
      <c r="L33" s="20"/>
      <c r="M33" s="37" t="str">
        <f>IF(I33=0,"",VLOOKUP(I33,Municipalités!$A$2:$B$1290,2,TRUE))</f>
        <v/>
      </c>
    </row>
    <row r="34" spans="1:13" ht="30" customHeight="1" x14ac:dyDescent="0.25">
      <c r="A34" s="45"/>
      <c r="B34" s="45"/>
      <c r="C34" s="39"/>
      <c r="D34" s="46"/>
      <c r="E34" s="27"/>
      <c r="F34" s="31"/>
      <c r="G34" s="82" t="str">
        <f>IF(F34=0,"",VLOOKUP(F34,Employés!$A$2:$B$186,2,0))</f>
        <v/>
      </c>
      <c r="H34" s="82"/>
      <c r="I34" s="35"/>
      <c r="J34" s="29"/>
      <c r="K34" s="19"/>
      <c r="L34" s="20"/>
      <c r="M34" s="37" t="str">
        <f>IF(I34=0,"",VLOOKUP(I34,Municipalités!$A$2:$B$1290,2,TRUE))</f>
        <v/>
      </c>
    </row>
    <row r="35" spans="1:13" ht="30" customHeight="1" x14ac:dyDescent="0.25">
      <c r="A35" s="45"/>
      <c r="B35" s="45"/>
      <c r="C35" s="30"/>
      <c r="D35" s="46"/>
      <c r="E35" s="27"/>
      <c r="F35" s="31"/>
      <c r="G35" s="82" t="str">
        <f>IF(F35=0,"",VLOOKUP(F35,Employés!$A$2:$B$186,2,0))</f>
        <v/>
      </c>
      <c r="H35" s="82"/>
      <c r="I35" s="35"/>
      <c r="J35" s="29"/>
      <c r="K35" s="19"/>
      <c r="L35" s="20"/>
      <c r="M35" s="37" t="str">
        <f>IF(I35=0,"",VLOOKUP(I35,Municipalités!$A$2:$B$1290,2,TRUE))</f>
        <v/>
      </c>
    </row>
    <row r="36" spans="1:13" ht="30" customHeight="1" x14ac:dyDescent="0.25">
      <c r="A36" s="45"/>
      <c r="B36" s="45"/>
      <c r="C36" s="30"/>
      <c r="D36" s="46"/>
      <c r="E36" s="27"/>
      <c r="F36" s="31"/>
      <c r="G36" s="82" t="str">
        <f>IF(F36=0,"",VLOOKUP(F36,Employés!$A$2:$B$186,2,0))</f>
        <v/>
      </c>
      <c r="H36" s="82"/>
      <c r="I36" s="35"/>
      <c r="J36" s="29"/>
      <c r="K36" s="19"/>
      <c r="L36" s="20"/>
      <c r="M36" s="37" t="str">
        <f>IF(I36=0,"",VLOOKUP(I36,Municipalités!$A$2:$B$1290,2,TRUE))</f>
        <v/>
      </c>
    </row>
    <row r="37" spans="1:13" ht="30" customHeight="1" x14ac:dyDescent="0.25">
      <c r="A37" s="45"/>
      <c r="B37" s="45"/>
      <c r="C37" s="39"/>
      <c r="D37" s="46"/>
      <c r="E37" s="27"/>
      <c r="F37" s="31"/>
      <c r="G37" s="82" t="str">
        <f>IF(F37=0,"",VLOOKUP(F37,Employés!$A$2:$B$186,2,0))</f>
        <v/>
      </c>
      <c r="H37" s="82"/>
      <c r="I37" s="35"/>
      <c r="J37" s="29"/>
      <c r="K37" s="19"/>
      <c r="L37" s="20"/>
      <c r="M37" s="37" t="str">
        <f>IF(I37=0,"",VLOOKUP(I37,Municipalités!$A$2:$B$1290,2,TRUE))</f>
        <v/>
      </c>
    </row>
    <row r="38" spans="1:13" ht="30" customHeight="1" x14ac:dyDescent="0.25">
      <c r="A38" s="45"/>
      <c r="B38" s="45"/>
      <c r="C38" s="39"/>
      <c r="D38" s="47"/>
      <c r="E38" s="27"/>
      <c r="F38" s="31"/>
      <c r="G38" s="82" t="str">
        <f>IF(F38=0,"",VLOOKUP(F38,Employés!$A$2:$B$186,2,0))</f>
        <v/>
      </c>
      <c r="H38" s="82"/>
      <c r="I38" s="35"/>
      <c r="J38" s="29"/>
      <c r="K38" s="19"/>
      <c r="L38" s="20"/>
      <c r="M38" s="37" t="str">
        <f>IF(I38=0,"",VLOOKUP(I38,Municipalités!$A$2:$B$1290,2,TRUE))</f>
        <v/>
      </c>
    </row>
    <row r="39" spans="1:13" ht="30" customHeight="1" x14ac:dyDescent="0.25">
      <c r="A39" s="45"/>
      <c r="B39" s="45"/>
      <c r="C39" s="39"/>
      <c r="D39" s="45"/>
      <c r="E39" s="27"/>
      <c r="F39" s="31"/>
      <c r="G39" s="82" t="str">
        <f>IF(F39=0,"",VLOOKUP(F39,Employés!$A$2:$B$186,2,0))</f>
        <v/>
      </c>
      <c r="H39" s="82"/>
      <c r="I39" s="35"/>
      <c r="J39" s="29"/>
      <c r="K39" s="26"/>
      <c r="L39" s="25"/>
      <c r="M39" s="37" t="str">
        <f>IF(I39=0,"",VLOOKUP(I39,Municipalités!$A$2:$B$1290,2,TRUE))</f>
        <v/>
      </c>
    </row>
    <row r="40" spans="1:13" ht="30" customHeight="1" x14ac:dyDescent="0.25">
      <c r="A40" s="8"/>
      <c r="B40" s="8"/>
      <c r="C40" s="30"/>
      <c r="D40" s="8"/>
      <c r="E40" s="27"/>
      <c r="F40" s="31"/>
      <c r="G40" s="82" t="str">
        <f>IF(F40=0,"",VLOOKUP(F40,Employés!$A$2:$B$186,2,0))</f>
        <v/>
      </c>
      <c r="H40" s="82"/>
      <c r="I40" s="35"/>
      <c r="J40" s="29"/>
      <c r="K40" s="26"/>
      <c r="L40" s="25"/>
      <c r="M40" s="37" t="str">
        <f>IF(I40=0,"",VLOOKUP(I40,Municipalités!$A$2:$B$1290,2,TRUE))</f>
        <v/>
      </c>
    </row>
    <row r="41" spans="1:13" ht="30" customHeight="1" x14ac:dyDescent="0.25">
      <c r="A41" s="8"/>
      <c r="B41" s="8"/>
      <c r="C41" s="30"/>
      <c r="D41" s="8"/>
      <c r="E41" s="27"/>
      <c r="F41" s="31"/>
      <c r="G41" s="82" t="str">
        <f>IF(F41=0,"",VLOOKUP(F41,Employés!$A$2:$B$186,2,0))</f>
        <v/>
      </c>
      <c r="H41" s="82"/>
      <c r="I41" s="35"/>
      <c r="J41" s="29"/>
      <c r="K41" s="26"/>
      <c r="L41" s="25"/>
      <c r="M41" s="37" t="str">
        <f>IF(I41=0,"",VLOOKUP(I41,Municipalités!$A$2:$B$1290,2,TRUE))</f>
        <v/>
      </c>
    </row>
    <row r="42" spans="1:13" ht="30" customHeight="1" x14ac:dyDescent="0.25">
      <c r="A42" s="8"/>
      <c r="B42" s="8"/>
      <c r="C42" s="30"/>
      <c r="D42" s="8"/>
      <c r="E42" s="27"/>
      <c r="F42" s="31"/>
      <c r="G42" s="82" t="str">
        <f>IF(F42=0,"",VLOOKUP(F42,Employés!$A$2:$B$186,2,0))</f>
        <v/>
      </c>
      <c r="H42" s="82"/>
      <c r="I42" s="35"/>
      <c r="J42" s="29"/>
      <c r="K42" s="26"/>
      <c r="L42" s="25"/>
      <c r="M42" s="37" t="str">
        <f>IF(I42=0,"",VLOOKUP(I42,Municipalités!$A$2:$B$1290,2,TRUE))</f>
        <v/>
      </c>
    </row>
    <row r="43" spans="1:13" ht="30" customHeight="1" x14ac:dyDescent="0.25">
      <c r="A43" s="8"/>
      <c r="B43" s="8"/>
      <c r="C43" s="30"/>
      <c r="D43" s="8"/>
      <c r="E43" s="27" t="s">
        <v>1420</v>
      </c>
      <c r="F43" s="31"/>
      <c r="G43" s="82" t="str">
        <f>IF(F43=0,"",VLOOKUP(F43,Employés!$A$2:$B$186,2,0))</f>
        <v/>
      </c>
      <c r="H43" s="82"/>
      <c r="I43" s="35"/>
      <c r="J43" s="29"/>
      <c r="K43" s="26"/>
      <c r="L43" s="25" t="s">
        <v>1420</v>
      </c>
      <c r="M43" s="37" t="str">
        <f>IF(I43=0,"",VLOOKUP(I43,Municipalités!$A$2:$B$1290,2,TRUE))</f>
        <v/>
      </c>
    </row>
    <row r="44" spans="1:13" ht="30" customHeight="1" x14ac:dyDescent="0.25">
      <c r="A44" s="8"/>
      <c r="B44" s="8"/>
      <c r="C44" s="30"/>
      <c r="D44" s="8"/>
      <c r="E44" s="27"/>
      <c r="F44" s="31"/>
      <c r="G44" s="82" t="str">
        <f>IF(F44=0,"",VLOOKUP(F44,Employés!$A$2:$B$186,2,0))</f>
        <v/>
      </c>
      <c r="H44" s="82"/>
      <c r="I44" s="35"/>
      <c r="J44" s="29"/>
      <c r="K44" s="26"/>
      <c r="L44" s="25"/>
      <c r="M44" s="37" t="str">
        <f>IF(I44=0,"",VLOOKUP(I44,Municipalités!$A$2:$B$1290,2,TRUE))</f>
        <v/>
      </c>
    </row>
    <row r="45" spans="1:13" ht="30" customHeight="1" x14ac:dyDescent="0.25">
      <c r="A45" s="8"/>
      <c r="B45" s="8"/>
      <c r="C45" s="30"/>
      <c r="D45" s="8"/>
      <c r="E45" s="27"/>
      <c r="F45" s="31"/>
      <c r="G45" s="82" t="str">
        <f>IF(F45=0,"",VLOOKUP(F45,Employés!$A$2:$B$186,2,0))</f>
        <v/>
      </c>
      <c r="H45" s="82"/>
      <c r="I45" s="35"/>
      <c r="J45" s="29"/>
      <c r="K45" s="26"/>
      <c r="L45" s="25"/>
      <c r="M45" s="37" t="str">
        <f>IF(I45=0,"",VLOOKUP(I45,Municipalités!$A$2:$B$1290,2,TRUE))</f>
        <v/>
      </c>
    </row>
    <row r="46" spans="1:13" ht="30" customHeight="1" x14ac:dyDescent="0.25">
      <c r="A46" s="8"/>
      <c r="B46" s="8"/>
      <c r="C46" s="30"/>
      <c r="D46" s="8"/>
      <c r="E46" s="27"/>
      <c r="F46" s="31"/>
      <c r="G46" s="82" t="str">
        <f>IF(F46=0,"",VLOOKUP(F46,Employés!$A$2:$B$186,2,0))</f>
        <v/>
      </c>
      <c r="H46" s="82"/>
      <c r="I46" s="35"/>
      <c r="J46" s="29"/>
      <c r="K46" s="26"/>
      <c r="L46" s="25"/>
      <c r="M46" s="37" t="str">
        <f>IF(I46=0,"",VLOOKUP(I46,Municipalités!$A$2:$B$1290,2,TRUE))</f>
        <v/>
      </c>
    </row>
    <row r="47" spans="1:13" ht="30" customHeight="1" x14ac:dyDescent="0.25">
      <c r="A47" s="8"/>
      <c r="B47" s="8"/>
      <c r="C47" s="30"/>
      <c r="D47" s="8"/>
      <c r="E47" s="27"/>
      <c r="F47" s="31"/>
      <c r="G47" s="82" t="str">
        <f>IF(F47=0,"",VLOOKUP(F47,Employés!$A$2:$B$186,2,0))</f>
        <v/>
      </c>
      <c r="H47" s="82"/>
      <c r="I47" s="35"/>
      <c r="J47" s="29"/>
      <c r="K47" s="26"/>
      <c r="L47" s="25"/>
      <c r="M47" s="37" t="str">
        <f>IF(I47=0,"",VLOOKUP(I47,Municipalités!$A$2:$B$1290,2,TRUE))</f>
        <v/>
      </c>
    </row>
    <row r="48" spans="1:13" ht="30" customHeight="1" x14ac:dyDescent="0.25">
      <c r="A48" s="8"/>
      <c r="B48" s="8"/>
      <c r="C48" s="30"/>
      <c r="D48" s="8"/>
      <c r="E48" s="27"/>
      <c r="F48" s="31"/>
      <c r="G48" s="82" t="str">
        <f>IF(F48=0,"",VLOOKUP(F48,Employés!$A$2:$B$186,2,0))</f>
        <v/>
      </c>
      <c r="H48" s="82"/>
      <c r="I48" s="35"/>
      <c r="J48" s="29"/>
      <c r="K48" s="26"/>
      <c r="L48" s="25"/>
      <c r="M48" s="37" t="str">
        <f>IF(I48=0,"",VLOOKUP(I48,Municipalités!$A$2:$B$1290,2,TRUE))</f>
        <v/>
      </c>
    </row>
    <row r="49" spans="1:13" ht="30" customHeight="1" x14ac:dyDescent="0.25">
      <c r="A49" s="8"/>
      <c r="B49" s="8"/>
      <c r="C49" s="30"/>
      <c r="D49" s="8"/>
      <c r="E49" s="27"/>
      <c r="F49" s="31"/>
      <c r="G49" s="82" t="str">
        <f>IF(F49=0,"",VLOOKUP(F49,Employés!$A$2:$B$186,2,0))</f>
        <v/>
      </c>
      <c r="H49" s="82"/>
      <c r="I49" s="35"/>
      <c r="J49" s="29"/>
      <c r="K49" s="26"/>
      <c r="L49" s="25"/>
      <c r="M49" s="37" t="str">
        <f>IF(I49=0,"",VLOOKUP(I49,Municipalités!$A$2:$B$1290,2,TRUE))</f>
        <v/>
      </c>
    </row>
    <row r="50" spans="1:13" ht="30" customHeight="1" x14ac:dyDescent="0.25">
      <c r="A50" s="8"/>
      <c r="B50" s="8"/>
      <c r="C50" s="30"/>
      <c r="D50" s="8"/>
      <c r="E50" s="27"/>
      <c r="F50" s="31"/>
      <c r="G50" s="82" t="str">
        <f>IF(F50=0,"",VLOOKUP(F50,Employés!$A$2:$B$186,2,0))</f>
        <v/>
      </c>
      <c r="H50" s="82"/>
      <c r="I50" s="35"/>
      <c r="J50" s="29"/>
      <c r="K50" s="26"/>
      <c r="L50" s="25"/>
      <c r="M50" s="37" t="str">
        <f>IF(I50=0,"",VLOOKUP(I50,Municipalités!$A$2:$B$1290,2,TRUE))</f>
        <v/>
      </c>
    </row>
    <row r="51" spans="1:13" ht="30" customHeight="1" x14ac:dyDescent="0.25">
      <c r="A51" s="8"/>
      <c r="B51" s="8"/>
      <c r="C51" s="30"/>
      <c r="D51" s="8"/>
      <c r="E51" s="27"/>
      <c r="F51" s="31"/>
      <c r="G51" s="82" t="str">
        <f>IF(F51=0,"",VLOOKUP(F51,Employés!$A$2:$B$186,2,0))</f>
        <v/>
      </c>
      <c r="H51" s="82"/>
      <c r="I51" s="35"/>
      <c r="J51" s="29"/>
      <c r="K51" s="26"/>
      <c r="L51" s="25"/>
      <c r="M51" s="37" t="str">
        <f>IF(I51=0,"",VLOOKUP(I51,Municipalités!$A$2:$B$1290,2,TRUE))</f>
        <v/>
      </c>
    </row>
    <row r="52" spans="1:13" ht="30" customHeight="1" x14ac:dyDescent="0.25">
      <c r="A52" s="8"/>
      <c r="B52" s="8"/>
      <c r="C52" s="30"/>
      <c r="D52" s="8"/>
      <c r="E52" s="27"/>
      <c r="F52" s="31"/>
      <c r="G52" s="82" t="str">
        <f>IF(F52=0,"",VLOOKUP(F52,Employés!$A$2:$B$186,2,0))</f>
        <v/>
      </c>
      <c r="H52" s="82"/>
      <c r="I52" s="35"/>
      <c r="J52" s="29"/>
      <c r="K52" s="26"/>
      <c r="L52" s="25"/>
      <c r="M52" s="37" t="str">
        <f>IF(I52=0,"",VLOOKUP(I52,Municipalités!$A$2:$B$1290,2,TRUE))</f>
        <v/>
      </c>
    </row>
    <row r="53" spans="1:13" ht="30" customHeight="1" x14ac:dyDescent="0.25">
      <c r="A53" s="8"/>
      <c r="B53" s="8"/>
      <c r="C53" s="30"/>
      <c r="D53" s="8"/>
      <c r="E53" s="27"/>
      <c r="F53" s="31"/>
      <c r="G53" s="82" t="str">
        <f>IF(F53=0,"",VLOOKUP(F53,Employés!$A$2:$B$186,2,0))</f>
        <v/>
      </c>
      <c r="H53" s="82"/>
      <c r="I53" s="35"/>
      <c r="J53" s="29"/>
      <c r="K53" s="26"/>
      <c r="L53" s="25"/>
      <c r="M53" s="37" t="str">
        <f>IF(I53=0,"",VLOOKUP(I53,Municipalités!$A$2:$B$1290,2,TRUE))</f>
        <v/>
      </c>
    </row>
    <row r="54" spans="1:13" ht="30" customHeight="1" x14ac:dyDescent="0.25">
      <c r="A54" s="8"/>
      <c r="B54" s="8"/>
      <c r="C54" s="30"/>
      <c r="D54" s="8"/>
      <c r="E54" s="27"/>
      <c r="F54" s="31"/>
      <c r="G54" s="82" t="str">
        <f>IF(F54=0,"",VLOOKUP(F54,Employés!$A$2:$B$186,2,0))</f>
        <v/>
      </c>
      <c r="H54" s="82"/>
      <c r="I54" s="35"/>
      <c r="J54" s="29"/>
      <c r="K54" s="26"/>
      <c r="L54" s="25"/>
      <c r="M54" s="37" t="str">
        <f>IF(I54=0,"",VLOOKUP(I54,Municipalités!$A$2:$B$1290,2,TRUE))</f>
        <v/>
      </c>
    </row>
    <row r="55" spans="1:13" ht="30" customHeight="1" x14ac:dyDescent="0.25">
      <c r="A55" s="8"/>
      <c r="B55" s="8"/>
      <c r="C55" s="30"/>
      <c r="D55" s="8"/>
      <c r="E55" s="27"/>
      <c r="F55" s="31"/>
      <c r="G55" s="82" t="str">
        <f>IF(F55=0,"",VLOOKUP(F55,Employés!$A$2:$B$186,2,0))</f>
        <v/>
      </c>
      <c r="H55" s="82"/>
      <c r="I55" s="35"/>
      <c r="J55" s="29"/>
      <c r="K55" s="26"/>
      <c r="L55" s="25"/>
      <c r="M55" s="37" t="str">
        <f>IF(I55=0,"",VLOOKUP(I55,Municipalités!$A$2:$B$1290,2,TRUE))</f>
        <v/>
      </c>
    </row>
    <row r="56" spans="1:13" ht="30" customHeight="1" x14ac:dyDescent="0.25">
      <c r="A56" s="8"/>
      <c r="B56" s="8"/>
      <c r="C56" s="30"/>
      <c r="D56" s="8"/>
      <c r="E56" s="27"/>
      <c r="F56" s="31"/>
      <c r="G56" s="82" t="str">
        <f>IF(F56=0,"",VLOOKUP(F56,Employés!$A$2:$B$186,2,0))</f>
        <v/>
      </c>
      <c r="H56" s="82"/>
      <c r="I56" s="35"/>
      <c r="J56" s="29"/>
      <c r="K56" s="26"/>
      <c r="L56" s="25"/>
      <c r="M56" s="37" t="str">
        <f>IF(I56=0,"",VLOOKUP(I56,Municipalités!$A$2:$B$1290,2,TRUE))</f>
        <v/>
      </c>
    </row>
    <row r="57" spans="1:13" ht="30" customHeight="1" x14ac:dyDescent="0.25">
      <c r="A57" s="8"/>
      <c r="B57" s="8"/>
      <c r="C57" s="30"/>
      <c r="D57" s="8"/>
      <c r="E57" s="27"/>
      <c r="F57" s="31"/>
      <c r="G57" s="82" t="str">
        <f>IF(F57=0,"",VLOOKUP(F57,Employés!$A$2:$B$186,2,0))</f>
        <v/>
      </c>
      <c r="H57" s="82"/>
      <c r="I57" s="35"/>
      <c r="J57" s="29"/>
      <c r="K57" s="26"/>
      <c r="L57" s="25"/>
      <c r="M57" s="37" t="str">
        <f>IF(I57=0,"",VLOOKUP(I57,Municipalités!$A$2:$B$1290,2,TRUE))</f>
        <v/>
      </c>
    </row>
    <row r="58" spans="1:13" ht="30" customHeight="1" x14ac:dyDescent="0.25">
      <c r="A58" s="8"/>
      <c r="B58" s="8"/>
      <c r="C58" s="30"/>
      <c r="D58" s="8"/>
      <c r="E58" s="27"/>
      <c r="F58" s="31"/>
      <c r="G58" s="82" t="str">
        <f>IF(F58=0,"",VLOOKUP(F58,Employés!$A$2:$B$186,2,0))</f>
        <v/>
      </c>
      <c r="H58" s="82"/>
      <c r="I58" s="35"/>
      <c r="J58" s="29"/>
      <c r="K58" s="26"/>
      <c r="L58" s="25"/>
      <c r="M58" s="37" t="str">
        <f>IF(I58=0,"",VLOOKUP(I58,Municipalités!$A$2:$B$1290,2,TRUE))</f>
        <v/>
      </c>
    </row>
    <row r="59" spans="1:13" ht="30" customHeight="1" x14ac:dyDescent="0.25">
      <c r="A59" s="8"/>
      <c r="B59" s="8"/>
      <c r="C59" s="30"/>
      <c r="D59" s="8"/>
      <c r="E59" s="27"/>
      <c r="F59" s="31"/>
      <c r="G59" s="82" t="str">
        <f>IF(F59=0,"",VLOOKUP(F59,Employés!$A$2:$B$186,2,0))</f>
        <v/>
      </c>
      <c r="H59" s="82"/>
      <c r="I59" s="35"/>
      <c r="J59" s="29"/>
      <c r="K59" s="26"/>
      <c r="L59" s="25"/>
      <c r="M59" s="37" t="str">
        <f>IF(I59=0,"",VLOOKUP(I59,Municipalités!$A$2:$B$1290,2,TRUE))</f>
        <v/>
      </c>
    </row>
    <row r="60" spans="1:13" ht="30" customHeight="1" x14ac:dyDescent="0.25">
      <c r="A60" s="8"/>
      <c r="B60" s="8"/>
      <c r="C60" s="30"/>
      <c r="D60" s="8"/>
      <c r="E60" s="27"/>
      <c r="F60" s="31"/>
      <c r="G60" s="82" t="str">
        <f>IF(F60=0,"",VLOOKUP(F60,Employés!$A$2:$B$186,2,0))</f>
        <v/>
      </c>
      <c r="H60" s="82"/>
      <c r="I60" s="35"/>
      <c r="J60" s="29"/>
      <c r="K60" s="26"/>
      <c r="L60" s="25"/>
      <c r="M60" s="37" t="str">
        <f>IF(I60=0,"",VLOOKUP(I60,Municipalités!$A$2:$B$1290,2,TRUE))</f>
        <v/>
      </c>
    </row>
    <row r="61" spans="1:13" ht="30" customHeight="1" x14ac:dyDescent="0.25">
      <c r="A61" s="8"/>
      <c r="B61" s="8"/>
      <c r="C61" s="30"/>
      <c r="D61" s="8"/>
      <c r="E61" s="27"/>
      <c r="F61" s="31"/>
      <c r="G61" s="82" t="str">
        <f>IF(F61=0,"",VLOOKUP(F61,Employés!$A$2:$B$186,2,0))</f>
        <v/>
      </c>
      <c r="H61" s="82"/>
      <c r="I61" s="35"/>
      <c r="J61" s="29"/>
      <c r="K61" s="26"/>
      <c r="L61" s="25"/>
      <c r="M61" s="37" t="str">
        <f>IF(I61=0,"",VLOOKUP(I61,Municipalités!$A$2:$B$1290,2,TRUE))</f>
        <v/>
      </c>
    </row>
    <row r="62" spans="1:13" x14ac:dyDescent="0.25">
      <c r="C62" s="14"/>
    </row>
    <row r="63" spans="1:13" x14ac:dyDescent="0.25">
      <c r="C63" s="14"/>
    </row>
    <row r="64" spans="1:13" x14ac:dyDescent="0.25">
      <c r="C64" s="14"/>
    </row>
    <row r="65" spans="3:5" x14ac:dyDescent="0.25">
      <c r="C65" s="14"/>
    </row>
    <row r="66" spans="3:5" x14ac:dyDescent="0.25">
      <c r="C66" s="14"/>
    </row>
    <row r="67" spans="3:5" x14ac:dyDescent="0.25">
      <c r="C67" s="14"/>
    </row>
    <row r="68" spans="3:5" x14ac:dyDescent="0.25">
      <c r="C68" s="14"/>
    </row>
    <row r="69" spans="3:5" x14ac:dyDescent="0.25">
      <c r="C69" s="14"/>
    </row>
    <row r="70" spans="3:5" x14ac:dyDescent="0.25">
      <c r="C70" s="14"/>
    </row>
    <row r="71" spans="3:5" x14ac:dyDescent="0.25">
      <c r="C71" s="14"/>
    </row>
    <row r="72" spans="3:5" x14ac:dyDescent="0.25">
      <c r="C72" s="14"/>
    </row>
    <row r="73" spans="3:5" x14ac:dyDescent="0.25">
      <c r="C73" s="14"/>
    </row>
    <row r="74" spans="3:5" x14ac:dyDescent="0.25">
      <c r="C74" s="14"/>
    </row>
    <row r="75" spans="3:5" x14ac:dyDescent="0.25">
      <c r="C75" s="14"/>
    </row>
    <row r="76" spans="3:5" x14ac:dyDescent="0.25">
      <c r="C76" s="14"/>
    </row>
    <row r="77" spans="3:5" x14ac:dyDescent="0.25">
      <c r="C77" s="14"/>
    </row>
    <row r="78" spans="3:5" x14ac:dyDescent="0.25">
      <c r="C78" s="14"/>
      <c r="E78" s="21" t="s">
        <v>1420</v>
      </c>
    </row>
    <row r="79" spans="3:5" x14ac:dyDescent="0.25">
      <c r="C79" s="14"/>
    </row>
    <row r="80" spans="3:5" x14ac:dyDescent="0.25">
      <c r="C80" s="14"/>
    </row>
    <row r="81" spans="3:3" x14ac:dyDescent="0.25">
      <c r="C81" s="14"/>
    </row>
    <row r="82" spans="3:3" x14ac:dyDescent="0.25">
      <c r="C82" s="14"/>
    </row>
    <row r="83" spans="3:3" x14ac:dyDescent="0.25">
      <c r="C83" s="14"/>
    </row>
    <row r="84" spans="3:3" x14ac:dyDescent="0.25">
      <c r="C84" s="14"/>
    </row>
    <row r="85" spans="3:3" x14ac:dyDescent="0.25">
      <c r="C85" s="14"/>
    </row>
    <row r="86" spans="3:3" x14ac:dyDescent="0.25">
      <c r="C86" s="14"/>
    </row>
    <row r="87" spans="3:3" x14ac:dyDescent="0.25">
      <c r="C87" s="14"/>
    </row>
    <row r="88" spans="3:3" x14ac:dyDescent="0.25">
      <c r="C88" s="14"/>
    </row>
    <row r="89" spans="3:3" x14ac:dyDescent="0.25">
      <c r="C89" s="14"/>
    </row>
    <row r="90" spans="3:3" x14ac:dyDescent="0.25">
      <c r="C90" s="14"/>
    </row>
    <row r="91" spans="3:3" x14ac:dyDescent="0.25">
      <c r="C91" s="14"/>
    </row>
    <row r="92" spans="3:3" x14ac:dyDescent="0.25">
      <c r="C92" s="14"/>
    </row>
    <row r="93" spans="3:3" x14ac:dyDescent="0.25">
      <c r="C93" s="14"/>
    </row>
    <row r="94" spans="3:3" x14ac:dyDescent="0.25">
      <c r="C94" s="14"/>
    </row>
    <row r="95" spans="3:3" x14ac:dyDescent="0.25">
      <c r="C95" s="14"/>
    </row>
    <row r="96" spans="3:3" x14ac:dyDescent="0.25">
      <c r="C96" s="14"/>
    </row>
    <row r="97" spans="3:3" x14ac:dyDescent="0.25">
      <c r="C97" s="14"/>
    </row>
    <row r="98" spans="3:3" x14ac:dyDescent="0.25">
      <c r="C98" s="14"/>
    </row>
  </sheetData>
  <mergeCells count="67">
    <mergeCell ref="G59:H59"/>
    <mergeCell ref="G60:H60"/>
    <mergeCell ref="G61:H61"/>
    <mergeCell ref="G53:H53"/>
    <mergeCell ref="G54:H54"/>
    <mergeCell ref="G55:H55"/>
    <mergeCell ref="G56:H56"/>
    <mergeCell ref="G57:H57"/>
    <mergeCell ref="G58:H58"/>
    <mergeCell ref="G52:H52"/>
    <mergeCell ref="G41:H41"/>
    <mergeCell ref="G42:H42"/>
    <mergeCell ref="G43:H43"/>
    <mergeCell ref="G44:H44"/>
    <mergeCell ref="G45:H45"/>
    <mergeCell ref="G46:H46"/>
    <mergeCell ref="G47:H47"/>
    <mergeCell ref="G48:H48"/>
    <mergeCell ref="G49:H49"/>
    <mergeCell ref="G50:H50"/>
    <mergeCell ref="G51:H51"/>
    <mergeCell ref="G40:H40"/>
    <mergeCell ref="G29:H29"/>
    <mergeCell ref="G30:H30"/>
    <mergeCell ref="G31:H31"/>
    <mergeCell ref="G32:H32"/>
    <mergeCell ref="G33:H33"/>
    <mergeCell ref="G34:H34"/>
    <mergeCell ref="G35:H35"/>
    <mergeCell ref="G36:H36"/>
    <mergeCell ref="G37:H37"/>
    <mergeCell ref="G38:H38"/>
    <mergeCell ref="G39:H39"/>
    <mergeCell ref="G28:H28"/>
    <mergeCell ref="G17:H17"/>
    <mergeCell ref="G18:H18"/>
    <mergeCell ref="G19:H19"/>
    <mergeCell ref="G20:H20"/>
    <mergeCell ref="G21:H21"/>
    <mergeCell ref="G22:H22"/>
    <mergeCell ref="G23:H23"/>
    <mergeCell ref="G24:H24"/>
    <mergeCell ref="G25:H25"/>
    <mergeCell ref="G26:H26"/>
    <mergeCell ref="G27:H27"/>
    <mergeCell ref="M2:M4"/>
    <mergeCell ref="G16:H16"/>
    <mergeCell ref="I6:I7"/>
    <mergeCell ref="J6:J7"/>
    <mergeCell ref="K6:M6"/>
    <mergeCell ref="G8:H8"/>
    <mergeCell ref="G9:H9"/>
    <mergeCell ref="G10:H10"/>
    <mergeCell ref="G11:H11"/>
    <mergeCell ref="G12:H12"/>
    <mergeCell ref="G13:H13"/>
    <mergeCell ref="G14:H14"/>
    <mergeCell ref="G15:H15"/>
    <mergeCell ref="E1:F4"/>
    <mergeCell ref="L1:L2"/>
    <mergeCell ref="A6:A7"/>
    <mergeCell ref="B6:B7"/>
    <mergeCell ref="C6:C7"/>
    <mergeCell ref="D6:D7"/>
    <mergeCell ref="E6:E7"/>
    <mergeCell ref="F6:F7"/>
    <mergeCell ref="G6:H7"/>
  </mergeCells>
  <conditionalFormatting sqref="C16:C21 C23:C45">
    <cfRule type="expression" dxfId="41" priority="7" stopIfTrue="1">
      <formula>#REF!=1</formula>
    </cfRule>
    <cfRule type="expression" priority="8" stopIfTrue="1">
      <formula>#REF!=2</formula>
    </cfRule>
    <cfRule type="expression" dxfId="40" priority="9" stopIfTrue="1">
      <formula>#REF!=3</formula>
    </cfRule>
  </conditionalFormatting>
  <conditionalFormatting sqref="C22">
    <cfRule type="expression" dxfId="39" priority="4" stopIfTrue="1">
      <formula>#REF!=1</formula>
    </cfRule>
    <cfRule type="expression" priority="5" stopIfTrue="1">
      <formula>#REF!=2</formula>
    </cfRule>
    <cfRule type="expression" dxfId="38" priority="6" stopIfTrue="1">
      <formula>#REF!=3</formula>
    </cfRule>
  </conditionalFormatting>
  <conditionalFormatting sqref="C46:C61">
    <cfRule type="expression" dxfId="37" priority="1" stopIfTrue="1">
      <formula>#REF!=1</formula>
    </cfRule>
    <cfRule type="expression" priority="2" stopIfTrue="1">
      <formula>#REF!=2</formula>
    </cfRule>
    <cfRule type="expression" dxfId="36" priority="3" stopIfTrue="1">
      <formula>#REF!=3</formula>
    </cfRule>
  </conditionalFormatting>
  <dataValidations count="2">
    <dataValidation type="textLength" operator="greaterThanOrEqual" allowBlank="1" showInputMessage="1" showErrorMessage="1" errorTitle="Saisie incorrecte" error="Re-saisir le numéro d'entrée en utilisant 3 chiffres_x000a_Ex.: 001" promptTitle="Saisie du numéro d'entrée" prompt="Minimum 3 chiffres_x000a_Ex.: 001" sqref="C8:C39" xr:uid="{00000000-0002-0000-1800-000000000000}">
      <formula1>3</formula1>
    </dataValidation>
    <dataValidation operator="greaterThan" allowBlank="1" showDropDown="1" showInputMessage="1" showErrorMessage="1" errorTitle="Saisie incorrecte" error="Re-Saisir le numéro de dossier sous le format_x000a_000-000000-000" promptTitle="Saisie du numéro d'événement" prompt="000-000000-000_x000a_Ex. : 071-030901-001" sqref="J8:J39" xr:uid="{00000000-0002-0000-1800-000001000000}"/>
  </dataValidations>
  <printOptions horizontalCentered="1" verticalCentered="1"/>
  <pageMargins left="0" right="0" top="0.31496062992125984" bottom="0.39370078740157483" header="0.15748031496062992" footer="0.19685039370078741"/>
  <pageSetup paperSize="5" scale="90" orientation="landscape" r:id="rId1"/>
  <headerFooter alignWithMargins="0">
    <oddFooter>&amp;R&amp;8Page &amp;P de &amp;N</oddFooter>
  </headerFooter>
  <drawing r:id="rId2"/>
  <legacyDrawing r:id="rId3"/>
  <controls>
    <mc:AlternateContent xmlns:mc="http://schemas.openxmlformats.org/markup-compatibility/2006">
      <mc:Choice Requires="x14">
        <control shapeId="166915" r:id="rId4" name="ComboBox2">
          <controlPr defaultSize="0" autoLine="0" r:id="rId5">
            <anchor moveWithCells="1">
              <from>
                <xdr:col>4</xdr:col>
                <xdr:colOff>0</xdr:colOff>
                <xdr:row>10</xdr:row>
                <xdr:rowOff>0</xdr:rowOff>
              </from>
              <to>
                <xdr:col>4</xdr:col>
                <xdr:colOff>2965450</xdr:colOff>
                <xdr:row>11</xdr:row>
                <xdr:rowOff>38100</xdr:rowOff>
              </to>
            </anchor>
          </controlPr>
        </control>
      </mc:Choice>
      <mc:Fallback>
        <control shapeId="166915" r:id="rId4" name="ComboBox2"/>
      </mc:Fallback>
    </mc:AlternateContent>
    <mc:AlternateContent xmlns:mc="http://schemas.openxmlformats.org/markup-compatibility/2006">
      <mc:Choice Requires="x14">
        <control shapeId="166914" r:id="rId6" name="ComboBox1">
          <controlPr defaultSize="0" autoLine="0" r:id="rId7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11</xdr:col>
                <xdr:colOff>1803400</xdr:colOff>
                <xdr:row>9</xdr:row>
                <xdr:rowOff>38100</xdr:rowOff>
              </to>
            </anchor>
          </controlPr>
        </control>
      </mc:Choice>
      <mc:Fallback>
        <control shapeId="166914" r:id="rId6" name="ComboBox1"/>
      </mc:Fallback>
    </mc:AlternateContent>
    <mc:AlternateContent xmlns:mc="http://schemas.openxmlformats.org/markup-compatibility/2006">
      <mc:Choice Requires="x14">
        <control shapeId="166913" r:id="rId8" name="Button 1">
          <controlPr defaultSize="0" print="0" autoFill="0" autoPict="0" macro="[0]!test2">
            <anchor moveWithCells="1">
              <from>
                <xdr:col>5</xdr:col>
                <xdr:colOff>222250</xdr:colOff>
                <xdr:row>1</xdr:row>
                <xdr:rowOff>139700</xdr:rowOff>
              </from>
              <to>
                <xdr:col>9</xdr:col>
                <xdr:colOff>1143000</xdr:colOff>
                <xdr:row>4</xdr:row>
                <xdr:rowOff>107950</xdr:rowOff>
              </to>
            </anchor>
          </controlPr>
        </control>
      </mc:Choice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Feuil83"/>
  <dimension ref="A1:M98"/>
  <sheetViews>
    <sheetView showGridLines="0" zoomScaleNormal="100" workbookViewId="0">
      <pane xSplit="3" ySplit="7" topLeftCell="D8" activePane="bottomRight" state="frozen"/>
      <selection activeCell="C8" sqref="C8"/>
      <selection pane="topRight" activeCell="C8" sqref="C8"/>
      <selection pane="bottomLeft" activeCell="C8" sqref="C8"/>
      <selection pane="bottomRight" activeCell="M2" sqref="M2:M5"/>
    </sheetView>
  </sheetViews>
  <sheetFormatPr baseColWidth="10" defaultColWidth="11.453125" defaultRowHeight="13" x14ac:dyDescent="0.25"/>
  <cols>
    <col min="1" max="2" width="5.6328125" style="1" customWidth="1"/>
    <col min="3" max="3" width="6.6328125" style="1" customWidth="1"/>
    <col min="4" max="4" width="7.54296875" style="1" customWidth="1"/>
    <col min="5" max="5" width="44.453125" style="21" customWidth="1"/>
    <col min="6" max="6" width="10.54296875" style="1" customWidth="1"/>
    <col min="7" max="7" width="13.90625" style="1" customWidth="1"/>
    <col min="8" max="8" width="4.6328125" style="1" hidden="1" customWidth="1"/>
    <col min="9" max="9" width="6.08984375" style="1" customWidth="1"/>
    <col min="10" max="10" width="26.54296875" style="1" customWidth="1"/>
    <col min="11" max="11" width="7.36328125" style="1" customWidth="1"/>
    <col min="12" max="12" width="27" style="24" customWidth="1"/>
    <col min="13" max="13" width="26" style="1" customWidth="1"/>
    <col min="14" max="16384" width="11.453125" style="1"/>
  </cols>
  <sheetData>
    <row r="1" spans="1:13" ht="12.75" customHeight="1" x14ac:dyDescent="0.25">
      <c r="E1" s="71" t="s">
        <v>1023</v>
      </c>
      <c r="F1" s="72"/>
      <c r="L1" s="73" t="s">
        <v>1021</v>
      </c>
      <c r="M1" s="51" t="s">
        <v>1022</v>
      </c>
    </row>
    <row r="2" spans="1:13" ht="12.75" customHeight="1" x14ac:dyDescent="0.25">
      <c r="E2" s="72"/>
      <c r="F2" s="72"/>
      <c r="L2" s="74"/>
      <c r="M2" s="70">
        <f>'25'!M2:M5+1</f>
        <v>42730</v>
      </c>
    </row>
    <row r="3" spans="1:13" ht="12.75" customHeight="1" x14ac:dyDescent="0.25">
      <c r="E3" s="72"/>
      <c r="F3" s="72"/>
      <c r="L3" s="52"/>
      <c r="M3" s="70"/>
    </row>
    <row r="4" spans="1:13" ht="15.75" customHeight="1" x14ac:dyDescent="0.25">
      <c r="E4" s="72"/>
      <c r="F4" s="72"/>
      <c r="L4" s="49" t="s">
        <v>140</v>
      </c>
      <c r="M4" s="70"/>
    </row>
    <row r="5" spans="1:13" ht="21.9" customHeight="1" thickBot="1" x14ac:dyDescent="0.3">
      <c r="L5" s="36"/>
      <c r="M5" s="69">
        <f>M2</f>
        <v>42730</v>
      </c>
    </row>
    <row r="6" spans="1:13" ht="24.9" customHeight="1" x14ac:dyDescent="0.25">
      <c r="A6" s="75" t="s">
        <v>2351</v>
      </c>
      <c r="B6" s="75" t="s">
        <v>2350</v>
      </c>
      <c r="C6" s="76" t="s">
        <v>1362</v>
      </c>
      <c r="D6" s="75" t="s">
        <v>1153</v>
      </c>
      <c r="E6" s="75" t="s">
        <v>1016</v>
      </c>
      <c r="F6" s="76" t="s">
        <v>2352</v>
      </c>
      <c r="G6" s="76" t="s">
        <v>1017</v>
      </c>
      <c r="H6" s="79"/>
      <c r="I6" s="76" t="s">
        <v>1364</v>
      </c>
      <c r="J6" s="76" t="s">
        <v>1363</v>
      </c>
      <c r="K6" s="83" t="s">
        <v>1018</v>
      </c>
      <c r="L6" s="84"/>
      <c r="M6" s="84"/>
    </row>
    <row r="7" spans="1:13" ht="12.5" x14ac:dyDescent="0.25">
      <c r="A7" s="75"/>
      <c r="B7" s="75"/>
      <c r="C7" s="77"/>
      <c r="D7" s="75"/>
      <c r="E7" s="75"/>
      <c r="F7" s="78"/>
      <c r="G7" s="80"/>
      <c r="H7" s="81"/>
      <c r="I7" s="77"/>
      <c r="J7" s="77"/>
      <c r="K7" s="50" t="s">
        <v>1015</v>
      </c>
      <c r="L7" s="50" t="s">
        <v>1019</v>
      </c>
      <c r="M7" s="32" t="s">
        <v>1020</v>
      </c>
    </row>
    <row r="8" spans="1:13" ht="30" customHeight="1" x14ac:dyDescent="0.25">
      <c r="A8" s="45"/>
      <c r="B8" s="45"/>
      <c r="C8" s="30"/>
      <c r="D8" s="46"/>
      <c r="E8" s="27"/>
      <c r="F8" s="31"/>
      <c r="G8" s="82" t="str">
        <f>IF(F8=0,"",VLOOKUP(F8,Employés!$A$2:$B$186,2,0))</f>
        <v/>
      </c>
      <c r="H8" s="82"/>
      <c r="I8" s="34"/>
      <c r="J8" s="33"/>
      <c r="K8" s="19"/>
      <c r="L8" s="20" t="s">
        <v>1420</v>
      </c>
      <c r="M8" s="37" t="str">
        <f>IF(I8=0,"",VLOOKUP(I8,Municipalités!$A$2:$B$1290,2,TRUE))</f>
        <v/>
      </c>
    </row>
    <row r="9" spans="1:13" ht="30" customHeight="1" x14ac:dyDescent="0.25">
      <c r="A9" s="45"/>
      <c r="B9" s="45"/>
      <c r="C9" s="39"/>
      <c r="D9" s="47"/>
      <c r="E9" s="27"/>
      <c r="F9" s="31"/>
      <c r="G9" s="82" t="str">
        <f>IF(F9=0,"",VLOOKUP(F9,Employés!$A$2:$B$186,2,0))</f>
        <v/>
      </c>
      <c r="H9" s="82"/>
      <c r="I9" s="35"/>
      <c r="J9" s="33"/>
      <c r="K9" s="19"/>
      <c r="L9" s="20"/>
      <c r="M9" s="37" t="str">
        <f>IF(I9=0,"",VLOOKUP(I9,Municipalités!$A$2:$B$1290,2,TRUE))</f>
        <v/>
      </c>
    </row>
    <row r="10" spans="1:13" ht="30" customHeight="1" x14ac:dyDescent="0.25">
      <c r="A10" s="45"/>
      <c r="B10" s="45"/>
      <c r="C10" s="39"/>
      <c r="D10" s="48"/>
      <c r="E10" s="28"/>
      <c r="F10" s="31"/>
      <c r="G10" s="82" t="str">
        <f>IF(F10=0,"",VLOOKUP(F10,Employés!$A$2:$B$186,2,0))</f>
        <v/>
      </c>
      <c r="H10" s="82"/>
      <c r="I10" s="35"/>
      <c r="J10" s="29"/>
      <c r="K10" s="19"/>
      <c r="L10" s="20"/>
      <c r="M10" s="37" t="str">
        <f>IF(I10=0,"",VLOOKUP(I10,Municipalités!$A$2:$B$1290,2,TRUE))</f>
        <v/>
      </c>
    </row>
    <row r="11" spans="1:13" ht="30" customHeight="1" x14ac:dyDescent="0.25">
      <c r="A11" s="45"/>
      <c r="B11" s="45"/>
      <c r="C11" s="39"/>
      <c r="D11" s="47"/>
      <c r="E11" s="28" t="s">
        <v>1420</v>
      </c>
      <c r="F11" s="31"/>
      <c r="G11" s="82" t="str">
        <f>IF(F11=0,"",VLOOKUP(F11,Employés!$A$2:$B$186,2,0))</f>
        <v/>
      </c>
      <c r="H11" s="82"/>
      <c r="I11" s="35"/>
      <c r="J11" s="29"/>
      <c r="K11" s="19"/>
      <c r="L11" s="20"/>
      <c r="M11" s="37" t="str">
        <f>IF(I11=0,"",VLOOKUP(I11,Municipalités!$A$2:$B$1290,2,TRUE))</f>
        <v/>
      </c>
    </row>
    <row r="12" spans="1:13" ht="30" customHeight="1" x14ac:dyDescent="0.25">
      <c r="A12" s="45"/>
      <c r="B12" s="45"/>
      <c r="C12" s="39"/>
      <c r="D12" s="46"/>
      <c r="E12" s="27"/>
      <c r="F12" s="31"/>
      <c r="G12" s="82" t="str">
        <f>IF(F12=0,"",VLOOKUP(F12,Employés!$A$2:$B$186,2,0))</f>
        <v/>
      </c>
      <c r="H12" s="82"/>
      <c r="I12" s="35"/>
      <c r="J12" s="29"/>
      <c r="K12" s="19"/>
      <c r="L12" s="20"/>
      <c r="M12" s="37" t="str">
        <f>IF(I12=0,"",VLOOKUP(I12,Municipalités!$A$2:$B$1290,2,TRUE))</f>
        <v/>
      </c>
    </row>
    <row r="13" spans="1:13" ht="30" customHeight="1" x14ac:dyDescent="0.25">
      <c r="A13" s="45"/>
      <c r="B13" s="45"/>
      <c r="C13" s="39"/>
      <c r="D13" s="46"/>
      <c r="E13" s="27"/>
      <c r="F13" s="31"/>
      <c r="G13" s="82" t="str">
        <f>IF(F13=0,"",VLOOKUP(F13,Employés!$A$2:$B$186,2,0))</f>
        <v/>
      </c>
      <c r="H13" s="82"/>
      <c r="I13" s="35"/>
      <c r="J13" s="29"/>
      <c r="K13" s="19"/>
      <c r="L13" s="20"/>
      <c r="M13" s="37" t="str">
        <f>IF(I13=0,"",VLOOKUP(I13,Municipalités!$A$2:$B$1290,2,TRUE))</f>
        <v/>
      </c>
    </row>
    <row r="14" spans="1:13" ht="30" customHeight="1" x14ac:dyDescent="0.25">
      <c r="A14" s="45"/>
      <c r="B14" s="45"/>
      <c r="C14" s="39"/>
      <c r="D14" s="47"/>
      <c r="E14" s="27"/>
      <c r="F14" s="31"/>
      <c r="G14" s="82" t="str">
        <f>IF(F14=0,"",VLOOKUP(F14,Employés!$A$2:$B$186,2,0))</f>
        <v/>
      </c>
      <c r="H14" s="82"/>
      <c r="I14" s="35"/>
      <c r="J14" s="29"/>
      <c r="K14" s="19"/>
      <c r="L14" s="20"/>
      <c r="M14" s="37" t="str">
        <f>IF(I14=0,"",VLOOKUP(I14,Municipalités!$A$2:$B$1290,2,TRUE))</f>
        <v/>
      </c>
    </row>
    <row r="15" spans="1:13" ht="30" customHeight="1" x14ac:dyDescent="0.25">
      <c r="A15" s="45"/>
      <c r="B15" s="45"/>
      <c r="C15" s="39"/>
      <c r="D15" s="47"/>
      <c r="E15" s="27"/>
      <c r="F15" s="31"/>
      <c r="G15" s="82" t="str">
        <f>IF(F15=0,"",VLOOKUP(F15,Employés!$A$2:$B$186,2,0))</f>
        <v/>
      </c>
      <c r="H15" s="82"/>
      <c r="I15" s="35"/>
      <c r="J15" s="29"/>
      <c r="K15" s="19"/>
      <c r="L15" s="20"/>
      <c r="M15" s="37" t="str">
        <f>IF(I15=0,"",VLOOKUP(I15,Municipalités!$A$2:$B$1290,2,TRUE))</f>
        <v/>
      </c>
    </row>
    <row r="16" spans="1:13" ht="30" customHeight="1" x14ac:dyDescent="0.25">
      <c r="A16" s="45"/>
      <c r="B16" s="45"/>
      <c r="C16" s="39"/>
      <c r="D16" s="46"/>
      <c r="E16" s="27"/>
      <c r="F16" s="31"/>
      <c r="G16" s="82" t="str">
        <f>IF(F16=0,"",VLOOKUP(F16,Employés!$A$2:$B$186,2,0))</f>
        <v/>
      </c>
      <c r="H16" s="82"/>
      <c r="I16" s="35"/>
      <c r="J16" s="29"/>
      <c r="K16" s="19"/>
      <c r="L16" s="20"/>
      <c r="M16" s="37" t="str">
        <f>IF(I16=0,"",VLOOKUP(I16,Municipalités!$A$2:$B$1290,2,TRUE))</f>
        <v/>
      </c>
    </row>
    <row r="17" spans="1:13" ht="30" customHeight="1" x14ac:dyDescent="0.25">
      <c r="A17" s="45"/>
      <c r="B17" s="45"/>
      <c r="C17" s="39"/>
      <c r="D17" s="46"/>
      <c r="E17" s="27"/>
      <c r="F17" s="31"/>
      <c r="G17" s="82" t="str">
        <f>IF(F17=0,"",VLOOKUP(F17,Employés!$A$2:$B$186,2,0))</f>
        <v/>
      </c>
      <c r="H17" s="82"/>
      <c r="I17" s="35"/>
      <c r="J17" s="29"/>
      <c r="K17" s="19"/>
      <c r="L17" s="20"/>
      <c r="M17" s="37" t="str">
        <f>IF(I17=0,"",VLOOKUP(I17,Municipalités!$A$2:$B$1290,2,TRUE))</f>
        <v/>
      </c>
    </row>
    <row r="18" spans="1:13" ht="30" customHeight="1" x14ac:dyDescent="0.25">
      <c r="A18" s="45"/>
      <c r="B18" s="45"/>
      <c r="C18" s="39"/>
      <c r="D18" s="46"/>
      <c r="E18" s="27"/>
      <c r="F18" s="31"/>
      <c r="G18" s="82" t="str">
        <f>IF(F18=0,"",VLOOKUP(F18,Employés!$A$2:$B$186,2,0))</f>
        <v/>
      </c>
      <c r="H18" s="82"/>
      <c r="I18" s="35"/>
      <c r="J18" s="29"/>
      <c r="K18" s="19"/>
      <c r="L18" s="20"/>
      <c r="M18" s="37" t="str">
        <f>IF(I18=0,"",VLOOKUP(I18,Municipalités!$A$2:$B$1290,2,TRUE))</f>
        <v/>
      </c>
    </row>
    <row r="19" spans="1:13" ht="30" customHeight="1" x14ac:dyDescent="0.25">
      <c r="A19" s="45"/>
      <c r="B19" s="45"/>
      <c r="C19" s="39"/>
      <c r="D19" s="46"/>
      <c r="E19" s="27"/>
      <c r="F19" s="31"/>
      <c r="G19" s="82" t="str">
        <f>IF(F19=0,"",VLOOKUP(F19,Employés!$A$2:$B$186,2,0))</f>
        <v/>
      </c>
      <c r="H19" s="82"/>
      <c r="I19" s="35"/>
      <c r="J19" s="29"/>
      <c r="K19" s="19"/>
      <c r="L19" s="20"/>
      <c r="M19" s="37" t="str">
        <f>IF(I19=0,"",VLOOKUP(I19,Municipalités!$A$2:$B$1290,2,TRUE))</f>
        <v/>
      </c>
    </row>
    <row r="20" spans="1:13" ht="30" customHeight="1" x14ac:dyDescent="0.25">
      <c r="A20" s="45"/>
      <c r="B20" s="45"/>
      <c r="C20" s="39"/>
      <c r="D20" s="47"/>
      <c r="E20" s="27"/>
      <c r="F20" s="31"/>
      <c r="G20" s="82" t="str">
        <f>IF(F20=0,"",VLOOKUP(F20,Employés!$A$2:$B$186,2,0))</f>
        <v/>
      </c>
      <c r="H20" s="82"/>
      <c r="I20" s="35"/>
      <c r="J20" s="29"/>
      <c r="K20" s="19"/>
      <c r="L20" s="20"/>
      <c r="M20" s="37" t="str">
        <f>IF(I20=0,"",VLOOKUP(I20,Municipalités!$A$2:$B$1290,2,TRUE))</f>
        <v/>
      </c>
    </row>
    <row r="21" spans="1:13" ht="30" customHeight="1" x14ac:dyDescent="0.25">
      <c r="A21" s="45"/>
      <c r="B21" s="45"/>
      <c r="C21" s="39"/>
      <c r="D21" s="47"/>
      <c r="E21" s="27"/>
      <c r="F21" s="31"/>
      <c r="G21" s="82" t="str">
        <f>IF(F21=0,"",VLOOKUP(F21,Employés!$A$2:$B$186,2,0))</f>
        <v/>
      </c>
      <c r="H21" s="82"/>
      <c r="I21" s="35"/>
      <c r="J21" s="29"/>
      <c r="K21" s="19"/>
      <c r="L21" s="20"/>
      <c r="M21" s="37" t="str">
        <f>IF(I21=0,"",VLOOKUP(I21,Municipalités!$A$2:$B$1290,2,TRUE))</f>
        <v/>
      </c>
    </row>
    <row r="22" spans="1:13" ht="30" customHeight="1" x14ac:dyDescent="0.25">
      <c r="A22" s="45"/>
      <c r="B22" s="45"/>
      <c r="C22" s="39"/>
      <c r="D22" s="46"/>
      <c r="E22" s="27"/>
      <c r="F22" s="31"/>
      <c r="G22" s="82" t="str">
        <f>IF(F22=0,"",VLOOKUP(F22,Employés!$A$2:$B$186,2,0))</f>
        <v/>
      </c>
      <c r="H22" s="82"/>
      <c r="I22" s="35"/>
      <c r="J22" s="29"/>
      <c r="K22" s="19"/>
      <c r="L22" s="20"/>
      <c r="M22" s="37" t="str">
        <f>IF(I22=0,"",VLOOKUP(I22,Municipalités!$A$2:$B$1290,2,TRUE))</f>
        <v/>
      </c>
    </row>
    <row r="23" spans="1:13" ht="30" customHeight="1" x14ac:dyDescent="0.25">
      <c r="A23" s="45"/>
      <c r="B23" s="45"/>
      <c r="C23" s="39"/>
      <c r="D23" s="46"/>
      <c r="E23" s="27"/>
      <c r="F23" s="31"/>
      <c r="G23" s="82" t="str">
        <f>IF(F23=0,"",VLOOKUP(F23,Employés!$A$2:$B$186,2,0))</f>
        <v/>
      </c>
      <c r="H23" s="82"/>
      <c r="I23" s="35"/>
      <c r="J23" s="29"/>
      <c r="K23" s="19"/>
      <c r="L23" s="20"/>
      <c r="M23" s="37" t="str">
        <f>IF(I23=0,"",VLOOKUP(I23,Municipalités!$A$2:$B$1290,2,TRUE))</f>
        <v/>
      </c>
    </row>
    <row r="24" spans="1:13" ht="30" customHeight="1" x14ac:dyDescent="0.25">
      <c r="A24" s="45"/>
      <c r="B24" s="45"/>
      <c r="C24" s="39"/>
      <c r="D24" s="46"/>
      <c r="E24" s="27"/>
      <c r="F24" s="31"/>
      <c r="G24" s="82" t="str">
        <f>IF(F24=0,"",VLOOKUP(F24,Employés!$A$2:$B$186,2,0))</f>
        <v/>
      </c>
      <c r="H24" s="82"/>
      <c r="I24" s="35"/>
      <c r="J24" s="29"/>
      <c r="K24" s="19"/>
      <c r="L24" s="20"/>
      <c r="M24" s="37" t="str">
        <f>IF(I24=0,"",VLOOKUP(I24,Municipalités!$A$2:$B$1290,2,TRUE))</f>
        <v/>
      </c>
    </row>
    <row r="25" spans="1:13" ht="30" customHeight="1" x14ac:dyDescent="0.25">
      <c r="A25" s="45"/>
      <c r="B25" s="45"/>
      <c r="C25" s="39"/>
      <c r="D25" s="46"/>
      <c r="E25" s="27"/>
      <c r="F25" s="31"/>
      <c r="G25" s="82" t="str">
        <f>IF(F25=0,"",VLOOKUP(F25,Employés!$A$2:$B$186,2,0))</f>
        <v/>
      </c>
      <c r="H25" s="82"/>
      <c r="I25" s="35"/>
      <c r="J25" s="29"/>
      <c r="K25" s="19"/>
      <c r="L25" s="20"/>
      <c r="M25" s="37" t="str">
        <f>IF(I25=0,"",VLOOKUP(I25,Municipalités!$A$2:$B$1290,2,TRUE))</f>
        <v/>
      </c>
    </row>
    <row r="26" spans="1:13" ht="30" customHeight="1" x14ac:dyDescent="0.25">
      <c r="A26" s="45"/>
      <c r="B26" s="45"/>
      <c r="C26" s="39"/>
      <c r="D26" s="46"/>
      <c r="E26" s="27"/>
      <c r="F26" s="31"/>
      <c r="G26" s="82" t="str">
        <f>IF(F26=0,"",VLOOKUP(F26,Employés!$A$2:$B$186,2,0))</f>
        <v/>
      </c>
      <c r="H26" s="82"/>
      <c r="I26" s="35"/>
      <c r="J26" s="29"/>
      <c r="K26" s="19"/>
      <c r="L26" s="20"/>
      <c r="M26" s="37" t="str">
        <f>IF(I26=0,"",VLOOKUP(I26,Municipalités!$A$2:$B$1290,2,TRUE))</f>
        <v/>
      </c>
    </row>
    <row r="27" spans="1:13" ht="30" customHeight="1" x14ac:dyDescent="0.25">
      <c r="A27" s="45"/>
      <c r="B27" s="45"/>
      <c r="C27" s="39"/>
      <c r="D27" s="46"/>
      <c r="E27" s="27"/>
      <c r="F27" s="31"/>
      <c r="G27" s="82" t="str">
        <f>IF(F27=0,"",VLOOKUP(F27,Employés!$A$2:$B$186,2,0))</f>
        <v/>
      </c>
      <c r="H27" s="82"/>
      <c r="I27" s="35"/>
      <c r="J27" s="29"/>
      <c r="K27" s="19"/>
      <c r="L27" s="20"/>
      <c r="M27" s="37" t="str">
        <f>IF(I27=0,"",VLOOKUP(I27,Municipalités!$A$2:$B$1290,2,TRUE))</f>
        <v/>
      </c>
    </row>
    <row r="28" spans="1:13" ht="30" customHeight="1" x14ac:dyDescent="0.25">
      <c r="A28" s="45"/>
      <c r="B28" s="45"/>
      <c r="C28" s="39"/>
      <c r="D28" s="46"/>
      <c r="E28" s="27"/>
      <c r="F28" s="31"/>
      <c r="G28" s="82" t="str">
        <f>IF(F28=0,"",VLOOKUP(F28,Employés!$A$2:$B$186,2,0))</f>
        <v/>
      </c>
      <c r="H28" s="82"/>
      <c r="I28" s="35"/>
      <c r="J28" s="29"/>
      <c r="K28" s="19"/>
      <c r="L28" s="20"/>
      <c r="M28" s="37" t="str">
        <f>IF(I28=0,"",VLOOKUP(I28,Municipalités!$A$2:$B$1290,2,TRUE))</f>
        <v/>
      </c>
    </row>
    <row r="29" spans="1:13" ht="30" customHeight="1" x14ac:dyDescent="0.25">
      <c r="A29" s="45"/>
      <c r="B29" s="45"/>
      <c r="C29" s="39"/>
      <c r="D29" s="46"/>
      <c r="E29" s="27"/>
      <c r="F29" s="31"/>
      <c r="G29" s="82" t="str">
        <f>IF(F29=0,"",VLOOKUP(F29,Employés!$A$2:$B$186,2,0))</f>
        <v/>
      </c>
      <c r="H29" s="82"/>
      <c r="I29" s="35"/>
      <c r="J29" s="29"/>
      <c r="K29" s="19"/>
      <c r="L29" s="20"/>
      <c r="M29" s="37" t="str">
        <f>IF(I29=0,"",VLOOKUP(I29,Municipalités!$A$2:$B$1290,2,TRUE))</f>
        <v/>
      </c>
    </row>
    <row r="30" spans="1:13" ht="30" customHeight="1" x14ac:dyDescent="0.25">
      <c r="A30" s="45"/>
      <c r="B30" s="45"/>
      <c r="C30" s="39"/>
      <c r="D30" s="46"/>
      <c r="E30" s="27"/>
      <c r="F30" s="31"/>
      <c r="G30" s="82" t="str">
        <f>IF(F30=0,"",VLOOKUP(F30,Employés!$A$2:$B$186,2,0))</f>
        <v/>
      </c>
      <c r="H30" s="82"/>
      <c r="I30" s="35"/>
      <c r="J30" s="29"/>
      <c r="K30" s="19"/>
      <c r="L30" s="20"/>
      <c r="M30" s="37" t="str">
        <f>IF(I30=0,"",VLOOKUP(I30,Municipalités!$A$2:$B$1290,2,TRUE))</f>
        <v/>
      </c>
    </row>
    <row r="31" spans="1:13" ht="30" customHeight="1" x14ac:dyDescent="0.25">
      <c r="A31" s="45"/>
      <c r="B31" s="45"/>
      <c r="C31" s="39"/>
      <c r="D31" s="47"/>
      <c r="E31" s="27"/>
      <c r="F31" s="31"/>
      <c r="G31" s="82" t="str">
        <f>IF(F31=0,"",VLOOKUP(F31,Employés!$A$2:$B$186,2,0))</f>
        <v/>
      </c>
      <c r="H31" s="82"/>
      <c r="I31" s="35"/>
      <c r="J31" s="29"/>
      <c r="K31" s="19"/>
      <c r="L31" s="20"/>
      <c r="M31" s="37" t="str">
        <f>IF(I31=0,"",VLOOKUP(I31,Municipalités!$A$2:$B$1290,2,TRUE))</f>
        <v/>
      </c>
    </row>
    <row r="32" spans="1:13" ht="30" customHeight="1" x14ac:dyDescent="0.25">
      <c r="A32" s="45"/>
      <c r="B32" s="45"/>
      <c r="C32" s="39"/>
      <c r="D32" s="46"/>
      <c r="E32" s="27"/>
      <c r="F32" s="31"/>
      <c r="G32" s="82" t="str">
        <f>IF(F32=0,"",VLOOKUP(F32,Employés!$A$2:$B$186,2,0))</f>
        <v/>
      </c>
      <c r="H32" s="82"/>
      <c r="I32" s="35"/>
      <c r="J32" s="29"/>
      <c r="K32" s="19"/>
      <c r="L32" s="20"/>
      <c r="M32" s="37" t="str">
        <f>IF(I32=0,"",VLOOKUP(I32,Municipalités!$A$2:$B$1290,2,TRUE))</f>
        <v/>
      </c>
    </row>
    <row r="33" spans="1:13" ht="30" customHeight="1" x14ac:dyDescent="0.25">
      <c r="A33" s="45"/>
      <c r="B33" s="45"/>
      <c r="C33" s="39"/>
      <c r="D33" s="46"/>
      <c r="E33" s="27"/>
      <c r="F33" s="31"/>
      <c r="G33" s="82" t="str">
        <f>IF(F33=0,"",VLOOKUP(F33,Employés!$A$2:$B$186,2,0))</f>
        <v/>
      </c>
      <c r="H33" s="82"/>
      <c r="I33" s="35"/>
      <c r="J33" s="29"/>
      <c r="K33" s="19"/>
      <c r="L33" s="20"/>
      <c r="M33" s="37" t="str">
        <f>IF(I33=0,"",VLOOKUP(I33,Municipalités!$A$2:$B$1290,2,TRUE))</f>
        <v/>
      </c>
    </row>
    <row r="34" spans="1:13" ht="30" customHeight="1" x14ac:dyDescent="0.25">
      <c r="A34" s="45"/>
      <c r="B34" s="45"/>
      <c r="C34" s="39"/>
      <c r="D34" s="46"/>
      <c r="E34" s="27"/>
      <c r="F34" s="31"/>
      <c r="G34" s="82" t="str">
        <f>IF(F34=0,"",VLOOKUP(F34,Employés!$A$2:$B$186,2,0))</f>
        <v/>
      </c>
      <c r="H34" s="82"/>
      <c r="I34" s="35"/>
      <c r="J34" s="29"/>
      <c r="K34" s="19"/>
      <c r="L34" s="20"/>
      <c r="M34" s="37" t="str">
        <f>IF(I34=0,"",VLOOKUP(I34,Municipalités!$A$2:$B$1290,2,TRUE))</f>
        <v/>
      </c>
    </row>
    <row r="35" spans="1:13" ht="30" customHeight="1" x14ac:dyDescent="0.25">
      <c r="A35" s="45"/>
      <c r="B35" s="45"/>
      <c r="C35" s="30"/>
      <c r="D35" s="46"/>
      <c r="E35" s="27"/>
      <c r="F35" s="31"/>
      <c r="G35" s="82" t="str">
        <f>IF(F35=0,"",VLOOKUP(F35,Employés!$A$2:$B$186,2,0))</f>
        <v/>
      </c>
      <c r="H35" s="82"/>
      <c r="I35" s="35"/>
      <c r="J35" s="29"/>
      <c r="K35" s="19"/>
      <c r="L35" s="20"/>
      <c r="M35" s="37" t="str">
        <f>IF(I35=0,"",VLOOKUP(I35,Municipalités!$A$2:$B$1290,2,TRUE))</f>
        <v/>
      </c>
    </row>
    <row r="36" spans="1:13" ht="30" customHeight="1" x14ac:dyDescent="0.25">
      <c r="A36" s="45"/>
      <c r="B36" s="45"/>
      <c r="C36" s="30"/>
      <c r="D36" s="46"/>
      <c r="E36" s="27"/>
      <c r="F36" s="31"/>
      <c r="G36" s="82" t="str">
        <f>IF(F36=0,"",VLOOKUP(F36,Employés!$A$2:$B$186,2,0))</f>
        <v/>
      </c>
      <c r="H36" s="82"/>
      <c r="I36" s="35"/>
      <c r="J36" s="29"/>
      <c r="K36" s="19"/>
      <c r="L36" s="20"/>
      <c r="M36" s="37" t="str">
        <f>IF(I36=0,"",VLOOKUP(I36,Municipalités!$A$2:$B$1290,2,TRUE))</f>
        <v/>
      </c>
    </row>
    <row r="37" spans="1:13" ht="30" customHeight="1" x14ac:dyDescent="0.25">
      <c r="A37" s="45"/>
      <c r="B37" s="45"/>
      <c r="C37" s="39"/>
      <c r="D37" s="46"/>
      <c r="E37" s="27"/>
      <c r="F37" s="31"/>
      <c r="G37" s="82" t="str">
        <f>IF(F37=0,"",VLOOKUP(F37,Employés!$A$2:$B$186,2,0))</f>
        <v/>
      </c>
      <c r="H37" s="82"/>
      <c r="I37" s="35"/>
      <c r="J37" s="29"/>
      <c r="K37" s="19"/>
      <c r="L37" s="20"/>
      <c r="M37" s="37" t="str">
        <f>IF(I37=0,"",VLOOKUP(I37,Municipalités!$A$2:$B$1290,2,TRUE))</f>
        <v/>
      </c>
    </row>
    <row r="38" spans="1:13" ht="30" customHeight="1" x14ac:dyDescent="0.25">
      <c r="A38" s="45"/>
      <c r="B38" s="45"/>
      <c r="C38" s="39"/>
      <c r="D38" s="47"/>
      <c r="E38" s="27"/>
      <c r="F38" s="31"/>
      <c r="G38" s="82" t="str">
        <f>IF(F38=0,"",VLOOKUP(F38,Employés!$A$2:$B$186,2,0))</f>
        <v/>
      </c>
      <c r="H38" s="82"/>
      <c r="I38" s="35"/>
      <c r="J38" s="29"/>
      <c r="K38" s="19"/>
      <c r="L38" s="20"/>
      <c r="M38" s="37" t="str">
        <f>IF(I38=0,"",VLOOKUP(I38,Municipalités!$A$2:$B$1290,2,TRUE))</f>
        <v/>
      </c>
    </row>
    <row r="39" spans="1:13" ht="30" customHeight="1" x14ac:dyDescent="0.25">
      <c r="A39" s="45"/>
      <c r="B39" s="45"/>
      <c r="C39" s="39"/>
      <c r="D39" s="45"/>
      <c r="E39" s="27"/>
      <c r="F39" s="31"/>
      <c r="G39" s="82" t="str">
        <f>IF(F39=0,"",VLOOKUP(F39,Employés!$A$2:$B$186,2,0))</f>
        <v/>
      </c>
      <c r="H39" s="82"/>
      <c r="I39" s="35"/>
      <c r="J39" s="29"/>
      <c r="K39" s="26"/>
      <c r="L39" s="25"/>
      <c r="M39" s="37" t="str">
        <f>IF(I39=0,"",VLOOKUP(I39,Municipalités!$A$2:$B$1290,2,TRUE))</f>
        <v/>
      </c>
    </row>
    <row r="40" spans="1:13" ht="30" customHeight="1" x14ac:dyDescent="0.25">
      <c r="A40" s="8"/>
      <c r="B40" s="8"/>
      <c r="C40" s="30"/>
      <c r="D40" s="8"/>
      <c r="E40" s="27"/>
      <c r="F40" s="31"/>
      <c r="G40" s="82" t="str">
        <f>IF(F40=0,"",VLOOKUP(F40,Employés!$A$2:$B$186,2,0))</f>
        <v/>
      </c>
      <c r="H40" s="82"/>
      <c r="I40" s="35"/>
      <c r="J40" s="29"/>
      <c r="K40" s="26"/>
      <c r="L40" s="25"/>
      <c r="M40" s="37" t="str">
        <f>IF(I40=0,"",VLOOKUP(I40,Municipalités!$A$2:$B$1290,2,TRUE))</f>
        <v/>
      </c>
    </row>
    <row r="41" spans="1:13" ht="30" customHeight="1" x14ac:dyDescent="0.25">
      <c r="A41" s="8"/>
      <c r="B41" s="8"/>
      <c r="C41" s="30"/>
      <c r="D41" s="8"/>
      <c r="E41" s="27"/>
      <c r="F41" s="31"/>
      <c r="G41" s="82" t="str">
        <f>IF(F41=0,"",VLOOKUP(F41,Employés!$A$2:$B$186,2,0))</f>
        <v/>
      </c>
      <c r="H41" s="82"/>
      <c r="I41" s="35"/>
      <c r="J41" s="29"/>
      <c r="K41" s="26"/>
      <c r="L41" s="25"/>
      <c r="M41" s="37" t="str">
        <f>IF(I41=0,"",VLOOKUP(I41,Municipalités!$A$2:$B$1290,2,TRUE))</f>
        <v/>
      </c>
    </row>
    <row r="42" spans="1:13" ht="30" customHeight="1" x14ac:dyDescent="0.25">
      <c r="A42" s="8"/>
      <c r="B42" s="8"/>
      <c r="C42" s="30"/>
      <c r="D42" s="8"/>
      <c r="E42" s="27"/>
      <c r="F42" s="31"/>
      <c r="G42" s="82" t="str">
        <f>IF(F42=0,"",VLOOKUP(F42,Employés!$A$2:$B$186,2,0))</f>
        <v/>
      </c>
      <c r="H42" s="82"/>
      <c r="I42" s="35"/>
      <c r="J42" s="29"/>
      <c r="K42" s="26"/>
      <c r="L42" s="25"/>
      <c r="M42" s="37" t="str">
        <f>IF(I42=0,"",VLOOKUP(I42,Municipalités!$A$2:$B$1290,2,TRUE))</f>
        <v/>
      </c>
    </row>
    <row r="43" spans="1:13" ht="30" customHeight="1" x14ac:dyDescent="0.25">
      <c r="A43" s="8"/>
      <c r="B43" s="8"/>
      <c r="C43" s="30"/>
      <c r="D43" s="8"/>
      <c r="E43" s="27" t="s">
        <v>1420</v>
      </c>
      <c r="F43" s="31"/>
      <c r="G43" s="82" t="str">
        <f>IF(F43=0,"",VLOOKUP(F43,Employés!$A$2:$B$186,2,0))</f>
        <v/>
      </c>
      <c r="H43" s="82"/>
      <c r="I43" s="35"/>
      <c r="J43" s="29"/>
      <c r="K43" s="26"/>
      <c r="L43" s="25" t="s">
        <v>1420</v>
      </c>
      <c r="M43" s="37" t="str">
        <f>IF(I43=0,"",VLOOKUP(I43,Municipalités!$A$2:$B$1290,2,TRUE))</f>
        <v/>
      </c>
    </row>
    <row r="44" spans="1:13" ht="30" customHeight="1" x14ac:dyDescent="0.25">
      <c r="A44" s="8"/>
      <c r="B44" s="8"/>
      <c r="C44" s="30"/>
      <c r="D44" s="8"/>
      <c r="E44" s="27"/>
      <c r="F44" s="31"/>
      <c r="G44" s="82" t="str">
        <f>IF(F44=0,"",VLOOKUP(F44,Employés!$A$2:$B$186,2,0))</f>
        <v/>
      </c>
      <c r="H44" s="82"/>
      <c r="I44" s="35"/>
      <c r="J44" s="29"/>
      <c r="K44" s="26"/>
      <c r="L44" s="25"/>
      <c r="M44" s="37" t="str">
        <f>IF(I44=0,"",VLOOKUP(I44,Municipalités!$A$2:$B$1290,2,TRUE))</f>
        <v/>
      </c>
    </row>
    <row r="45" spans="1:13" ht="30" customHeight="1" x14ac:dyDescent="0.25">
      <c r="A45" s="8"/>
      <c r="B45" s="8"/>
      <c r="C45" s="30"/>
      <c r="D45" s="8"/>
      <c r="E45" s="27"/>
      <c r="F45" s="31"/>
      <c r="G45" s="82" t="str">
        <f>IF(F45=0,"",VLOOKUP(F45,Employés!$A$2:$B$186,2,0))</f>
        <v/>
      </c>
      <c r="H45" s="82"/>
      <c r="I45" s="35"/>
      <c r="J45" s="29"/>
      <c r="K45" s="26"/>
      <c r="L45" s="25"/>
      <c r="M45" s="37" t="str">
        <f>IF(I45=0,"",VLOOKUP(I45,Municipalités!$A$2:$B$1290,2,TRUE))</f>
        <v/>
      </c>
    </row>
    <row r="46" spans="1:13" ht="30" customHeight="1" x14ac:dyDescent="0.25">
      <c r="A46" s="8"/>
      <c r="B46" s="8"/>
      <c r="C46" s="30"/>
      <c r="D46" s="8"/>
      <c r="E46" s="27"/>
      <c r="F46" s="31"/>
      <c r="G46" s="82" t="str">
        <f>IF(F46=0,"",VLOOKUP(F46,Employés!$A$2:$B$186,2,0))</f>
        <v/>
      </c>
      <c r="H46" s="82"/>
      <c r="I46" s="35"/>
      <c r="J46" s="29"/>
      <c r="K46" s="26"/>
      <c r="L46" s="25"/>
      <c r="M46" s="37" t="str">
        <f>IF(I46=0,"",VLOOKUP(I46,Municipalités!$A$2:$B$1290,2,TRUE))</f>
        <v/>
      </c>
    </row>
    <row r="47" spans="1:13" ht="30" customHeight="1" x14ac:dyDescent="0.25">
      <c r="A47" s="8"/>
      <c r="B47" s="8"/>
      <c r="C47" s="30"/>
      <c r="D47" s="8"/>
      <c r="E47" s="27"/>
      <c r="F47" s="31"/>
      <c r="G47" s="82" t="str">
        <f>IF(F47=0,"",VLOOKUP(F47,Employés!$A$2:$B$186,2,0))</f>
        <v/>
      </c>
      <c r="H47" s="82"/>
      <c r="I47" s="35"/>
      <c r="J47" s="29"/>
      <c r="K47" s="26"/>
      <c r="L47" s="25"/>
      <c r="M47" s="37" t="str">
        <f>IF(I47=0,"",VLOOKUP(I47,Municipalités!$A$2:$B$1290,2,TRUE))</f>
        <v/>
      </c>
    </row>
    <row r="48" spans="1:13" ht="30" customHeight="1" x14ac:dyDescent="0.25">
      <c r="A48" s="8"/>
      <c r="B48" s="8"/>
      <c r="C48" s="30"/>
      <c r="D48" s="8"/>
      <c r="E48" s="27"/>
      <c r="F48" s="31"/>
      <c r="G48" s="82" t="str">
        <f>IF(F48=0,"",VLOOKUP(F48,Employés!$A$2:$B$186,2,0))</f>
        <v/>
      </c>
      <c r="H48" s="82"/>
      <c r="I48" s="35"/>
      <c r="J48" s="29"/>
      <c r="K48" s="26"/>
      <c r="L48" s="25"/>
      <c r="M48" s="37" t="str">
        <f>IF(I48=0,"",VLOOKUP(I48,Municipalités!$A$2:$B$1290,2,TRUE))</f>
        <v/>
      </c>
    </row>
    <row r="49" spans="1:13" ht="30" customHeight="1" x14ac:dyDescent="0.25">
      <c r="A49" s="8"/>
      <c r="B49" s="8"/>
      <c r="C49" s="30"/>
      <c r="D49" s="8"/>
      <c r="E49" s="27"/>
      <c r="F49" s="31"/>
      <c r="G49" s="82" t="str">
        <f>IF(F49=0,"",VLOOKUP(F49,Employés!$A$2:$B$186,2,0))</f>
        <v/>
      </c>
      <c r="H49" s="82"/>
      <c r="I49" s="35"/>
      <c r="J49" s="29"/>
      <c r="K49" s="26"/>
      <c r="L49" s="25"/>
      <c r="M49" s="37" t="str">
        <f>IF(I49=0,"",VLOOKUP(I49,Municipalités!$A$2:$B$1290,2,TRUE))</f>
        <v/>
      </c>
    </row>
    <row r="50" spans="1:13" ht="30" customHeight="1" x14ac:dyDescent="0.25">
      <c r="A50" s="8"/>
      <c r="B50" s="8"/>
      <c r="C50" s="30"/>
      <c r="D50" s="8"/>
      <c r="E50" s="27"/>
      <c r="F50" s="31"/>
      <c r="G50" s="82" t="str">
        <f>IF(F50=0,"",VLOOKUP(F50,Employés!$A$2:$B$186,2,0))</f>
        <v/>
      </c>
      <c r="H50" s="82"/>
      <c r="I50" s="35"/>
      <c r="J50" s="29"/>
      <c r="K50" s="26"/>
      <c r="L50" s="25"/>
      <c r="M50" s="37" t="str">
        <f>IF(I50=0,"",VLOOKUP(I50,Municipalités!$A$2:$B$1290,2,TRUE))</f>
        <v/>
      </c>
    </row>
    <row r="51" spans="1:13" ht="30" customHeight="1" x14ac:dyDescent="0.25">
      <c r="A51" s="8"/>
      <c r="B51" s="8"/>
      <c r="C51" s="30"/>
      <c r="D51" s="8"/>
      <c r="E51" s="27"/>
      <c r="F51" s="31"/>
      <c r="G51" s="82" t="str">
        <f>IF(F51=0,"",VLOOKUP(F51,Employés!$A$2:$B$186,2,0))</f>
        <v/>
      </c>
      <c r="H51" s="82"/>
      <c r="I51" s="35"/>
      <c r="J51" s="29"/>
      <c r="K51" s="26"/>
      <c r="L51" s="25"/>
      <c r="M51" s="37" t="str">
        <f>IF(I51=0,"",VLOOKUP(I51,Municipalités!$A$2:$B$1290,2,TRUE))</f>
        <v/>
      </c>
    </row>
    <row r="52" spans="1:13" ht="30" customHeight="1" x14ac:dyDescent="0.25">
      <c r="A52" s="8"/>
      <c r="B52" s="8"/>
      <c r="C52" s="30"/>
      <c r="D52" s="8"/>
      <c r="E52" s="27"/>
      <c r="F52" s="31"/>
      <c r="G52" s="82" t="str">
        <f>IF(F52=0,"",VLOOKUP(F52,Employés!$A$2:$B$186,2,0))</f>
        <v/>
      </c>
      <c r="H52" s="82"/>
      <c r="I52" s="35"/>
      <c r="J52" s="29"/>
      <c r="K52" s="26"/>
      <c r="L52" s="25"/>
      <c r="M52" s="37" t="str">
        <f>IF(I52=0,"",VLOOKUP(I52,Municipalités!$A$2:$B$1290,2,TRUE))</f>
        <v/>
      </c>
    </row>
    <row r="53" spans="1:13" ht="30" customHeight="1" x14ac:dyDescent="0.25">
      <c r="A53" s="8"/>
      <c r="B53" s="8"/>
      <c r="C53" s="30"/>
      <c r="D53" s="8"/>
      <c r="E53" s="27"/>
      <c r="F53" s="31"/>
      <c r="G53" s="82" t="str">
        <f>IF(F53=0,"",VLOOKUP(F53,Employés!$A$2:$B$186,2,0))</f>
        <v/>
      </c>
      <c r="H53" s="82"/>
      <c r="I53" s="35"/>
      <c r="J53" s="29"/>
      <c r="K53" s="26"/>
      <c r="L53" s="25"/>
      <c r="M53" s="37" t="str">
        <f>IF(I53=0,"",VLOOKUP(I53,Municipalités!$A$2:$B$1290,2,TRUE))</f>
        <v/>
      </c>
    </row>
    <row r="54" spans="1:13" ht="30" customHeight="1" x14ac:dyDescent="0.25">
      <c r="A54" s="8"/>
      <c r="B54" s="8"/>
      <c r="C54" s="30"/>
      <c r="D54" s="8"/>
      <c r="E54" s="27"/>
      <c r="F54" s="31"/>
      <c r="G54" s="82" t="str">
        <f>IF(F54=0,"",VLOOKUP(F54,Employés!$A$2:$B$186,2,0))</f>
        <v/>
      </c>
      <c r="H54" s="82"/>
      <c r="I54" s="35"/>
      <c r="J54" s="29"/>
      <c r="K54" s="26"/>
      <c r="L54" s="25"/>
      <c r="M54" s="37" t="str">
        <f>IF(I54=0,"",VLOOKUP(I54,Municipalités!$A$2:$B$1290,2,TRUE))</f>
        <v/>
      </c>
    </row>
    <row r="55" spans="1:13" ht="30" customHeight="1" x14ac:dyDescent="0.25">
      <c r="A55" s="8"/>
      <c r="B55" s="8"/>
      <c r="C55" s="30"/>
      <c r="D55" s="8"/>
      <c r="E55" s="27"/>
      <c r="F55" s="31"/>
      <c r="G55" s="82" t="str">
        <f>IF(F55=0,"",VLOOKUP(F55,Employés!$A$2:$B$186,2,0))</f>
        <v/>
      </c>
      <c r="H55" s="82"/>
      <c r="I55" s="35"/>
      <c r="J55" s="29"/>
      <c r="K55" s="26"/>
      <c r="L55" s="25"/>
      <c r="M55" s="37" t="str">
        <f>IF(I55=0,"",VLOOKUP(I55,Municipalités!$A$2:$B$1290,2,TRUE))</f>
        <v/>
      </c>
    </row>
    <row r="56" spans="1:13" ht="30" customHeight="1" x14ac:dyDescent="0.25">
      <c r="A56" s="8"/>
      <c r="B56" s="8"/>
      <c r="C56" s="30"/>
      <c r="D56" s="8"/>
      <c r="E56" s="27"/>
      <c r="F56" s="31"/>
      <c r="G56" s="82" t="str">
        <f>IF(F56=0,"",VLOOKUP(F56,Employés!$A$2:$B$186,2,0))</f>
        <v/>
      </c>
      <c r="H56" s="82"/>
      <c r="I56" s="35"/>
      <c r="J56" s="29"/>
      <c r="K56" s="26"/>
      <c r="L56" s="25"/>
      <c r="M56" s="37" t="str">
        <f>IF(I56=0,"",VLOOKUP(I56,Municipalités!$A$2:$B$1290,2,TRUE))</f>
        <v/>
      </c>
    </row>
    <row r="57" spans="1:13" ht="30" customHeight="1" x14ac:dyDescent="0.25">
      <c r="A57" s="8"/>
      <c r="B57" s="8"/>
      <c r="C57" s="30"/>
      <c r="D57" s="8"/>
      <c r="E57" s="27"/>
      <c r="F57" s="31"/>
      <c r="G57" s="82" t="str">
        <f>IF(F57=0,"",VLOOKUP(F57,Employés!$A$2:$B$186,2,0))</f>
        <v/>
      </c>
      <c r="H57" s="82"/>
      <c r="I57" s="35"/>
      <c r="J57" s="29"/>
      <c r="K57" s="26"/>
      <c r="L57" s="25"/>
      <c r="M57" s="37" t="str">
        <f>IF(I57=0,"",VLOOKUP(I57,Municipalités!$A$2:$B$1290,2,TRUE))</f>
        <v/>
      </c>
    </row>
    <row r="58" spans="1:13" ht="30" customHeight="1" x14ac:dyDescent="0.25">
      <c r="A58" s="8"/>
      <c r="B58" s="8"/>
      <c r="C58" s="30"/>
      <c r="D58" s="8"/>
      <c r="E58" s="27"/>
      <c r="F58" s="31"/>
      <c r="G58" s="82" t="str">
        <f>IF(F58=0,"",VLOOKUP(F58,Employés!$A$2:$B$186,2,0))</f>
        <v/>
      </c>
      <c r="H58" s="82"/>
      <c r="I58" s="35"/>
      <c r="J58" s="29"/>
      <c r="K58" s="26"/>
      <c r="L58" s="25"/>
      <c r="M58" s="37" t="str">
        <f>IF(I58=0,"",VLOOKUP(I58,Municipalités!$A$2:$B$1290,2,TRUE))</f>
        <v/>
      </c>
    </row>
    <row r="59" spans="1:13" ht="30" customHeight="1" x14ac:dyDescent="0.25">
      <c r="A59" s="8"/>
      <c r="B59" s="8"/>
      <c r="C59" s="30"/>
      <c r="D59" s="8"/>
      <c r="E59" s="27"/>
      <c r="F59" s="31"/>
      <c r="G59" s="82" t="str">
        <f>IF(F59=0,"",VLOOKUP(F59,Employés!$A$2:$B$186,2,0))</f>
        <v/>
      </c>
      <c r="H59" s="82"/>
      <c r="I59" s="35"/>
      <c r="J59" s="29"/>
      <c r="K59" s="26"/>
      <c r="L59" s="25"/>
      <c r="M59" s="37" t="str">
        <f>IF(I59=0,"",VLOOKUP(I59,Municipalités!$A$2:$B$1290,2,TRUE))</f>
        <v/>
      </c>
    </row>
    <row r="60" spans="1:13" ht="30" customHeight="1" x14ac:dyDescent="0.25">
      <c r="A60" s="8"/>
      <c r="B60" s="8"/>
      <c r="C60" s="30"/>
      <c r="D60" s="8"/>
      <c r="E60" s="27"/>
      <c r="F60" s="31"/>
      <c r="G60" s="82" t="str">
        <f>IF(F60=0,"",VLOOKUP(F60,Employés!$A$2:$B$186,2,0))</f>
        <v/>
      </c>
      <c r="H60" s="82"/>
      <c r="I60" s="35"/>
      <c r="J60" s="29"/>
      <c r="K60" s="26"/>
      <c r="L60" s="25"/>
      <c r="M60" s="37" t="str">
        <f>IF(I60=0,"",VLOOKUP(I60,Municipalités!$A$2:$B$1290,2,TRUE))</f>
        <v/>
      </c>
    </row>
    <row r="61" spans="1:13" ht="30" customHeight="1" x14ac:dyDescent="0.25">
      <c r="A61" s="8"/>
      <c r="B61" s="8"/>
      <c r="C61" s="30"/>
      <c r="D61" s="8"/>
      <c r="E61" s="27"/>
      <c r="F61" s="31"/>
      <c r="G61" s="82" t="str">
        <f>IF(F61=0,"",VLOOKUP(F61,Employés!$A$2:$B$186,2,0))</f>
        <v/>
      </c>
      <c r="H61" s="82"/>
      <c r="I61" s="35"/>
      <c r="J61" s="29"/>
      <c r="K61" s="26"/>
      <c r="L61" s="25"/>
      <c r="M61" s="37" t="str">
        <f>IF(I61=0,"",VLOOKUP(I61,Municipalités!$A$2:$B$1290,2,TRUE))</f>
        <v/>
      </c>
    </row>
    <row r="62" spans="1:13" x14ac:dyDescent="0.25">
      <c r="C62" s="14"/>
    </row>
    <row r="63" spans="1:13" x14ac:dyDescent="0.25">
      <c r="C63" s="14"/>
    </row>
    <row r="64" spans="1:13" x14ac:dyDescent="0.25">
      <c r="C64" s="14"/>
    </row>
    <row r="65" spans="3:5" x14ac:dyDescent="0.25">
      <c r="C65" s="14"/>
    </row>
    <row r="66" spans="3:5" x14ac:dyDescent="0.25">
      <c r="C66" s="14"/>
    </row>
    <row r="67" spans="3:5" x14ac:dyDescent="0.25">
      <c r="C67" s="14"/>
    </row>
    <row r="68" spans="3:5" x14ac:dyDescent="0.25">
      <c r="C68" s="14"/>
    </row>
    <row r="69" spans="3:5" x14ac:dyDescent="0.25">
      <c r="C69" s="14"/>
    </row>
    <row r="70" spans="3:5" x14ac:dyDescent="0.25">
      <c r="C70" s="14"/>
    </row>
    <row r="71" spans="3:5" x14ac:dyDescent="0.25">
      <c r="C71" s="14"/>
    </row>
    <row r="72" spans="3:5" x14ac:dyDescent="0.25">
      <c r="C72" s="14"/>
    </row>
    <row r="73" spans="3:5" x14ac:dyDescent="0.25">
      <c r="C73" s="14"/>
    </row>
    <row r="74" spans="3:5" x14ac:dyDescent="0.25">
      <c r="C74" s="14"/>
    </row>
    <row r="75" spans="3:5" x14ac:dyDescent="0.25">
      <c r="C75" s="14"/>
    </row>
    <row r="76" spans="3:5" x14ac:dyDescent="0.25">
      <c r="C76" s="14"/>
    </row>
    <row r="77" spans="3:5" x14ac:dyDescent="0.25">
      <c r="C77" s="14"/>
    </row>
    <row r="78" spans="3:5" x14ac:dyDescent="0.25">
      <c r="C78" s="14"/>
      <c r="E78" s="21" t="s">
        <v>1420</v>
      </c>
    </row>
    <row r="79" spans="3:5" x14ac:dyDescent="0.25">
      <c r="C79" s="14"/>
    </row>
    <row r="80" spans="3:5" x14ac:dyDescent="0.25">
      <c r="C80" s="14"/>
    </row>
    <row r="81" spans="3:3" x14ac:dyDescent="0.25">
      <c r="C81" s="14"/>
    </row>
    <row r="82" spans="3:3" x14ac:dyDescent="0.25">
      <c r="C82" s="14"/>
    </row>
    <row r="83" spans="3:3" x14ac:dyDescent="0.25">
      <c r="C83" s="14"/>
    </row>
    <row r="84" spans="3:3" x14ac:dyDescent="0.25">
      <c r="C84" s="14"/>
    </row>
    <row r="85" spans="3:3" x14ac:dyDescent="0.25">
      <c r="C85" s="14"/>
    </row>
    <row r="86" spans="3:3" x14ac:dyDescent="0.25">
      <c r="C86" s="14"/>
    </row>
    <row r="87" spans="3:3" x14ac:dyDescent="0.25">
      <c r="C87" s="14"/>
    </row>
    <row r="88" spans="3:3" x14ac:dyDescent="0.25">
      <c r="C88" s="14"/>
    </row>
    <row r="89" spans="3:3" x14ac:dyDescent="0.25">
      <c r="C89" s="14"/>
    </row>
    <row r="90" spans="3:3" x14ac:dyDescent="0.25">
      <c r="C90" s="14"/>
    </row>
    <row r="91" spans="3:3" x14ac:dyDescent="0.25">
      <c r="C91" s="14"/>
    </row>
    <row r="92" spans="3:3" x14ac:dyDescent="0.25">
      <c r="C92" s="14"/>
    </row>
    <row r="93" spans="3:3" x14ac:dyDescent="0.25">
      <c r="C93" s="14"/>
    </row>
    <row r="94" spans="3:3" x14ac:dyDescent="0.25">
      <c r="C94" s="14"/>
    </row>
    <row r="95" spans="3:3" x14ac:dyDescent="0.25">
      <c r="C95" s="14"/>
    </row>
    <row r="96" spans="3:3" x14ac:dyDescent="0.25">
      <c r="C96" s="14"/>
    </row>
    <row r="97" spans="3:3" x14ac:dyDescent="0.25">
      <c r="C97" s="14"/>
    </row>
    <row r="98" spans="3:3" x14ac:dyDescent="0.25">
      <c r="C98" s="14"/>
    </row>
  </sheetData>
  <mergeCells count="67">
    <mergeCell ref="G59:H59"/>
    <mergeCell ref="G60:H60"/>
    <mergeCell ref="G61:H61"/>
    <mergeCell ref="G53:H53"/>
    <mergeCell ref="G54:H54"/>
    <mergeCell ref="G55:H55"/>
    <mergeCell ref="G56:H56"/>
    <mergeCell ref="G57:H57"/>
    <mergeCell ref="G58:H58"/>
    <mergeCell ref="G52:H52"/>
    <mergeCell ref="G41:H41"/>
    <mergeCell ref="G42:H42"/>
    <mergeCell ref="G43:H43"/>
    <mergeCell ref="G44:H44"/>
    <mergeCell ref="G45:H45"/>
    <mergeCell ref="G46:H46"/>
    <mergeCell ref="G47:H47"/>
    <mergeCell ref="G48:H48"/>
    <mergeCell ref="G49:H49"/>
    <mergeCell ref="G50:H50"/>
    <mergeCell ref="G51:H51"/>
    <mergeCell ref="G40:H40"/>
    <mergeCell ref="G29:H29"/>
    <mergeCell ref="G30:H30"/>
    <mergeCell ref="G31:H31"/>
    <mergeCell ref="G32:H32"/>
    <mergeCell ref="G33:H33"/>
    <mergeCell ref="G34:H34"/>
    <mergeCell ref="G35:H35"/>
    <mergeCell ref="G36:H36"/>
    <mergeCell ref="G37:H37"/>
    <mergeCell ref="G38:H38"/>
    <mergeCell ref="G39:H39"/>
    <mergeCell ref="G28:H28"/>
    <mergeCell ref="G17:H17"/>
    <mergeCell ref="G18:H18"/>
    <mergeCell ref="G19:H19"/>
    <mergeCell ref="G20:H20"/>
    <mergeCell ref="G21:H21"/>
    <mergeCell ref="G22:H22"/>
    <mergeCell ref="G23:H23"/>
    <mergeCell ref="G24:H24"/>
    <mergeCell ref="G25:H25"/>
    <mergeCell ref="G26:H26"/>
    <mergeCell ref="G27:H27"/>
    <mergeCell ref="M2:M4"/>
    <mergeCell ref="G16:H16"/>
    <mergeCell ref="I6:I7"/>
    <mergeCell ref="J6:J7"/>
    <mergeCell ref="K6:M6"/>
    <mergeCell ref="G8:H8"/>
    <mergeCell ref="G9:H9"/>
    <mergeCell ref="G10:H10"/>
    <mergeCell ref="G11:H11"/>
    <mergeCell ref="G12:H12"/>
    <mergeCell ref="G13:H13"/>
    <mergeCell ref="G14:H14"/>
    <mergeCell ref="G15:H15"/>
    <mergeCell ref="E1:F4"/>
    <mergeCell ref="L1:L2"/>
    <mergeCell ref="A6:A7"/>
    <mergeCell ref="B6:B7"/>
    <mergeCell ref="C6:C7"/>
    <mergeCell ref="D6:D7"/>
    <mergeCell ref="E6:E7"/>
    <mergeCell ref="F6:F7"/>
    <mergeCell ref="G6:H7"/>
  </mergeCells>
  <conditionalFormatting sqref="C16:C21 C23:C45">
    <cfRule type="expression" dxfId="35" priority="7" stopIfTrue="1">
      <formula>#REF!=1</formula>
    </cfRule>
    <cfRule type="expression" priority="8" stopIfTrue="1">
      <formula>#REF!=2</formula>
    </cfRule>
    <cfRule type="expression" dxfId="34" priority="9" stopIfTrue="1">
      <formula>#REF!=3</formula>
    </cfRule>
  </conditionalFormatting>
  <conditionalFormatting sqref="C22">
    <cfRule type="expression" dxfId="33" priority="4" stopIfTrue="1">
      <formula>#REF!=1</formula>
    </cfRule>
    <cfRule type="expression" priority="5" stopIfTrue="1">
      <formula>#REF!=2</formula>
    </cfRule>
    <cfRule type="expression" dxfId="32" priority="6" stopIfTrue="1">
      <formula>#REF!=3</formula>
    </cfRule>
  </conditionalFormatting>
  <conditionalFormatting sqref="C46:C61">
    <cfRule type="expression" dxfId="31" priority="1" stopIfTrue="1">
      <formula>#REF!=1</formula>
    </cfRule>
    <cfRule type="expression" priority="2" stopIfTrue="1">
      <formula>#REF!=2</formula>
    </cfRule>
    <cfRule type="expression" dxfId="30" priority="3" stopIfTrue="1">
      <formula>#REF!=3</formula>
    </cfRule>
  </conditionalFormatting>
  <dataValidations count="2">
    <dataValidation operator="greaterThan" allowBlank="1" showDropDown="1" showInputMessage="1" showErrorMessage="1" errorTitle="Saisie incorrecte" error="Re-Saisir le numéro de dossier sous le format_x000a_000-000000-000" promptTitle="Saisie du numéro d'événement" prompt="000-000000-000_x000a_Ex. : 071-030901-001" sqref="J8:J39" xr:uid="{00000000-0002-0000-1900-000000000000}"/>
    <dataValidation type="textLength" operator="greaterThanOrEqual" allowBlank="1" showInputMessage="1" showErrorMessage="1" errorTitle="Saisie incorrecte" error="Re-saisir le numéro d'entrée en utilisant 3 chiffres_x000a_Ex.: 001" promptTitle="Saisie du numéro d'entrée" prompt="Minimum 3 chiffres_x000a_Ex.: 001" sqref="C8:C39" xr:uid="{00000000-0002-0000-1900-000001000000}">
      <formula1>3</formula1>
    </dataValidation>
  </dataValidations>
  <printOptions horizontalCentered="1" verticalCentered="1"/>
  <pageMargins left="0" right="0" top="0.31496062992125984" bottom="0.39370078740157483" header="0.15748031496062992" footer="0.19685039370078741"/>
  <pageSetup paperSize="5" scale="90" orientation="landscape" r:id="rId1"/>
  <headerFooter alignWithMargins="0">
    <oddFooter>&amp;R&amp;8Page &amp;P de &amp;N</oddFooter>
  </headerFooter>
  <drawing r:id="rId2"/>
  <legacyDrawing r:id="rId3"/>
  <controls>
    <mc:AlternateContent xmlns:mc="http://schemas.openxmlformats.org/markup-compatibility/2006">
      <mc:Choice Requires="x14">
        <control shapeId="167939" r:id="rId4" name="ComboBox2">
          <controlPr defaultSize="0" autoLine="0" r:id="rId5">
            <anchor moveWithCells="1">
              <from>
                <xdr:col>4</xdr:col>
                <xdr:colOff>0</xdr:colOff>
                <xdr:row>10</xdr:row>
                <xdr:rowOff>0</xdr:rowOff>
              </from>
              <to>
                <xdr:col>4</xdr:col>
                <xdr:colOff>2965450</xdr:colOff>
                <xdr:row>11</xdr:row>
                <xdr:rowOff>38100</xdr:rowOff>
              </to>
            </anchor>
          </controlPr>
        </control>
      </mc:Choice>
      <mc:Fallback>
        <control shapeId="167939" r:id="rId4" name="ComboBox2"/>
      </mc:Fallback>
    </mc:AlternateContent>
    <mc:AlternateContent xmlns:mc="http://schemas.openxmlformats.org/markup-compatibility/2006">
      <mc:Choice Requires="x14">
        <control shapeId="167938" r:id="rId6" name="ComboBox1">
          <controlPr defaultSize="0" autoLine="0" r:id="rId7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11</xdr:col>
                <xdr:colOff>1803400</xdr:colOff>
                <xdr:row>9</xdr:row>
                <xdr:rowOff>38100</xdr:rowOff>
              </to>
            </anchor>
          </controlPr>
        </control>
      </mc:Choice>
      <mc:Fallback>
        <control shapeId="167938" r:id="rId6" name="ComboBox1"/>
      </mc:Fallback>
    </mc:AlternateContent>
    <mc:AlternateContent xmlns:mc="http://schemas.openxmlformats.org/markup-compatibility/2006">
      <mc:Choice Requires="x14">
        <control shapeId="167937" r:id="rId8" name="Button 1">
          <controlPr defaultSize="0" print="0" autoFill="0" autoPict="0" macro="[0]!test2">
            <anchor moveWithCells="1">
              <from>
                <xdr:col>5</xdr:col>
                <xdr:colOff>222250</xdr:colOff>
                <xdr:row>1</xdr:row>
                <xdr:rowOff>139700</xdr:rowOff>
              </from>
              <to>
                <xdr:col>9</xdr:col>
                <xdr:colOff>1143000</xdr:colOff>
                <xdr:row>4</xdr:row>
                <xdr:rowOff>107950</xdr:rowOff>
              </to>
            </anchor>
          </controlPr>
        </control>
      </mc:Choice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Feuil84"/>
  <dimension ref="A1:M98"/>
  <sheetViews>
    <sheetView showGridLines="0" zoomScaleNormal="100" workbookViewId="0">
      <pane xSplit="3" ySplit="7" topLeftCell="D8" activePane="bottomRight" state="frozen"/>
      <selection activeCell="C8" sqref="C8"/>
      <selection pane="topRight" activeCell="C8" sqref="C8"/>
      <selection pane="bottomLeft" activeCell="C8" sqref="C8"/>
      <selection pane="bottomRight" activeCell="M2" sqref="M2:M5"/>
    </sheetView>
  </sheetViews>
  <sheetFormatPr baseColWidth="10" defaultColWidth="11.453125" defaultRowHeight="13" x14ac:dyDescent="0.25"/>
  <cols>
    <col min="1" max="2" width="5.6328125" style="1" customWidth="1"/>
    <col min="3" max="3" width="6.6328125" style="1" customWidth="1"/>
    <col min="4" max="4" width="7.54296875" style="1" customWidth="1"/>
    <col min="5" max="5" width="44.453125" style="21" customWidth="1"/>
    <col min="6" max="6" width="10.54296875" style="1" customWidth="1"/>
    <col min="7" max="7" width="13.90625" style="1" customWidth="1"/>
    <col min="8" max="8" width="4.6328125" style="1" hidden="1" customWidth="1"/>
    <col min="9" max="9" width="6.08984375" style="1" customWidth="1"/>
    <col min="10" max="10" width="26.54296875" style="1" customWidth="1"/>
    <col min="11" max="11" width="7.36328125" style="1" customWidth="1"/>
    <col min="12" max="12" width="27" style="24" customWidth="1"/>
    <col min="13" max="13" width="26" style="1" customWidth="1"/>
    <col min="14" max="16384" width="11.453125" style="1"/>
  </cols>
  <sheetData>
    <row r="1" spans="1:13" ht="12.75" customHeight="1" x14ac:dyDescent="0.25">
      <c r="E1" s="71" t="s">
        <v>1023</v>
      </c>
      <c r="F1" s="72"/>
      <c r="L1" s="73" t="s">
        <v>1021</v>
      </c>
      <c r="M1" s="51" t="s">
        <v>1022</v>
      </c>
    </row>
    <row r="2" spans="1:13" ht="12.75" customHeight="1" x14ac:dyDescent="0.25">
      <c r="E2" s="72"/>
      <c r="F2" s="72"/>
      <c r="L2" s="74"/>
      <c r="M2" s="70">
        <f>'26'!M2:M5+1</f>
        <v>42731</v>
      </c>
    </row>
    <row r="3" spans="1:13" ht="12.75" customHeight="1" x14ac:dyDescent="0.25">
      <c r="E3" s="72"/>
      <c r="F3" s="72"/>
      <c r="L3" s="52"/>
      <c r="M3" s="70"/>
    </row>
    <row r="4" spans="1:13" ht="15.75" customHeight="1" x14ac:dyDescent="0.25">
      <c r="E4" s="72"/>
      <c r="F4" s="72"/>
      <c r="L4" s="49" t="s">
        <v>140</v>
      </c>
      <c r="M4" s="70"/>
    </row>
    <row r="5" spans="1:13" ht="21.9" customHeight="1" thickBot="1" x14ac:dyDescent="0.3">
      <c r="L5" s="36"/>
      <c r="M5" s="69">
        <f>M2</f>
        <v>42731</v>
      </c>
    </row>
    <row r="6" spans="1:13" ht="24.9" customHeight="1" x14ac:dyDescent="0.25">
      <c r="A6" s="75" t="s">
        <v>2351</v>
      </c>
      <c r="B6" s="75" t="s">
        <v>2350</v>
      </c>
      <c r="C6" s="76" t="s">
        <v>1362</v>
      </c>
      <c r="D6" s="75" t="s">
        <v>1153</v>
      </c>
      <c r="E6" s="75" t="s">
        <v>1016</v>
      </c>
      <c r="F6" s="76" t="s">
        <v>2352</v>
      </c>
      <c r="G6" s="76" t="s">
        <v>1017</v>
      </c>
      <c r="H6" s="79"/>
      <c r="I6" s="76" t="s">
        <v>1364</v>
      </c>
      <c r="J6" s="76" t="s">
        <v>1363</v>
      </c>
      <c r="K6" s="83" t="s">
        <v>1018</v>
      </c>
      <c r="L6" s="84"/>
      <c r="M6" s="84"/>
    </row>
    <row r="7" spans="1:13" ht="12.5" x14ac:dyDescent="0.25">
      <c r="A7" s="75"/>
      <c r="B7" s="75"/>
      <c r="C7" s="77"/>
      <c r="D7" s="75"/>
      <c r="E7" s="75"/>
      <c r="F7" s="78"/>
      <c r="G7" s="80"/>
      <c r="H7" s="81"/>
      <c r="I7" s="77"/>
      <c r="J7" s="77"/>
      <c r="K7" s="50" t="s">
        <v>1015</v>
      </c>
      <c r="L7" s="50" t="s">
        <v>1019</v>
      </c>
      <c r="M7" s="32" t="s">
        <v>1020</v>
      </c>
    </row>
    <row r="8" spans="1:13" ht="30" customHeight="1" x14ac:dyDescent="0.25">
      <c r="A8" s="45"/>
      <c r="B8" s="45"/>
      <c r="C8" s="30"/>
      <c r="D8" s="46"/>
      <c r="E8" s="27"/>
      <c r="F8" s="31"/>
      <c r="G8" s="82" t="str">
        <f>IF(F8=0,"",VLOOKUP(F8,Employés!$A$2:$B$186,2,0))</f>
        <v/>
      </c>
      <c r="H8" s="82"/>
      <c r="I8" s="34"/>
      <c r="J8" s="33"/>
      <c r="K8" s="19"/>
      <c r="L8" s="20" t="s">
        <v>1420</v>
      </c>
      <c r="M8" s="37" t="str">
        <f>IF(I8=0,"",VLOOKUP(I8,Municipalités!$A$2:$B$1290,2,TRUE))</f>
        <v/>
      </c>
    </row>
    <row r="9" spans="1:13" ht="30" customHeight="1" x14ac:dyDescent="0.25">
      <c r="A9" s="45"/>
      <c r="B9" s="45"/>
      <c r="C9" s="39"/>
      <c r="D9" s="47"/>
      <c r="E9" s="27"/>
      <c r="F9" s="31"/>
      <c r="G9" s="82" t="str">
        <f>IF(F9=0,"",VLOOKUP(F9,Employés!$A$2:$B$186,2,0))</f>
        <v/>
      </c>
      <c r="H9" s="82"/>
      <c r="I9" s="35"/>
      <c r="J9" s="33"/>
      <c r="K9" s="19"/>
      <c r="L9" s="20"/>
      <c r="M9" s="37" t="str">
        <f>IF(I9=0,"",VLOOKUP(I9,Municipalités!$A$2:$B$1290,2,TRUE))</f>
        <v/>
      </c>
    </row>
    <row r="10" spans="1:13" ht="30" customHeight="1" x14ac:dyDescent="0.25">
      <c r="A10" s="45"/>
      <c r="B10" s="45"/>
      <c r="C10" s="39"/>
      <c r="D10" s="48"/>
      <c r="E10" s="28"/>
      <c r="F10" s="31"/>
      <c r="G10" s="82" t="str">
        <f>IF(F10=0,"",VLOOKUP(F10,Employés!$A$2:$B$186,2,0))</f>
        <v/>
      </c>
      <c r="H10" s="82"/>
      <c r="I10" s="35"/>
      <c r="J10" s="29"/>
      <c r="K10" s="19"/>
      <c r="L10" s="20"/>
      <c r="M10" s="37" t="str">
        <f>IF(I10=0,"",VLOOKUP(I10,Municipalités!$A$2:$B$1290,2,TRUE))</f>
        <v/>
      </c>
    </row>
    <row r="11" spans="1:13" ht="30" customHeight="1" x14ac:dyDescent="0.25">
      <c r="A11" s="45"/>
      <c r="B11" s="45"/>
      <c r="C11" s="39"/>
      <c r="D11" s="47"/>
      <c r="E11" s="28" t="s">
        <v>1420</v>
      </c>
      <c r="F11" s="31"/>
      <c r="G11" s="82" t="str">
        <f>IF(F11=0,"",VLOOKUP(F11,Employés!$A$2:$B$186,2,0))</f>
        <v/>
      </c>
      <c r="H11" s="82"/>
      <c r="I11" s="35"/>
      <c r="J11" s="29"/>
      <c r="K11" s="19"/>
      <c r="L11" s="20"/>
      <c r="M11" s="37" t="str">
        <f>IF(I11=0,"",VLOOKUP(I11,Municipalités!$A$2:$B$1290,2,TRUE))</f>
        <v/>
      </c>
    </row>
    <row r="12" spans="1:13" ht="30" customHeight="1" x14ac:dyDescent="0.25">
      <c r="A12" s="45"/>
      <c r="B12" s="45"/>
      <c r="C12" s="39"/>
      <c r="D12" s="46"/>
      <c r="E12" s="27"/>
      <c r="F12" s="31"/>
      <c r="G12" s="82" t="str">
        <f>IF(F12=0,"",VLOOKUP(F12,Employés!$A$2:$B$186,2,0))</f>
        <v/>
      </c>
      <c r="H12" s="82"/>
      <c r="I12" s="35"/>
      <c r="J12" s="29"/>
      <c r="K12" s="19"/>
      <c r="L12" s="20"/>
      <c r="M12" s="37" t="str">
        <f>IF(I12=0,"",VLOOKUP(I12,Municipalités!$A$2:$B$1290,2,TRUE))</f>
        <v/>
      </c>
    </row>
    <row r="13" spans="1:13" ht="30" customHeight="1" x14ac:dyDescent="0.25">
      <c r="A13" s="45"/>
      <c r="B13" s="45"/>
      <c r="C13" s="39"/>
      <c r="D13" s="46"/>
      <c r="E13" s="27"/>
      <c r="F13" s="31"/>
      <c r="G13" s="82" t="str">
        <f>IF(F13=0,"",VLOOKUP(F13,Employés!$A$2:$B$186,2,0))</f>
        <v/>
      </c>
      <c r="H13" s="82"/>
      <c r="I13" s="35"/>
      <c r="J13" s="29"/>
      <c r="K13" s="19"/>
      <c r="L13" s="20"/>
      <c r="M13" s="37" t="str">
        <f>IF(I13=0,"",VLOOKUP(I13,Municipalités!$A$2:$B$1290,2,TRUE))</f>
        <v/>
      </c>
    </row>
    <row r="14" spans="1:13" ht="30" customHeight="1" x14ac:dyDescent="0.25">
      <c r="A14" s="45"/>
      <c r="B14" s="45"/>
      <c r="C14" s="39"/>
      <c r="D14" s="47"/>
      <c r="E14" s="27"/>
      <c r="F14" s="31"/>
      <c r="G14" s="82" t="str">
        <f>IF(F14=0,"",VLOOKUP(F14,Employés!$A$2:$B$186,2,0))</f>
        <v/>
      </c>
      <c r="H14" s="82"/>
      <c r="I14" s="35"/>
      <c r="J14" s="29"/>
      <c r="K14" s="19"/>
      <c r="L14" s="20"/>
      <c r="M14" s="37" t="str">
        <f>IF(I14=0,"",VLOOKUP(I14,Municipalités!$A$2:$B$1290,2,TRUE))</f>
        <v/>
      </c>
    </row>
    <row r="15" spans="1:13" ht="30" customHeight="1" x14ac:dyDescent="0.25">
      <c r="A15" s="45"/>
      <c r="B15" s="45"/>
      <c r="C15" s="39"/>
      <c r="D15" s="47"/>
      <c r="E15" s="27"/>
      <c r="F15" s="31"/>
      <c r="G15" s="82" t="str">
        <f>IF(F15=0,"",VLOOKUP(F15,Employés!$A$2:$B$186,2,0))</f>
        <v/>
      </c>
      <c r="H15" s="82"/>
      <c r="I15" s="35"/>
      <c r="J15" s="29"/>
      <c r="K15" s="19"/>
      <c r="L15" s="20"/>
      <c r="M15" s="37" t="str">
        <f>IF(I15=0,"",VLOOKUP(I15,Municipalités!$A$2:$B$1290,2,TRUE))</f>
        <v/>
      </c>
    </row>
    <row r="16" spans="1:13" ht="30" customHeight="1" x14ac:dyDescent="0.25">
      <c r="A16" s="45"/>
      <c r="B16" s="45"/>
      <c r="C16" s="39"/>
      <c r="D16" s="46"/>
      <c r="E16" s="27"/>
      <c r="F16" s="31"/>
      <c r="G16" s="82" t="str">
        <f>IF(F16=0,"",VLOOKUP(F16,Employés!$A$2:$B$186,2,0))</f>
        <v/>
      </c>
      <c r="H16" s="82"/>
      <c r="I16" s="35"/>
      <c r="J16" s="29"/>
      <c r="K16" s="19"/>
      <c r="L16" s="20"/>
      <c r="M16" s="37" t="str">
        <f>IF(I16=0,"",VLOOKUP(I16,Municipalités!$A$2:$B$1290,2,TRUE))</f>
        <v/>
      </c>
    </row>
    <row r="17" spans="1:13" ht="30" customHeight="1" x14ac:dyDescent="0.25">
      <c r="A17" s="45"/>
      <c r="B17" s="45"/>
      <c r="C17" s="39"/>
      <c r="D17" s="46"/>
      <c r="E17" s="27"/>
      <c r="F17" s="31"/>
      <c r="G17" s="82" t="str">
        <f>IF(F17=0,"",VLOOKUP(F17,Employés!$A$2:$B$186,2,0))</f>
        <v/>
      </c>
      <c r="H17" s="82"/>
      <c r="I17" s="35"/>
      <c r="J17" s="29"/>
      <c r="K17" s="19"/>
      <c r="L17" s="20"/>
      <c r="M17" s="37" t="str">
        <f>IF(I17=0,"",VLOOKUP(I17,Municipalités!$A$2:$B$1290,2,TRUE))</f>
        <v/>
      </c>
    </row>
    <row r="18" spans="1:13" ht="30" customHeight="1" x14ac:dyDescent="0.25">
      <c r="A18" s="45"/>
      <c r="B18" s="45"/>
      <c r="C18" s="39"/>
      <c r="D18" s="46"/>
      <c r="E18" s="27"/>
      <c r="F18" s="31"/>
      <c r="G18" s="82" t="str">
        <f>IF(F18=0,"",VLOOKUP(F18,Employés!$A$2:$B$186,2,0))</f>
        <v/>
      </c>
      <c r="H18" s="82"/>
      <c r="I18" s="35"/>
      <c r="J18" s="29"/>
      <c r="K18" s="19"/>
      <c r="L18" s="20"/>
      <c r="M18" s="37" t="str">
        <f>IF(I18=0,"",VLOOKUP(I18,Municipalités!$A$2:$B$1290,2,TRUE))</f>
        <v/>
      </c>
    </row>
    <row r="19" spans="1:13" ht="30" customHeight="1" x14ac:dyDescent="0.25">
      <c r="A19" s="45"/>
      <c r="B19" s="45"/>
      <c r="C19" s="39"/>
      <c r="D19" s="46"/>
      <c r="E19" s="27"/>
      <c r="F19" s="31"/>
      <c r="G19" s="82" t="str">
        <f>IF(F19=0,"",VLOOKUP(F19,Employés!$A$2:$B$186,2,0))</f>
        <v/>
      </c>
      <c r="H19" s="82"/>
      <c r="I19" s="35"/>
      <c r="J19" s="29"/>
      <c r="K19" s="19"/>
      <c r="L19" s="20"/>
      <c r="M19" s="37" t="str">
        <f>IF(I19=0,"",VLOOKUP(I19,Municipalités!$A$2:$B$1290,2,TRUE))</f>
        <v/>
      </c>
    </row>
    <row r="20" spans="1:13" ht="30" customHeight="1" x14ac:dyDescent="0.25">
      <c r="A20" s="45"/>
      <c r="B20" s="45"/>
      <c r="C20" s="39"/>
      <c r="D20" s="47"/>
      <c r="E20" s="27"/>
      <c r="F20" s="31"/>
      <c r="G20" s="82" t="str">
        <f>IF(F20=0,"",VLOOKUP(F20,Employés!$A$2:$B$186,2,0))</f>
        <v/>
      </c>
      <c r="H20" s="82"/>
      <c r="I20" s="35"/>
      <c r="J20" s="29"/>
      <c r="K20" s="19"/>
      <c r="L20" s="20"/>
      <c r="M20" s="37" t="str">
        <f>IF(I20=0,"",VLOOKUP(I20,Municipalités!$A$2:$B$1290,2,TRUE))</f>
        <v/>
      </c>
    </row>
    <row r="21" spans="1:13" ht="30" customHeight="1" x14ac:dyDescent="0.25">
      <c r="A21" s="45"/>
      <c r="B21" s="45"/>
      <c r="C21" s="39"/>
      <c r="D21" s="47"/>
      <c r="E21" s="27"/>
      <c r="F21" s="31"/>
      <c r="G21" s="82" t="str">
        <f>IF(F21=0,"",VLOOKUP(F21,Employés!$A$2:$B$186,2,0))</f>
        <v/>
      </c>
      <c r="H21" s="82"/>
      <c r="I21" s="35"/>
      <c r="J21" s="29"/>
      <c r="K21" s="19"/>
      <c r="L21" s="20"/>
      <c r="M21" s="37" t="str">
        <f>IF(I21=0,"",VLOOKUP(I21,Municipalités!$A$2:$B$1290,2,TRUE))</f>
        <v/>
      </c>
    </row>
    <row r="22" spans="1:13" ht="30" customHeight="1" x14ac:dyDescent="0.25">
      <c r="A22" s="45"/>
      <c r="B22" s="45"/>
      <c r="C22" s="39"/>
      <c r="D22" s="46"/>
      <c r="E22" s="27"/>
      <c r="F22" s="31"/>
      <c r="G22" s="82" t="str">
        <f>IF(F22=0,"",VLOOKUP(F22,Employés!$A$2:$B$186,2,0))</f>
        <v/>
      </c>
      <c r="H22" s="82"/>
      <c r="I22" s="35"/>
      <c r="J22" s="29"/>
      <c r="K22" s="19"/>
      <c r="L22" s="20"/>
      <c r="M22" s="37" t="str">
        <f>IF(I22=0,"",VLOOKUP(I22,Municipalités!$A$2:$B$1290,2,TRUE))</f>
        <v/>
      </c>
    </row>
    <row r="23" spans="1:13" ht="30" customHeight="1" x14ac:dyDescent="0.25">
      <c r="A23" s="45"/>
      <c r="B23" s="45"/>
      <c r="C23" s="39"/>
      <c r="D23" s="46"/>
      <c r="E23" s="27"/>
      <c r="F23" s="31"/>
      <c r="G23" s="82" t="str">
        <f>IF(F23=0,"",VLOOKUP(F23,Employés!$A$2:$B$186,2,0))</f>
        <v/>
      </c>
      <c r="H23" s="82"/>
      <c r="I23" s="35"/>
      <c r="J23" s="29"/>
      <c r="K23" s="19"/>
      <c r="L23" s="20"/>
      <c r="M23" s="37" t="str">
        <f>IF(I23=0,"",VLOOKUP(I23,Municipalités!$A$2:$B$1290,2,TRUE))</f>
        <v/>
      </c>
    </row>
    <row r="24" spans="1:13" ht="30" customHeight="1" x14ac:dyDescent="0.25">
      <c r="A24" s="45"/>
      <c r="B24" s="45"/>
      <c r="C24" s="39"/>
      <c r="D24" s="46"/>
      <c r="E24" s="27"/>
      <c r="F24" s="31"/>
      <c r="G24" s="82" t="str">
        <f>IF(F24=0,"",VLOOKUP(F24,Employés!$A$2:$B$186,2,0))</f>
        <v/>
      </c>
      <c r="H24" s="82"/>
      <c r="I24" s="35"/>
      <c r="J24" s="29"/>
      <c r="K24" s="19"/>
      <c r="L24" s="20"/>
      <c r="M24" s="37" t="str">
        <f>IF(I24=0,"",VLOOKUP(I24,Municipalités!$A$2:$B$1290,2,TRUE))</f>
        <v/>
      </c>
    </row>
    <row r="25" spans="1:13" ht="30" customHeight="1" x14ac:dyDescent="0.25">
      <c r="A25" s="45"/>
      <c r="B25" s="45"/>
      <c r="C25" s="39"/>
      <c r="D25" s="46"/>
      <c r="E25" s="27"/>
      <c r="F25" s="31"/>
      <c r="G25" s="82" t="str">
        <f>IF(F25=0,"",VLOOKUP(F25,Employés!$A$2:$B$186,2,0))</f>
        <v/>
      </c>
      <c r="H25" s="82"/>
      <c r="I25" s="35"/>
      <c r="J25" s="29"/>
      <c r="K25" s="19"/>
      <c r="L25" s="20"/>
      <c r="M25" s="37" t="str">
        <f>IF(I25=0,"",VLOOKUP(I25,Municipalités!$A$2:$B$1290,2,TRUE))</f>
        <v/>
      </c>
    </row>
    <row r="26" spans="1:13" ht="30" customHeight="1" x14ac:dyDescent="0.25">
      <c r="A26" s="45"/>
      <c r="B26" s="45"/>
      <c r="C26" s="39"/>
      <c r="D26" s="46"/>
      <c r="E26" s="27"/>
      <c r="F26" s="31"/>
      <c r="G26" s="82" t="str">
        <f>IF(F26=0,"",VLOOKUP(F26,Employés!$A$2:$B$186,2,0))</f>
        <v/>
      </c>
      <c r="H26" s="82"/>
      <c r="I26" s="35"/>
      <c r="J26" s="29"/>
      <c r="K26" s="19"/>
      <c r="L26" s="20"/>
      <c r="M26" s="37" t="str">
        <f>IF(I26=0,"",VLOOKUP(I26,Municipalités!$A$2:$B$1290,2,TRUE))</f>
        <v/>
      </c>
    </row>
    <row r="27" spans="1:13" ht="30" customHeight="1" x14ac:dyDescent="0.25">
      <c r="A27" s="45"/>
      <c r="B27" s="45"/>
      <c r="C27" s="39"/>
      <c r="D27" s="46"/>
      <c r="E27" s="27"/>
      <c r="F27" s="31"/>
      <c r="G27" s="82" t="str">
        <f>IF(F27=0,"",VLOOKUP(F27,Employés!$A$2:$B$186,2,0))</f>
        <v/>
      </c>
      <c r="H27" s="82"/>
      <c r="I27" s="35"/>
      <c r="J27" s="29"/>
      <c r="K27" s="19"/>
      <c r="L27" s="20"/>
      <c r="M27" s="37" t="str">
        <f>IF(I27=0,"",VLOOKUP(I27,Municipalités!$A$2:$B$1290,2,TRUE))</f>
        <v/>
      </c>
    </row>
    <row r="28" spans="1:13" ht="30" customHeight="1" x14ac:dyDescent="0.25">
      <c r="A28" s="45"/>
      <c r="B28" s="45"/>
      <c r="C28" s="39"/>
      <c r="D28" s="46"/>
      <c r="E28" s="27"/>
      <c r="F28" s="31"/>
      <c r="G28" s="82" t="str">
        <f>IF(F28=0,"",VLOOKUP(F28,Employés!$A$2:$B$186,2,0))</f>
        <v/>
      </c>
      <c r="H28" s="82"/>
      <c r="I28" s="35"/>
      <c r="J28" s="29"/>
      <c r="K28" s="19"/>
      <c r="L28" s="20"/>
      <c r="M28" s="37" t="str">
        <f>IF(I28=0,"",VLOOKUP(I28,Municipalités!$A$2:$B$1290,2,TRUE))</f>
        <v/>
      </c>
    </row>
    <row r="29" spans="1:13" ht="30" customHeight="1" x14ac:dyDescent="0.25">
      <c r="A29" s="45"/>
      <c r="B29" s="45"/>
      <c r="C29" s="39"/>
      <c r="D29" s="46"/>
      <c r="E29" s="27"/>
      <c r="F29" s="31"/>
      <c r="G29" s="82" t="str">
        <f>IF(F29=0,"",VLOOKUP(F29,Employés!$A$2:$B$186,2,0))</f>
        <v/>
      </c>
      <c r="H29" s="82"/>
      <c r="I29" s="35"/>
      <c r="J29" s="29"/>
      <c r="K29" s="19"/>
      <c r="L29" s="20"/>
      <c r="M29" s="37" t="str">
        <f>IF(I29=0,"",VLOOKUP(I29,Municipalités!$A$2:$B$1290,2,TRUE))</f>
        <v/>
      </c>
    </row>
    <row r="30" spans="1:13" ht="30" customHeight="1" x14ac:dyDescent="0.25">
      <c r="A30" s="45"/>
      <c r="B30" s="45"/>
      <c r="C30" s="39"/>
      <c r="D30" s="46"/>
      <c r="E30" s="27"/>
      <c r="F30" s="31"/>
      <c r="G30" s="82" t="str">
        <f>IF(F30=0,"",VLOOKUP(F30,Employés!$A$2:$B$186,2,0))</f>
        <v/>
      </c>
      <c r="H30" s="82"/>
      <c r="I30" s="35"/>
      <c r="J30" s="29"/>
      <c r="K30" s="19"/>
      <c r="L30" s="20"/>
      <c r="M30" s="37" t="str">
        <f>IF(I30=0,"",VLOOKUP(I30,Municipalités!$A$2:$B$1290,2,TRUE))</f>
        <v/>
      </c>
    </row>
    <row r="31" spans="1:13" ht="30" customHeight="1" x14ac:dyDescent="0.25">
      <c r="A31" s="45"/>
      <c r="B31" s="45"/>
      <c r="C31" s="39"/>
      <c r="D31" s="47"/>
      <c r="E31" s="27"/>
      <c r="F31" s="31"/>
      <c r="G31" s="82" t="str">
        <f>IF(F31=0,"",VLOOKUP(F31,Employés!$A$2:$B$186,2,0))</f>
        <v/>
      </c>
      <c r="H31" s="82"/>
      <c r="I31" s="35"/>
      <c r="J31" s="29"/>
      <c r="K31" s="19"/>
      <c r="L31" s="20"/>
      <c r="M31" s="37" t="str">
        <f>IF(I31=0,"",VLOOKUP(I31,Municipalités!$A$2:$B$1290,2,TRUE))</f>
        <v/>
      </c>
    </row>
    <row r="32" spans="1:13" ht="30" customHeight="1" x14ac:dyDescent="0.25">
      <c r="A32" s="45"/>
      <c r="B32" s="45"/>
      <c r="C32" s="39"/>
      <c r="D32" s="46"/>
      <c r="E32" s="27"/>
      <c r="F32" s="31"/>
      <c r="G32" s="82" t="str">
        <f>IF(F32=0,"",VLOOKUP(F32,Employés!$A$2:$B$186,2,0))</f>
        <v/>
      </c>
      <c r="H32" s="82"/>
      <c r="I32" s="35"/>
      <c r="J32" s="29"/>
      <c r="K32" s="19"/>
      <c r="L32" s="20"/>
      <c r="M32" s="37" t="str">
        <f>IF(I32=0,"",VLOOKUP(I32,Municipalités!$A$2:$B$1290,2,TRUE))</f>
        <v/>
      </c>
    </row>
    <row r="33" spans="1:13" ht="30" customHeight="1" x14ac:dyDescent="0.25">
      <c r="A33" s="45"/>
      <c r="B33" s="45"/>
      <c r="C33" s="39"/>
      <c r="D33" s="46"/>
      <c r="E33" s="27"/>
      <c r="F33" s="31"/>
      <c r="G33" s="82" t="str">
        <f>IF(F33=0,"",VLOOKUP(F33,Employés!$A$2:$B$186,2,0))</f>
        <v/>
      </c>
      <c r="H33" s="82"/>
      <c r="I33" s="35"/>
      <c r="J33" s="29"/>
      <c r="K33" s="19"/>
      <c r="L33" s="20"/>
      <c r="M33" s="37" t="str">
        <f>IF(I33=0,"",VLOOKUP(I33,Municipalités!$A$2:$B$1290,2,TRUE))</f>
        <v/>
      </c>
    </row>
    <row r="34" spans="1:13" ht="30" customHeight="1" x14ac:dyDescent="0.25">
      <c r="A34" s="45"/>
      <c r="B34" s="45"/>
      <c r="C34" s="39"/>
      <c r="D34" s="46"/>
      <c r="E34" s="27"/>
      <c r="F34" s="31"/>
      <c r="G34" s="82" t="str">
        <f>IF(F34=0,"",VLOOKUP(F34,Employés!$A$2:$B$186,2,0))</f>
        <v/>
      </c>
      <c r="H34" s="82"/>
      <c r="I34" s="35"/>
      <c r="J34" s="29"/>
      <c r="K34" s="19"/>
      <c r="L34" s="20"/>
      <c r="M34" s="37" t="str">
        <f>IF(I34=0,"",VLOOKUP(I34,Municipalités!$A$2:$B$1290,2,TRUE))</f>
        <v/>
      </c>
    </row>
    <row r="35" spans="1:13" ht="30" customHeight="1" x14ac:dyDescent="0.25">
      <c r="A35" s="45"/>
      <c r="B35" s="45"/>
      <c r="C35" s="30"/>
      <c r="D35" s="46"/>
      <c r="E35" s="27"/>
      <c r="F35" s="31"/>
      <c r="G35" s="82" t="str">
        <f>IF(F35=0,"",VLOOKUP(F35,Employés!$A$2:$B$186,2,0))</f>
        <v/>
      </c>
      <c r="H35" s="82"/>
      <c r="I35" s="35"/>
      <c r="J35" s="29"/>
      <c r="K35" s="19"/>
      <c r="L35" s="20"/>
      <c r="M35" s="37" t="str">
        <f>IF(I35=0,"",VLOOKUP(I35,Municipalités!$A$2:$B$1290,2,TRUE))</f>
        <v/>
      </c>
    </row>
    <row r="36" spans="1:13" ht="30" customHeight="1" x14ac:dyDescent="0.25">
      <c r="A36" s="45"/>
      <c r="B36" s="45"/>
      <c r="C36" s="30"/>
      <c r="D36" s="46"/>
      <c r="E36" s="27"/>
      <c r="F36" s="31"/>
      <c r="G36" s="82" t="str">
        <f>IF(F36=0,"",VLOOKUP(F36,Employés!$A$2:$B$186,2,0))</f>
        <v/>
      </c>
      <c r="H36" s="82"/>
      <c r="I36" s="35"/>
      <c r="J36" s="29"/>
      <c r="K36" s="19"/>
      <c r="L36" s="20"/>
      <c r="M36" s="37" t="str">
        <f>IF(I36=0,"",VLOOKUP(I36,Municipalités!$A$2:$B$1290,2,TRUE))</f>
        <v/>
      </c>
    </row>
    <row r="37" spans="1:13" ht="30" customHeight="1" x14ac:dyDescent="0.25">
      <c r="A37" s="45"/>
      <c r="B37" s="45"/>
      <c r="C37" s="39"/>
      <c r="D37" s="46"/>
      <c r="E37" s="27"/>
      <c r="F37" s="31"/>
      <c r="G37" s="82" t="str">
        <f>IF(F37=0,"",VLOOKUP(F37,Employés!$A$2:$B$186,2,0))</f>
        <v/>
      </c>
      <c r="H37" s="82"/>
      <c r="I37" s="35"/>
      <c r="J37" s="29"/>
      <c r="K37" s="19"/>
      <c r="L37" s="20"/>
      <c r="M37" s="37" t="str">
        <f>IF(I37=0,"",VLOOKUP(I37,Municipalités!$A$2:$B$1290,2,TRUE))</f>
        <v/>
      </c>
    </row>
    <row r="38" spans="1:13" ht="30" customHeight="1" x14ac:dyDescent="0.25">
      <c r="A38" s="45"/>
      <c r="B38" s="45"/>
      <c r="C38" s="39"/>
      <c r="D38" s="47"/>
      <c r="E38" s="27"/>
      <c r="F38" s="31"/>
      <c r="G38" s="82" t="str">
        <f>IF(F38=0,"",VLOOKUP(F38,Employés!$A$2:$B$186,2,0))</f>
        <v/>
      </c>
      <c r="H38" s="82"/>
      <c r="I38" s="35"/>
      <c r="J38" s="29"/>
      <c r="K38" s="19"/>
      <c r="L38" s="20"/>
      <c r="M38" s="37" t="str">
        <f>IF(I38=0,"",VLOOKUP(I38,Municipalités!$A$2:$B$1290,2,TRUE))</f>
        <v/>
      </c>
    </row>
    <row r="39" spans="1:13" ht="30" customHeight="1" x14ac:dyDescent="0.25">
      <c r="A39" s="45"/>
      <c r="B39" s="45"/>
      <c r="C39" s="39"/>
      <c r="D39" s="45"/>
      <c r="E39" s="27"/>
      <c r="F39" s="31"/>
      <c r="G39" s="82" t="str">
        <f>IF(F39=0,"",VLOOKUP(F39,Employés!$A$2:$B$186,2,0))</f>
        <v/>
      </c>
      <c r="H39" s="82"/>
      <c r="I39" s="35"/>
      <c r="J39" s="29"/>
      <c r="K39" s="26"/>
      <c r="L39" s="25"/>
      <c r="M39" s="37" t="str">
        <f>IF(I39=0,"",VLOOKUP(I39,Municipalités!$A$2:$B$1290,2,TRUE))</f>
        <v/>
      </c>
    </row>
    <row r="40" spans="1:13" ht="30" customHeight="1" x14ac:dyDescent="0.25">
      <c r="A40" s="8"/>
      <c r="B40" s="8"/>
      <c r="C40" s="30"/>
      <c r="D40" s="8"/>
      <c r="E40" s="27"/>
      <c r="F40" s="31"/>
      <c r="G40" s="82" t="str">
        <f>IF(F40=0,"",VLOOKUP(F40,Employés!$A$2:$B$186,2,0))</f>
        <v/>
      </c>
      <c r="H40" s="82"/>
      <c r="I40" s="35"/>
      <c r="J40" s="29"/>
      <c r="K40" s="26"/>
      <c r="L40" s="25"/>
      <c r="M40" s="37" t="str">
        <f>IF(I40=0,"",VLOOKUP(I40,Municipalités!$A$2:$B$1290,2,TRUE))</f>
        <v/>
      </c>
    </row>
    <row r="41" spans="1:13" ht="30" customHeight="1" x14ac:dyDescent="0.25">
      <c r="A41" s="8"/>
      <c r="B41" s="8"/>
      <c r="C41" s="30"/>
      <c r="D41" s="8"/>
      <c r="E41" s="27"/>
      <c r="F41" s="31"/>
      <c r="G41" s="82" t="str">
        <f>IF(F41=0,"",VLOOKUP(F41,Employés!$A$2:$B$186,2,0))</f>
        <v/>
      </c>
      <c r="H41" s="82"/>
      <c r="I41" s="35"/>
      <c r="J41" s="29"/>
      <c r="K41" s="26"/>
      <c r="L41" s="25"/>
      <c r="M41" s="37" t="str">
        <f>IF(I41=0,"",VLOOKUP(I41,Municipalités!$A$2:$B$1290,2,TRUE))</f>
        <v/>
      </c>
    </row>
    <row r="42" spans="1:13" ht="30" customHeight="1" x14ac:dyDescent="0.25">
      <c r="A42" s="8"/>
      <c r="B42" s="8"/>
      <c r="C42" s="30"/>
      <c r="D42" s="8"/>
      <c r="E42" s="27"/>
      <c r="F42" s="31"/>
      <c r="G42" s="82" t="str">
        <f>IF(F42=0,"",VLOOKUP(F42,Employés!$A$2:$B$186,2,0))</f>
        <v/>
      </c>
      <c r="H42" s="82"/>
      <c r="I42" s="35"/>
      <c r="J42" s="29"/>
      <c r="K42" s="26"/>
      <c r="L42" s="25"/>
      <c r="M42" s="37" t="str">
        <f>IF(I42=0,"",VLOOKUP(I42,Municipalités!$A$2:$B$1290,2,TRUE))</f>
        <v/>
      </c>
    </row>
    <row r="43" spans="1:13" ht="30" customHeight="1" x14ac:dyDescent="0.25">
      <c r="A43" s="8"/>
      <c r="B43" s="8"/>
      <c r="C43" s="30"/>
      <c r="D43" s="8"/>
      <c r="E43" s="27" t="s">
        <v>1420</v>
      </c>
      <c r="F43" s="31"/>
      <c r="G43" s="82" t="str">
        <f>IF(F43=0,"",VLOOKUP(F43,Employés!$A$2:$B$186,2,0))</f>
        <v/>
      </c>
      <c r="H43" s="82"/>
      <c r="I43" s="35"/>
      <c r="J43" s="29"/>
      <c r="K43" s="26"/>
      <c r="L43" s="25" t="s">
        <v>1420</v>
      </c>
      <c r="M43" s="37" t="str">
        <f>IF(I43=0,"",VLOOKUP(I43,Municipalités!$A$2:$B$1290,2,TRUE))</f>
        <v/>
      </c>
    </row>
    <row r="44" spans="1:13" ht="30" customHeight="1" x14ac:dyDescent="0.25">
      <c r="A44" s="8"/>
      <c r="B44" s="8"/>
      <c r="C44" s="30"/>
      <c r="D44" s="8"/>
      <c r="E44" s="27"/>
      <c r="F44" s="31"/>
      <c r="G44" s="82" t="str">
        <f>IF(F44=0,"",VLOOKUP(F44,Employés!$A$2:$B$186,2,0))</f>
        <v/>
      </c>
      <c r="H44" s="82"/>
      <c r="I44" s="35"/>
      <c r="J44" s="29"/>
      <c r="K44" s="26"/>
      <c r="L44" s="25"/>
      <c r="M44" s="37" t="str">
        <f>IF(I44=0,"",VLOOKUP(I44,Municipalités!$A$2:$B$1290,2,TRUE))</f>
        <v/>
      </c>
    </row>
    <row r="45" spans="1:13" ht="30" customHeight="1" x14ac:dyDescent="0.25">
      <c r="A45" s="8"/>
      <c r="B45" s="8"/>
      <c r="C45" s="30"/>
      <c r="D45" s="8"/>
      <c r="E45" s="27"/>
      <c r="F45" s="31"/>
      <c r="G45" s="82" t="str">
        <f>IF(F45=0,"",VLOOKUP(F45,Employés!$A$2:$B$186,2,0))</f>
        <v/>
      </c>
      <c r="H45" s="82"/>
      <c r="I45" s="35"/>
      <c r="J45" s="29"/>
      <c r="K45" s="26"/>
      <c r="L45" s="25"/>
      <c r="M45" s="37" t="str">
        <f>IF(I45=0,"",VLOOKUP(I45,Municipalités!$A$2:$B$1290,2,TRUE))</f>
        <v/>
      </c>
    </row>
    <row r="46" spans="1:13" ht="30" customHeight="1" x14ac:dyDescent="0.25">
      <c r="A46" s="8"/>
      <c r="B46" s="8"/>
      <c r="C46" s="30"/>
      <c r="D46" s="8"/>
      <c r="E46" s="27"/>
      <c r="F46" s="31"/>
      <c r="G46" s="82" t="str">
        <f>IF(F46=0,"",VLOOKUP(F46,Employés!$A$2:$B$186,2,0))</f>
        <v/>
      </c>
      <c r="H46" s="82"/>
      <c r="I46" s="35"/>
      <c r="J46" s="29"/>
      <c r="K46" s="26"/>
      <c r="L46" s="25"/>
      <c r="M46" s="37" t="str">
        <f>IF(I46=0,"",VLOOKUP(I46,Municipalités!$A$2:$B$1290,2,TRUE))</f>
        <v/>
      </c>
    </row>
    <row r="47" spans="1:13" ht="30" customHeight="1" x14ac:dyDescent="0.25">
      <c r="A47" s="8"/>
      <c r="B47" s="8"/>
      <c r="C47" s="30"/>
      <c r="D47" s="8"/>
      <c r="E47" s="27"/>
      <c r="F47" s="31"/>
      <c r="G47" s="82" t="str">
        <f>IF(F47=0,"",VLOOKUP(F47,Employés!$A$2:$B$186,2,0))</f>
        <v/>
      </c>
      <c r="H47" s="82"/>
      <c r="I47" s="35"/>
      <c r="J47" s="29"/>
      <c r="K47" s="26"/>
      <c r="L47" s="25"/>
      <c r="M47" s="37" t="str">
        <f>IF(I47=0,"",VLOOKUP(I47,Municipalités!$A$2:$B$1290,2,TRUE))</f>
        <v/>
      </c>
    </row>
    <row r="48" spans="1:13" ht="30" customHeight="1" x14ac:dyDescent="0.25">
      <c r="A48" s="8"/>
      <c r="B48" s="8"/>
      <c r="C48" s="30"/>
      <c r="D48" s="8"/>
      <c r="E48" s="27"/>
      <c r="F48" s="31"/>
      <c r="G48" s="82" t="str">
        <f>IF(F48=0,"",VLOOKUP(F48,Employés!$A$2:$B$186,2,0))</f>
        <v/>
      </c>
      <c r="H48" s="82"/>
      <c r="I48" s="35"/>
      <c r="J48" s="29"/>
      <c r="K48" s="26"/>
      <c r="L48" s="25"/>
      <c r="M48" s="37" t="str">
        <f>IF(I48=0,"",VLOOKUP(I48,Municipalités!$A$2:$B$1290,2,TRUE))</f>
        <v/>
      </c>
    </row>
    <row r="49" spans="1:13" ht="30" customHeight="1" x14ac:dyDescent="0.25">
      <c r="A49" s="8"/>
      <c r="B49" s="8"/>
      <c r="C49" s="30"/>
      <c r="D49" s="8"/>
      <c r="E49" s="27"/>
      <c r="F49" s="31"/>
      <c r="G49" s="82" t="str">
        <f>IF(F49=0,"",VLOOKUP(F49,Employés!$A$2:$B$186,2,0))</f>
        <v/>
      </c>
      <c r="H49" s="82"/>
      <c r="I49" s="35"/>
      <c r="J49" s="29"/>
      <c r="K49" s="26"/>
      <c r="L49" s="25"/>
      <c r="M49" s="37" t="str">
        <f>IF(I49=0,"",VLOOKUP(I49,Municipalités!$A$2:$B$1290,2,TRUE))</f>
        <v/>
      </c>
    </row>
    <row r="50" spans="1:13" ht="30" customHeight="1" x14ac:dyDescent="0.25">
      <c r="A50" s="8"/>
      <c r="B50" s="8"/>
      <c r="C50" s="30"/>
      <c r="D50" s="8"/>
      <c r="E50" s="27"/>
      <c r="F50" s="31"/>
      <c r="G50" s="82" t="str">
        <f>IF(F50=0,"",VLOOKUP(F50,Employés!$A$2:$B$186,2,0))</f>
        <v/>
      </c>
      <c r="H50" s="82"/>
      <c r="I50" s="35"/>
      <c r="J50" s="29"/>
      <c r="K50" s="26"/>
      <c r="L50" s="25"/>
      <c r="M50" s="37" t="str">
        <f>IF(I50=0,"",VLOOKUP(I50,Municipalités!$A$2:$B$1290,2,TRUE))</f>
        <v/>
      </c>
    </row>
    <row r="51" spans="1:13" ht="30" customHeight="1" x14ac:dyDescent="0.25">
      <c r="A51" s="8"/>
      <c r="B51" s="8"/>
      <c r="C51" s="30"/>
      <c r="D51" s="8"/>
      <c r="E51" s="27"/>
      <c r="F51" s="31"/>
      <c r="G51" s="82" t="str">
        <f>IF(F51=0,"",VLOOKUP(F51,Employés!$A$2:$B$186,2,0))</f>
        <v/>
      </c>
      <c r="H51" s="82"/>
      <c r="I51" s="35"/>
      <c r="J51" s="29"/>
      <c r="K51" s="26"/>
      <c r="L51" s="25"/>
      <c r="M51" s="37" t="str">
        <f>IF(I51=0,"",VLOOKUP(I51,Municipalités!$A$2:$B$1290,2,TRUE))</f>
        <v/>
      </c>
    </row>
    <row r="52" spans="1:13" ht="30" customHeight="1" x14ac:dyDescent="0.25">
      <c r="A52" s="8"/>
      <c r="B52" s="8"/>
      <c r="C52" s="30"/>
      <c r="D52" s="8"/>
      <c r="E52" s="27"/>
      <c r="F52" s="31"/>
      <c r="G52" s="82" t="str">
        <f>IF(F52=0,"",VLOOKUP(F52,Employés!$A$2:$B$186,2,0))</f>
        <v/>
      </c>
      <c r="H52" s="82"/>
      <c r="I52" s="35"/>
      <c r="J52" s="29"/>
      <c r="K52" s="26"/>
      <c r="L52" s="25"/>
      <c r="M52" s="37" t="str">
        <f>IF(I52=0,"",VLOOKUP(I52,Municipalités!$A$2:$B$1290,2,TRUE))</f>
        <v/>
      </c>
    </row>
    <row r="53" spans="1:13" ht="30" customHeight="1" x14ac:dyDescent="0.25">
      <c r="A53" s="8"/>
      <c r="B53" s="8"/>
      <c r="C53" s="30"/>
      <c r="D53" s="8"/>
      <c r="E53" s="27"/>
      <c r="F53" s="31"/>
      <c r="G53" s="82" t="str">
        <f>IF(F53=0,"",VLOOKUP(F53,Employés!$A$2:$B$186,2,0))</f>
        <v/>
      </c>
      <c r="H53" s="82"/>
      <c r="I53" s="35"/>
      <c r="J53" s="29"/>
      <c r="K53" s="26"/>
      <c r="L53" s="25"/>
      <c r="M53" s="37" t="str">
        <f>IF(I53=0,"",VLOOKUP(I53,Municipalités!$A$2:$B$1290,2,TRUE))</f>
        <v/>
      </c>
    </row>
    <row r="54" spans="1:13" ht="30" customHeight="1" x14ac:dyDescent="0.25">
      <c r="A54" s="8"/>
      <c r="B54" s="8"/>
      <c r="C54" s="30"/>
      <c r="D54" s="8"/>
      <c r="E54" s="27"/>
      <c r="F54" s="31"/>
      <c r="G54" s="82" t="str">
        <f>IF(F54=0,"",VLOOKUP(F54,Employés!$A$2:$B$186,2,0))</f>
        <v/>
      </c>
      <c r="H54" s="82"/>
      <c r="I54" s="35"/>
      <c r="J54" s="29"/>
      <c r="K54" s="26"/>
      <c r="L54" s="25"/>
      <c r="M54" s="37" t="str">
        <f>IF(I54=0,"",VLOOKUP(I54,Municipalités!$A$2:$B$1290,2,TRUE))</f>
        <v/>
      </c>
    </row>
    <row r="55" spans="1:13" ht="30" customHeight="1" x14ac:dyDescent="0.25">
      <c r="A55" s="8"/>
      <c r="B55" s="8"/>
      <c r="C55" s="30"/>
      <c r="D55" s="8"/>
      <c r="E55" s="27"/>
      <c r="F55" s="31"/>
      <c r="G55" s="82" t="str">
        <f>IF(F55=0,"",VLOOKUP(F55,Employés!$A$2:$B$186,2,0))</f>
        <v/>
      </c>
      <c r="H55" s="82"/>
      <c r="I55" s="35"/>
      <c r="J55" s="29"/>
      <c r="K55" s="26"/>
      <c r="L55" s="25"/>
      <c r="M55" s="37" t="str">
        <f>IF(I55=0,"",VLOOKUP(I55,Municipalités!$A$2:$B$1290,2,TRUE))</f>
        <v/>
      </c>
    </row>
    <row r="56" spans="1:13" ht="30" customHeight="1" x14ac:dyDescent="0.25">
      <c r="A56" s="8"/>
      <c r="B56" s="8"/>
      <c r="C56" s="30"/>
      <c r="D56" s="8"/>
      <c r="E56" s="27"/>
      <c r="F56" s="31"/>
      <c r="G56" s="82" t="str">
        <f>IF(F56=0,"",VLOOKUP(F56,Employés!$A$2:$B$186,2,0))</f>
        <v/>
      </c>
      <c r="H56" s="82"/>
      <c r="I56" s="35"/>
      <c r="J56" s="29"/>
      <c r="K56" s="26"/>
      <c r="L56" s="25"/>
      <c r="M56" s="37" t="str">
        <f>IF(I56=0,"",VLOOKUP(I56,Municipalités!$A$2:$B$1290,2,TRUE))</f>
        <v/>
      </c>
    </row>
    <row r="57" spans="1:13" ht="30" customHeight="1" x14ac:dyDescent="0.25">
      <c r="A57" s="8"/>
      <c r="B57" s="8"/>
      <c r="C57" s="30"/>
      <c r="D57" s="8"/>
      <c r="E57" s="27"/>
      <c r="F57" s="31"/>
      <c r="G57" s="82" t="str">
        <f>IF(F57=0,"",VLOOKUP(F57,Employés!$A$2:$B$186,2,0))</f>
        <v/>
      </c>
      <c r="H57" s="82"/>
      <c r="I57" s="35"/>
      <c r="J57" s="29"/>
      <c r="K57" s="26"/>
      <c r="L57" s="25"/>
      <c r="M57" s="37" t="str">
        <f>IF(I57=0,"",VLOOKUP(I57,Municipalités!$A$2:$B$1290,2,TRUE))</f>
        <v/>
      </c>
    </row>
    <row r="58" spans="1:13" ht="30" customHeight="1" x14ac:dyDescent="0.25">
      <c r="A58" s="8"/>
      <c r="B58" s="8"/>
      <c r="C58" s="30"/>
      <c r="D58" s="8"/>
      <c r="E58" s="27"/>
      <c r="F58" s="31"/>
      <c r="G58" s="82" t="str">
        <f>IF(F58=0,"",VLOOKUP(F58,Employés!$A$2:$B$186,2,0))</f>
        <v/>
      </c>
      <c r="H58" s="82"/>
      <c r="I58" s="35"/>
      <c r="J58" s="29"/>
      <c r="K58" s="26"/>
      <c r="L58" s="25"/>
      <c r="M58" s="37" t="str">
        <f>IF(I58=0,"",VLOOKUP(I58,Municipalités!$A$2:$B$1290,2,TRUE))</f>
        <v/>
      </c>
    </row>
    <row r="59" spans="1:13" ht="30" customHeight="1" x14ac:dyDescent="0.25">
      <c r="A59" s="8"/>
      <c r="B59" s="8"/>
      <c r="C59" s="30"/>
      <c r="D59" s="8"/>
      <c r="E59" s="27"/>
      <c r="F59" s="31"/>
      <c r="G59" s="82" t="str">
        <f>IF(F59=0,"",VLOOKUP(F59,Employés!$A$2:$B$186,2,0))</f>
        <v/>
      </c>
      <c r="H59" s="82"/>
      <c r="I59" s="35"/>
      <c r="J59" s="29"/>
      <c r="K59" s="26"/>
      <c r="L59" s="25"/>
      <c r="M59" s="37" t="str">
        <f>IF(I59=0,"",VLOOKUP(I59,Municipalités!$A$2:$B$1290,2,TRUE))</f>
        <v/>
      </c>
    </row>
    <row r="60" spans="1:13" ht="30" customHeight="1" x14ac:dyDescent="0.25">
      <c r="A60" s="8"/>
      <c r="B60" s="8"/>
      <c r="C60" s="30"/>
      <c r="D60" s="8"/>
      <c r="E60" s="27"/>
      <c r="F60" s="31"/>
      <c r="G60" s="82" t="str">
        <f>IF(F60=0,"",VLOOKUP(F60,Employés!$A$2:$B$186,2,0))</f>
        <v/>
      </c>
      <c r="H60" s="82"/>
      <c r="I60" s="35"/>
      <c r="J60" s="29"/>
      <c r="K60" s="26"/>
      <c r="L60" s="25"/>
      <c r="M60" s="37" t="str">
        <f>IF(I60=0,"",VLOOKUP(I60,Municipalités!$A$2:$B$1290,2,TRUE))</f>
        <v/>
      </c>
    </row>
    <row r="61" spans="1:13" ht="30" customHeight="1" x14ac:dyDescent="0.25">
      <c r="A61" s="8"/>
      <c r="B61" s="8"/>
      <c r="C61" s="30"/>
      <c r="D61" s="8"/>
      <c r="E61" s="27"/>
      <c r="F61" s="31"/>
      <c r="G61" s="82" t="str">
        <f>IF(F61=0,"",VLOOKUP(F61,Employés!$A$2:$B$186,2,0))</f>
        <v/>
      </c>
      <c r="H61" s="82"/>
      <c r="I61" s="35"/>
      <c r="J61" s="29"/>
      <c r="K61" s="26"/>
      <c r="L61" s="25"/>
      <c r="M61" s="37" t="str">
        <f>IF(I61=0,"",VLOOKUP(I61,Municipalités!$A$2:$B$1290,2,TRUE))</f>
        <v/>
      </c>
    </row>
    <row r="62" spans="1:13" x14ac:dyDescent="0.25">
      <c r="C62" s="14"/>
    </row>
    <row r="63" spans="1:13" x14ac:dyDescent="0.25">
      <c r="C63" s="14"/>
    </row>
    <row r="64" spans="1:13" x14ac:dyDescent="0.25">
      <c r="C64" s="14"/>
    </row>
    <row r="65" spans="3:5" x14ac:dyDescent="0.25">
      <c r="C65" s="14"/>
    </row>
    <row r="66" spans="3:5" x14ac:dyDescent="0.25">
      <c r="C66" s="14"/>
    </row>
    <row r="67" spans="3:5" x14ac:dyDescent="0.25">
      <c r="C67" s="14"/>
    </row>
    <row r="68" spans="3:5" x14ac:dyDescent="0.25">
      <c r="C68" s="14"/>
    </row>
    <row r="69" spans="3:5" x14ac:dyDescent="0.25">
      <c r="C69" s="14"/>
    </row>
    <row r="70" spans="3:5" x14ac:dyDescent="0.25">
      <c r="C70" s="14"/>
    </row>
    <row r="71" spans="3:5" x14ac:dyDescent="0.25">
      <c r="C71" s="14"/>
    </row>
    <row r="72" spans="3:5" x14ac:dyDescent="0.25">
      <c r="C72" s="14"/>
    </row>
    <row r="73" spans="3:5" x14ac:dyDescent="0.25">
      <c r="C73" s="14"/>
    </row>
    <row r="74" spans="3:5" x14ac:dyDescent="0.25">
      <c r="C74" s="14"/>
    </row>
    <row r="75" spans="3:5" x14ac:dyDescent="0.25">
      <c r="C75" s="14"/>
    </row>
    <row r="76" spans="3:5" x14ac:dyDescent="0.25">
      <c r="C76" s="14"/>
    </row>
    <row r="77" spans="3:5" x14ac:dyDescent="0.25">
      <c r="C77" s="14"/>
    </row>
    <row r="78" spans="3:5" x14ac:dyDescent="0.25">
      <c r="C78" s="14"/>
      <c r="E78" s="21" t="s">
        <v>1420</v>
      </c>
    </row>
    <row r="79" spans="3:5" x14ac:dyDescent="0.25">
      <c r="C79" s="14"/>
    </row>
    <row r="80" spans="3:5" x14ac:dyDescent="0.25">
      <c r="C80" s="14"/>
    </row>
    <row r="81" spans="3:3" x14ac:dyDescent="0.25">
      <c r="C81" s="14"/>
    </row>
    <row r="82" spans="3:3" x14ac:dyDescent="0.25">
      <c r="C82" s="14"/>
    </row>
    <row r="83" spans="3:3" x14ac:dyDescent="0.25">
      <c r="C83" s="14"/>
    </row>
    <row r="84" spans="3:3" x14ac:dyDescent="0.25">
      <c r="C84" s="14"/>
    </row>
    <row r="85" spans="3:3" x14ac:dyDescent="0.25">
      <c r="C85" s="14"/>
    </row>
    <row r="86" spans="3:3" x14ac:dyDescent="0.25">
      <c r="C86" s="14"/>
    </row>
    <row r="87" spans="3:3" x14ac:dyDescent="0.25">
      <c r="C87" s="14"/>
    </row>
    <row r="88" spans="3:3" x14ac:dyDescent="0.25">
      <c r="C88" s="14"/>
    </row>
    <row r="89" spans="3:3" x14ac:dyDescent="0.25">
      <c r="C89" s="14"/>
    </row>
    <row r="90" spans="3:3" x14ac:dyDescent="0.25">
      <c r="C90" s="14"/>
    </row>
    <row r="91" spans="3:3" x14ac:dyDescent="0.25">
      <c r="C91" s="14"/>
    </row>
    <row r="92" spans="3:3" x14ac:dyDescent="0.25">
      <c r="C92" s="14"/>
    </row>
    <row r="93" spans="3:3" x14ac:dyDescent="0.25">
      <c r="C93" s="14"/>
    </row>
    <row r="94" spans="3:3" x14ac:dyDescent="0.25">
      <c r="C94" s="14"/>
    </row>
    <row r="95" spans="3:3" x14ac:dyDescent="0.25">
      <c r="C95" s="14"/>
    </row>
    <row r="96" spans="3:3" x14ac:dyDescent="0.25">
      <c r="C96" s="14"/>
    </row>
    <row r="97" spans="3:3" x14ac:dyDescent="0.25">
      <c r="C97" s="14"/>
    </row>
    <row r="98" spans="3:3" x14ac:dyDescent="0.25">
      <c r="C98" s="14"/>
    </row>
  </sheetData>
  <mergeCells count="67">
    <mergeCell ref="G59:H59"/>
    <mergeCell ref="G60:H60"/>
    <mergeCell ref="G61:H61"/>
    <mergeCell ref="G53:H53"/>
    <mergeCell ref="G54:H54"/>
    <mergeCell ref="G55:H55"/>
    <mergeCell ref="G56:H56"/>
    <mergeCell ref="G57:H57"/>
    <mergeCell ref="G58:H58"/>
    <mergeCell ref="G52:H52"/>
    <mergeCell ref="G41:H41"/>
    <mergeCell ref="G42:H42"/>
    <mergeCell ref="G43:H43"/>
    <mergeCell ref="G44:H44"/>
    <mergeCell ref="G45:H45"/>
    <mergeCell ref="G46:H46"/>
    <mergeCell ref="G47:H47"/>
    <mergeCell ref="G48:H48"/>
    <mergeCell ref="G49:H49"/>
    <mergeCell ref="G50:H50"/>
    <mergeCell ref="G51:H51"/>
    <mergeCell ref="G40:H40"/>
    <mergeCell ref="G29:H29"/>
    <mergeCell ref="G30:H30"/>
    <mergeCell ref="G31:H31"/>
    <mergeCell ref="G32:H32"/>
    <mergeCell ref="G33:H33"/>
    <mergeCell ref="G34:H34"/>
    <mergeCell ref="G35:H35"/>
    <mergeCell ref="G36:H36"/>
    <mergeCell ref="G37:H37"/>
    <mergeCell ref="G38:H38"/>
    <mergeCell ref="G39:H39"/>
    <mergeCell ref="G28:H28"/>
    <mergeCell ref="G17:H17"/>
    <mergeCell ref="G18:H18"/>
    <mergeCell ref="G19:H19"/>
    <mergeCell ref="G20:H20"/>
    <mergeCell ref="G21:H21"/>
    <mergeCell ref="G22:H22"/>
    <mergeCell ref="G23:H23"/>
    <mergeCell ref="G24:H24"/>
    <mergeCell ref="G25:H25"/>
    <mergeCell ref="G26:H26"/>
    <mergeCell ref="G27:H27"/>
    <mergeCell ref="M2:M4"/>
    <mergeCell ref="G16:H16"/>
    <mergeCell ref="I6:I7"/>
    <mergeCell ref="J6:J7"/>
    <mergeCell ref="K6:M6"/>
    <mergeCell ref="G8:H8"/>
    <mergeCell ref="G9:H9"/>
    <mergeCell ref="G10:H10"/>
    <mergeCell ref="G11:H11"/>
    <mergeCell ref="G12:H12"/>
    <mergeCell ref="G13:H13"/>
    <mergeCell ref="G14:H14"/>
    <mergeCell ref="G15:H15"/>
    <mergeCell ref="E1:F4"/>
    <mergeCell ref="L1:L2"/>
    <mergeCell ref="A6:A7"/>
    <mergeCell ref="B6:B7"/>
    <mergeCell ref="C6:C7"/>
    <mergeCell ref="D6:D7"/>
    <mergeCell ref="E6:E7"/>
    <mergeCell ref="F6:F7"/>
    <mergeCell ref="G6:H7"/>
  </mergeCells>
  <conditionalFormatting sqref="C16:C21 C23:C45">
    <cfRule type="expression" dxfId="29" priority="7" stopIfTrue="1">
      <formula>#REF!=1</formula>
    </cfRule>
    <cfRule type="expression" priority="8" stopIfTrue="1">
      <formula>#REF!=2</formula>
    </cfRule>
    <cfRule type="expression" dxfId="28" priority="9" stopIfTrue="1">
      <formula>#REF!=3</formula>
    </cfRule>
  </conditionalFormatting>
  <conditionalFormatting sqref="C22">
    <cfRule type="expression" dxfId="27" priority="4" stopIfTrue="1">
      <formula>#REF!=1</formula>
    </cfRule>
    <cfRule type="expression" priority="5" stopIfTrue="1">
      <formula>#REF!=2</formula>
    </cfRule>
    <cfRule type="expression" dxfId="26" priority="6" stopIfTrue="1">
      <formula>#REF!=3</formula>
    </cfRule>
  </conditionalFormatting>
  <conditionalFormatting sqref="C46:C61">
    <cfRule type="expression" dxfId="25" priority="1" stopIfTrue="1">
      <formula>#REF!=1</formula>
    </cfRule>
    <cfRule type="expression" priority="2" stopIfTrue="1">
      <formula>#REF!=2</formula>
    </cfRule>
    <cfRule type="expression" dxfId="24" priority="3" stopIfTrue="1">
      <formula>#REF!=3</formula>
    </cfRule>
  </conditionalFormatting>
  <dataValidations count="2">
    <dataValidation operator="greaterThan" allowBlank="1" showDropDown="1" showInputMessage="1" showErrorMessage="1" errorTitle="Saisie incorrecte" error="Re-Saisir le numéro de dossier sous le format_x000a_000-000000-000" promptTitle="Saisie du numéro d'événement" prompt="000-000000-000_x000a_Ex. : 071-030901-001" sqref="J8:J39" xr:uid="{00000000-0002-0000-1A00-000000000000}"/>
    <dataValidation type="textLength" operator="greaterThanOrEqual" allowBlank="1" showInputMessage="1" showErrorMessage="1" errorTitle="Saisie incorrecte" error="Re-saisir le numéro d'entrée en utilisant 3 chiffres_x000a_Ex.: 001" promptTitle="Saisie du numéro d'entrée" prompt="Minimum 3 chiffres_x000a_Ex.: 001" sqref="C8:C39" xr:uid="{00000000-0002-0000-1A00-000001000000}">
      <formula1>3</formula1>
    </dataValidation>
  </dataValidations>
  <printOptions horizontalCentered="1" verticalCentered="1"/>
  <pageMargins left="0" right="0" top="0.31496062992125984" bottom="0.39370078740157483" header="0.15748031496062992" footer="0.19685039370078741"/>
  <pageSetup paperSize="5" scale="90" orientation="landscape" r:id="rId1"/>
  <headerFooter alignWithMargins="0">
    <oddFooter>&amp;R&amp;8Page &amp;P de &amp;N</oddFooter>
  </headerFooter>
  <drawing r:id="rId2"/>
  <legacyDrawing r:id="rId3"/>
  <controls>
    <mc:AlternateContent xmlns:mc="http://schemas.openxmlformats.org/markup-compatibility/2006">
      <mc:Choice Requires="x14">
        <control shapeId="168963" r:id="rId4" name="ComboBox2">
          <controlPr defaultSize="0" autoLine="0" r:id="rId5">
            <anchor moveWithCells="1">
              <from>
                <xdr:col>4</xdr:col>
                <xdr:colOff>0</xdr:colOff>
                <xdr:row>10</xdr:row>
                <xdr:rowOff>0</xdr:rowOff>
              </from>
              <to>
                <xdr:col>4</xdr:col>
                <xdr:colOff>2965450</xdr:colOff>
                <xdr:row>11</xdr:row>
                <xdr:rowOff>38100</xdr:rowOff>
              </to>
            </anchor>
          </controlPr>
        </control>
      </mc:Choice>
      <mc:Fallback>
        <control shapeId="168963" r:id="rId4" name="ComboBox2"/>
      </mc:Fallback>
    </mc:AlternateContent>
    <mc:AlternateContent xmlns:mc="http://schemas.openxmlformats.org/markup-compatibility/2006">
      <mc:Choice Requires="x14">
        <control shapeId="168962" r:id="rId6" name="ComboBox1">
          <controlPr defaultSize="0" autoLine="0" r:id="rId7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11</xdr:col>
                <xdr:colOff>1803400</xdr:colOff>
                <xdr:row>9</xdr:row>
                <xdr:rowOff>38100</xdr:rowOff>
              </to>
            </anchor>
          </controlPr>
        </control>
      </mc:Choice>
      <mc:Fallback>
        <control shapeId="168962" r:id="rId6" name="ComboBox1"/>
      </mc:Fallback>
    </mc:AlternateContent>
    <mc:AlternateContent xmlns:mc="http://schemas.openxmlformats.org/markup-compatibility/2006">
      <mc:Choice Requires="x14">
        <control shapeId="168961" r:id="rId8" name="Button 1">
          <controlPr defaultSize="0" print="0" autoFill="0" autoPict="0" macro="[0]!test2">
            <anchor moveWithCells="1">
              <from>
                <xdr:col>5</xdr:col>
                <xdr:colOff>222250</xdr:colOff>
                <xdr:row>1</xdr:row>
                <xdr:rowOff>139700</xdr:rowOff>
              </from>
              <to>
                <xdr:col>9</xdr:col>
                <xdr:colOff>1143000</xdr:colOff>
                <xdr:row>4</xdr:row>
                <xdr:rowOff>107950</xdr:rowOff>
              </to>
            </anchor>
          </controlPr>
        </control>
      </mc:Choice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Feuil85"/>
  <dimension ref="A1:M98"/>
  <sheetViews>
    <sheetView showGridLines="0" zoomScaleNormal="100" workbookViewId="0">
      <pane xSplit="3" ySplit="7" topLeftCell="D8" activePane="bottomRight" state="frozen"/>
      <selection activeCell="C8" sqref="C8"/>
      <selection pane="topRight" activeCell="C8" sqref="C8"/>
      <selection pane="bottomLeft" activeCell="C8" sqref="C8"/>
      <selection pane="bottomRight" activeCell="M2" sqref="M2:M5"/>
    </sheetView>
  </sheetViews>
  <sheetFormatPr baseColWidth="10" defaultColWidth="11.453125" defaultRowHeight="13" x14ac:dyDescent="0.25"/>
  <cols>
    <col min="1" max="2" width="5.6328125" style="1" customWidth="1"/>
    <col min="3" max="3" width="6.6328125" style="1" customWidth="1"/>
    <col min="4" max="4" width="7.54296875" style="1" customWidth="1"/>
    <col min="5" max="5" width="44.453125" style="21" customWidth="1"/>
    <col min="6" max="6" width="10.54296875" style="1" customWidth="1"/>
    <col min="7" max="7" width="13.90625" style="1" customWidth="1"/>
    <col min="8" max="8" width="4.6328125" style="1" hidden="1" customWidth="1"/>
    <col min="9" max="9" width="6.08984375" style="1" customWidth="1"/>
    <col min="10" max="10" width="26.54296875" style="1" customWidth="1"/>
    <col min="11" max="11" width="7.36328125" style="1" customWidth="1"/>
    <col min="12" max="12" width="27" style="24" customWidth="1"/>
    <col min="13" max="13" width="26" style="1" customWidth="1"/>
    <col min="14" max="16384" width="11.453125" style="1"/>
  </cols>
  <sheetData>
    <row r="1" spans="1:13" ht="12.75" customHeight="1" x14ac:dyDescent="0.25">
      <c r="E1" s="71" t="s">
        <v>1023</v>
      </c>
      <c r="F1" s="72"/>
      <c r="L1" s="73" t="s">
        <v>1021</v>
      </c>
      <c r="M1" s="51" t="s">
        <v>1022</v>
      </c>
    </row>
    <row r="2" spans="1:13" ht="12.75" customHeight="1" x14ac:dyDescent="0.25">
      <c r="E2" s="72"/>
      <c r="F2" s="72"/>
      <c r="L2" s="74"/>
      <c r="M2" s="70">
        <f>'27'!M2:M5+1</f>
        <v>42732</v>
      </c>
    </row>
    <row r="3" spans="1:13" ht="12.75" customHeight="1" x14ac:dyDescent="0.25">
      <c r="E3" s="72"/>
      <c r="F3" s="72"/>
      <c r="L3" s="52"/>
      <c r="M3" s="70"/>
    </row>
    <row r="4" spans="1:13" ht="15.75" customHeight="1" x14ac:dyDescent="0.25">
      <c r="E4" s="72"/>
      <c r="F4" s="72"/>
      <c r="L4" s="49" t="s">
        <v>140</v>
      </c>
      <c r="M4" s="70"/>
    </row>
    <row r="5" spans="1:13" ht="21.9" customHeight="1" thickBot="1" x14ac:dyDescent="0.3">
      <c r="L5" s="36"/>
      <c r="M5" s="69">
        <f>M2</f>
        <v>42732</v>
      </c>
    </row>
    <row r="6" spans="1:13" ht="24.9" customHeight="1" x14ac:dyDescent="0.25">
      <c r="A6" s="75" t="s">
        <v>2351</v>
      </c>
      <c r="B6" s="75" t="s">
        <v>2350</v>
      </c>
      <c r="C6" s="76" t="s">
        <v>1362</v>
      </c>
      <c r="D6" s="75" t="s">
        <v>1153</v>
      </c>
      <c r="E6" s="75" t="s">
        <v>1016</v>
      </c>
      <c r="F6" s="76" t="s">
        <v>2352</v>
      </c>
      <c r="G6" s="76" t="s">
        <v>1017</v>
      </c>
      <c r="H6" s="79"/>
      <c r="I6" s="76" t="s">
        <v>1364</v>
      </c>
      <c r="J6" s="76" t="s">
        <v>1363</v>
      </c>
      <c r="K6" s="83" t="s">
        <v>1018</v>
      </c>
      <c r="L6" s="84"/>
      <c r="M6" s="84"/>
    </row>
    <row r="7" spans="1:13" ht="12.5" x14ac:dyDescent="0.25">
      <c r="A7" s="75"/>
      <c r="B7" s="75"/>
      <c r="C7" s="77"/>
      <c r="D7" s="75"/>
      <c r="E7" s="75"/>
      <c r="F7" s="78"/>
      <c r="G7" s="80"/>
      <c r="H7" s="81"/>
      <c r="I7" s="77"/>
      <c r="J7" s="77"/>
      <c r="K7" s="50" t="s">
        <v>1015</v>
      </c>
      <c r="L7" s="50" t="s">
        <v>1019</v>
      </c>
      <c r="M7" s="32" t="s">
        <v>1020</v>
      </c>
    </row>
    <row r="8" spans="1:13" ht="30" customHeight="1" x14ac:dyDescent="0.25">
      <c r="A8" s="45"/>
      <c r="B8" s="45"/>
      <c r="C8" s="30"/>
      <c r="D8" s="46"/>
      <c r="E8" s="27"/>
      <c r="F8" s="31"/>
      <c r="G8" s="82" t="str">
        <f>IF(F8=0,"",VLOOKUP(F8,Employés!$A$2:$B$186,2,0))</f>
        <v/>
      </c>
      <c r="H8" s="82"/>
      <c r="I8" s="34"/>
      <c r="J8" s="33"/>
      <c r="K8" s="19"/>
      <c r="L8" s="20" t="s">
        <v>1420</v>
      </c>
      <c r="M8" s="37" t="str">
        <f>IF(I8=0,"",VLOOKUP(I8,Municipalités!$A$2:$B$1290,2,TRUE))</f>
        <v/>
      </c>
    </row>
    <row r="9" spans="1:13" ht="30" customHeight="1" x14ac:dyDescent="0.25">
      <c r="A9" s="45"/>
      <c r="B9" s="45"/>
      <c r="C9" s="39"/>
      <c r="D9" s="47"/>
      <c r="E9" s="27"/>
      <c r="F9" s="31"/>
      <c r="G9" s="82" t="str">
        <f>IF(F9=0,"",VLOOKUP(F9,Employés!$A$2:$B$186,2,0))</f>
        <v/>
      </c>
      <c r="H9" s="82"/>
      <c r="I9" s="35"/>
      <c r="J9" s="33"/>
      <c r="K9" s="19"/>
      <c r="L9" s="20"/>
      <c r="M9" s="37" t="str">
        <f>IF(I9=0,"",VLOOKUP(I9,Municipalités!$A$2:$B$1290,2,TRUE))</f>
        <v/>
      </c>
    </row>
    <row r="10" spans="1:13" ht="30" customHeight="1" x14ac:dyDescent="0.25">
      <c r="A10" s="45"/>
      <c r="B10" s="45"/>
      <c r="C10" s="39"/>
      <c r="D10" s="48"/>
      <c r="E10" s="28"/>
      <c r="F10" s="31"/>
      <c r="G10" s="82" t="str">
        <f>IF(F10=0,"",VLOOKUP(F10,Employés!$A$2:$B$186,2,0))</f>
        <v/>
      </c>
      <c r="H10" s="82"/>
      <c r="I10" s="35"/>
      <c r="J10" s="29"/>
      <c r="K10" s="19"/>
      <c r="L10" s="20"/>
      <c r="M10" s="37" t="str">
        <f>IF(I10=0,"",VLOOKUP(I10,Municipalités!$A$2:$B$1290,2,TRUE))</f>
        <v/>
      </c>
    </row>
    <row r="11" spans="1:13" ht="30" customHeight="1" x14ac:dyDescent="0.25">
      <c r="A11" s="45"/>
      <c r="B11" s="45"/>
      <c r="C11" s="39"/>
      <c r="D11" s="47"/>
      <c r="E11" s="28" t="s">
        <v>1420</v>
      </c>
      <c r="F11" s="31"/>
      <c r="G11" s="82" t="str">
        <f>IF(F11=0,"",VLOOKUP(F11,Employés!$A$2:$B$186,2,0))</f>
        <v/>
      </c>
      <c r="H11" s="82"/>
      <c r="I11" s="35"/>
      <c r="J11" s="29"/>
      <c r="K11" s="19"/>
      <c r="L11" s="20"/>
      <c r="M11" s="37" t="str">
        <f>IF(I11=0,"",VLOOKUP(I11,Municipalités!$A$2:$B$1290,2,TRUE))</f>
        <v/>
      </c>
    </row>
    <row r="12" spans="1:13" ht="30" customHeight="1" x14ac:dyDescent="0.25">
      <c r="A12" s="45"/>
      <c r="B12" s="45"/>
      <c r="C12" s="39"/>
      <c r="D12" s="46"/>
      <c r="E12" s="27"/>
      <c r="F12" s="31"/>
      <c r="G12" s="82" t="str">
        <f>IF(F12=0,"",VLOOKUP(F12,Employés!$A$2:$B$186,2,0))</f>
        <v/>
      </c>
      <c r="H12" s="82"/>
      <c r="I12" s="35"/>
      <c r="J12" s="29"/>
      <c r="K12" s="19"/>
      <c r="L12" s="20"/>
      <c r="M12" s="37" t="str">
        <f>IF(I12=0,"",VLOOKUP(I12,Municipalités!$A$2:$B$1290,2,TRUE))</f>
        <v/>
      </c>
    </row>
    <row r="13" spans="1:13" ht="30" customHeight="1" x14ac:dyDescent="0.25">
      <c r="A13" s="45"/>
      <c r="B13" s="45"/>
      <c r="C13" s="39"/>
      <c r="D13" s="46"/>
      <c r="E13" s="27"/>
      <c r="F13" s="31"/>
      <c r="G13" s="82" t="str">
        <f>IF(F13=0,"",VLOOKUP(F13,Employés!$A$2:$B$186,2,0))</f>
        <v/>
      </c>
      <c r="H13" s="82"/>
      <c r="I13" s="35"/>
      <c r="J13" s="29"/>
      <c r="K13" s="19"/>
      <c r="L13" s="20"/>
      <c r="M13" s="37" t="str">
        <f>IF(I13=0,"",VLOOKUP(I13,Municipalités!$A$2:$B$1290,2,TRUE))</f>
        <v/>
      </c>
    </row>
    <row r="14" spans="1:13" ht="30" customHeight="1" x14ac:dyDescent="0.25">
      <c r="A14" s="45"/>
      <c r="B14" s="45"/>
      <c r="C14" s="39"/>
      <c r="D14" s="47"/>
      <c r="E14" s="27"/>
      <c r="F14" s="31"/>
      <c r="G14" s="82" t="str">
        <f>IF(F14=0,"",VLOOKUP(F14,Employés!$A$2:$B$186,2,0))</f>
        <v/>
      </c>
      <c r="H14" s="82"/>
      <c r="I14" s="35"/>
      <c r="J14" s="29"/>
      <c r="K14" s="19"/>
      <c r="L14" s="20"/>
      <c r="M14" s="37" t="str">
        <f>IF(I14=0,"",VLOOKUP(I14,Municipalités!$A$2:$B$1290,2,TRUE))</f>
        <v/>
      </c>
    </row>
    <row r="15" spans="1:13" ht="30" customHeight="1" x14ac:dyDescent="0.25">
      <c r="A15" s="45"/>
      <c r="B15" s="45"/>
      <c r="C15" s="39"/>
      <c r="D15" s="47"/>
      <c r="E15" s="27"/>
      <c r="F15" s="31"/>
      <c r="G15" s="82" t="str">
        <f>IF(F15=0,"",VLOOKUP(F15,Employés!$A$2:$B$186,2,0))</f>
        <v/>
      </c>
      <c r="H15" s="82"/>
      <c r="I15" s="35"/>
      <c r="J15" s="29"/>
      <c r="K15" s="19"/>
      <c r="L15" s="20"/>
      <c r="M15" s="37" t="str">
        <f>IF(I15=0,"",VLOOKUP(I15,Municipalités!$A$2:$B$1290,2,TRUE))</f>
        <v/>
      </c>
    </row>
    <row r="16" spans="1:13" ht="30" customHeight="1" x14ac:dyDescent="0.25">
      <c r="A16" s="45"/>
      <c r="B16" s="45"/>
      <c r="C16" s="39"/>
      <c r="D16" s="46"/>
      <c r="E16" s="27"/>
      <c r="F16" s="31"/>
      <c r="G16" s="82" t="str">
        <f>IF(F16=0,"",VLOOKUP(F16,Employés!$A$2:$B$186,2,0))</f>
        <v/>
      </c>
      <c r="H16" s="82"/>
      <c r="I16" s="35"/>
      <c r="J16" s="29"/>
      <c r="K16" s="19"/>
      <c r="L16" s="20"/>
      <c r="M16" s="37" t="str">
        <f>IF(I16=0,"",VLOOKUP(I16,Municipalités!$A$2:$B$1290,2,TRUE))</f>
        <v/>
      </c>
    </row>
    <row r="17" spans="1:13" ht="30" customHeight="1" x14ac:dyDescent="0.25">
      <c r="A17" s="45"/>
      <c r="B17" s="45"/>
      <c r="C17" s="39"/>
      <c r="D17" s="46"/>
      <c r="E17" s="27"/>
      <c r="F17" s="31"/>
      <c r="G17" s="82" t="str">
        <f>IF(F17=0,"",VLOOKUP(F17,Employés!$A$2:$B$186,2,0))</f>
        <v/>
      </c>
      <c r="H17" s="82"/>
      <c r="I17" s="35"/>
      <c r="J17" s="29"/>
      <c r="K17" s="19"/>
      <c r="L17" s="20"/>
      <c r="M17" s="37" t="str">
        <f>IF(I17=0,"",VLOOKUP(I17,Municipalités!$A$2:$B$1290,2,TRUE))</f>
        <v/>
      </c>
    </row>
    <row r="18" spans="1:13" ht="30" customHeight="1" x14ac:dyDescent="0.25">
      <c r="A18" s="45"/>
      <c r="B18" s="45"/>
      <c r="C18" s="39"/>
      <c r="D18" s="46"/>
      <c r="E18" s="27"/>
      <c r="F18" s="31"/>
      <c r="G18" s="82" t="str">
        <f>IF(F18=0,"",VLOOKUP(F18,Employés!$A$2:$B$186,2,0))</f>
        <v/>
      </c>
      <c r="H18" s="82"/>
      <c r="I18" s="35"/>
      <c r="J18" s="29"/>
      <c r="K18" s="19"/>
      <c r="L18" s="20"/>
      <c r="M18" s="37" t="str">
        <f>IF(I18=0,"",VLOOKUP(I18,Municipalités!$A$2:$B$1290,2,TRUE))</f>
        <v/>
      </c>
    </row>
    <row r="19" spans="1:13" ht="30" customHeight="1" x14ac:dyDescent="0.25">
      <c r="A19" s="45"/>
      <c r="B19" s="45"/>
      <c r="C19" s="39"/>
      <c r="D19" s="46"/>
      <c r="E19" s="27"/>
      <c r="F19" s="31"/>
      <c r="G19" s="82" t="str">
        <f>IF(F19=0,"",VLOOKUP(F19,Employés!$A$2:$B$186,2,0))</f>
        <v/>
      </c>
      <c r="H19" s="82"/>
      <c r="I19" s="35"/>
      <c r="J19" s="29"/>
      <c r="K19" s="19"/>
      <c r="L19" s="20"/>
      <c r="M19" s="37" t="str">
        <f>IF(I19=0,"",VLOOKUP(I19,Municipalités!$A$2:$B$1290,2,TRUE))</f>
        <v/>
      </c>
    </row>
    <row r="20" spans="1:13" ht="30" customHeight="1" x14ac:dyDescent="0.25">
      <c r="A20" s="45"/>
      <c r="B20" s="45"/>
      <c r="C20" s="39"/>
      <c r="D20" s="47"/>
      <c r="E20" s="27"/>
      <c r="F20" s="31"/>
      <c r="G20" s="82" t="str">
        <f>IF(F20=0,"",VLOOKUP(F20,Employés!$A$2:$B$186,2,0))</f>
        <v/>
      </c>
      <c r="H20" s="82"/>
      <c r="I20" s="35"/>
      <c r="J20" s="29"/>
      <c r="K20" s="19"/>
      <c r="L20" s="20"/>
      <c r="M20" s="37" t="str">
        <f>IF(I20=0,"",VLOOKUP(I20,Municipalités!$A$2:$B$1290,2,TRUE))</f>
        <v/>
      </c>
    </row>
    <row r="21" spans="1:13" ht="30" customHeight="1" x14ac:dyDescent="0.25">
      <c r="A21" s="45"/>
      <c r="B21" s="45"/>
      <c r="C21" s="39"/>
      <c r="D21" s="47"/>
      <c r="E21" s="27"/>
      <c r="F21" s="31"/>
      <c r="G21" s="82" t="str">
        <f>IF(F21=0,"",VLOOKUP(F21,Employés!$A$2:$B$186,2,0))</f>
        <v/>
      </c>
      <c r="H21" s="82"/>
      <c r="I21" s="35"/>
      <c r="J21" s="29"/>
      <c r="K21" s="19"/>
      <c r="L21" s="20"/>
      <c r="M21" s="37" t="str">
        <f>IF(I21=0,"",VLOOKUP(I21,Municipalités!$A$2:$B$1290,2,TRUE))</f>
        <v/>
      </c>
    </row>
    <row r="22" spans="1:13" ht="30" customHeight="1" x14ac:dyDescent="0.25">
      <c r="A22" s="45"/>
      <c r="B22" s="45"/>
      <c r="C22" s="39"/>
      <c r="D22" s="46"/>
      <c r="E22" s="27"/>
      <c r="F22" s="31"/>
      <c r="G22" s="82" t="str">
        <f>IF(F22=0,"",VLOOKUP(F22,Employés!$A$2:$B$186,2,0))</f>
        <v/>
      </c>
      <c r="H22" s="82"/>
      <c r="I22" s="35"/>
      <c r="J22" s="29"/>
      <c r="K22" s="19"/>
      <c r="L22" s="20"/>
      <c r="M22" s="37" t="str">
        <f>IF(I22=0,"",VLOOKUP(I22,Municipalités!$A$2:$B$1290,2,TRUE))</f>
        <v/>
      </c>
    </row>
    <row r="23" spans="1:13" ht="30" customHeight="1" x14ac:dyDescent="0.25">
      <c r="A23" s="45"/>
      <c r="B23" s="45"/>
      <c r="C23" s="39"/>
      <c r="D23" s="46"/>
      <c r="E23" s="27"/>
      <c r="F23" s="31"/>
      <c r="G23" s="82" t="str">
        <f>IF(F23=0,"",VLOOKUP(F23,Employés!$A$2:$B$186,2,0))</f>
        <v/>
      </c>
      <c r="H23" s="82"/>
      <c r="I23" s="35"/>
      <c r="J23" s="29"/>
      <c r="K23" s="19"/>
      <c r="L23" s="20"/>
      <c r="M23" s="37" t="str">
        <f>IF(I23=0,"",VLOOKUP(I23,Municipalités!$A$2:$B$1290,2,TRUE))</f>
        <v/>
      </c>
    </row>
    <row r="24" spans="1:13" ht="30" customHeight="1" x14ac:dyDescent="0.25">
      <c r="A24" s="45"/>
      <c r="B24" s="45"/>
      <c r="C24" s="39"/>
      <c r="D24" s="46"/>
      <c r="E24" s="27"/>
      <c r="F24" s="31"/>
      <c r="G24" s="82" t="str">
        <f>IF(F24=0,"",VLOOKUP(F24,Employés!$A$2:$B$186,2,0))</f>
        <v/>
      </c>
      <c r="H24" s="82"/>
      <c r="I24" s="35"/>
      <c r="J24" s="29"/>
      <c r="K24" s="19"/>
      <c r="L24" s="20"/>
      <c r="M24" s="37" t="str">
        <f>IF(I24=0,"",VLOOKUP(I24,Municipalités!$A$2:$B$1290,2,TRUE))</f>
        <v/>
      </c>
    </row>
    <row r="25" spans="1:13" ht="30" customHeight="1" x14ac:dyDescent="0.25">
      <c r="A25" s="45"/>
      <c r="B25" s="45"/>
      <c r="C25" s="39"/>
      <c r="D25" s="46"/>
      <c r="E25" s="27"/>
      <c r="F25" s="31"/>
      <c r="G25" s="82" t="str">
        <f>IF(F25=0,"",VLOOKUP(F25,Employés!$A$2:$B$186,2,0))</f>
        <v/>
      </c>
      <c r="H25" s="82"/>
      <c r="I25" s="35"/>
      <c r="J25" s="29"/>
      <c r="K25" s="19"/>
      <c r="L25" s="20"/>
      <c r="M25" s="37" t="str">
        <f>IF(I25=0,"",VLOOKUP(I25,Municipalités!$A$2:$B$1290,2,TRUE))</f>
        <v/>
      </c>
    </row>
    <row r="26" spans="1:13" ht="30" customHeight="1" x14ac:dyDescent="0.25">
      <c r="A26" s="45"/>
      <c r="B26" s="45"/>
      <c r="C26" s="39"/>
      <c r="D26" s="46"/>
      <c r="E26" s="27"/>
      <c r="F26" s="31"/>
      <c r="G26" s="82" t="str">
        <f>IF(F26=0,"",VLOOKUP(F26,Employés!$A$2:$B$186,2,0))</f>
        <v/>
      </c>
      <c r="H26" s="82"/>
      <c r="I26" s="35"/>
      <c r="J26" s="29"/>
      <c r="K26" s="19"/>
      <c r="L26" s="20"/>
      <c r="M26" s="37" t="str">
        <f>IF(I26=0,"",VLOOKUP(I26,Municipalités!$A$2:$B$1290,2,TRUE))</f>
        <v/>
      </c>
    </row>
    <row r="27" spans="1:13" ht="30" customHeight="1" x14ac:dyDescent="0.25">
      <c r="A27" s="45"/>
      <c r="B27" s="45"/>
      <c r="C27" s="39"/>
      <c r="D27" s="46"/>
      <c r="E27" s="27"/>
      <c r="F27" s="31"/>
      <c r="G27" s="82" t="str">
        <f>IF(F27=0,"",VLOOKUP(F27,Employés!$A$2:$B$186,2,0))</f>
        <v/>
      </c>
      <c r="H27" s="82"/>
      <c r="I27" s="35"/>
      <c r="J27" s="29"/>
      <c r="K27" s="19"/>
      <c r="L27" s="20"/>
      <c r="M27" s="37" t="str">
        <f>IF(I27=0,"",VLOOKUP(I27,Municipalités!$A$2:$B$1290,2,TRUE))</f>
        <v/>
      </c>
    </row>
    <row r="28" spans="1:13" ht="30" customHeight="1" x14ac:dyDescent="0.25">
      <c r="A28" s="45"/>
      <c r="B28" s="45"/>
      <c r="C28" s="39"/>
      <c r="D28" s="46"/>
      <c r="E28" s="27"/>
      <c r="F28" s="31"/>
      <c r="G28" s="82" t="str">
        <f>IF(F28=0,"",VLOOKUP(F28,Employés!$A$2:$B$186,2,0))</f>
        <v/>
      </c>
      <c r="H28" s="82"/>
      <c r="I28" s="35"/>
      <c r="J28" s="29"/>
      <c r="K28" s="19"/>
      <c r="L28" s="20"/>
      <c r="M28" s="37" t="str">
        <f>IF(I28=0,"",VLOOKUP(I28,Municipalités!$A$2:$B$1290,2,TRUE))</f>
        <v/>
      </c>
    </row>
    <row r="29" spans="1:13" ht="30" customHeight="1" x14ac:dyDescent="0.25">
      <c r="A29" s="45"/>
      <c r="B29" s="45"/>
      <c r="C29" s="39"/>
      <c r="D29" s="46"/>
      <c r="E29" s="27"/>
      <c r="F29" s="31"/>
      <c r="G29" s="82" t="str">
        <f>IF(F29=0,"",VLOOKUP(F29,Employés!$A$2:$B$186,2,0))</f>
        <v/>
      </c>
      <c r="H29" s="82"/>
      <c r="I29" s="35"/>
      <c r="J29" s="29"/>
      <c r="K29" s="19"/>
      <c r="L29" s="20"/>
      <c r="M29" s="37" t="str">
        <f>IF(I29=0,"",VLOOKUP(I29,Municipalités!$A$2:$B$1290,2,TRUE))</f>
        <v/>
      </c>
    </row>
    <row r="30" spans="1:13" ht="30" customHeight="1" x14ac:dyDescent="0.25">
      <c r="A30" s="45"/>
      <c r="B30" s="45"/>
      <c r="C30" s="39"/>
      <c r="D30" s="46"/>
      <c r="E30" s="27"/>
      <c r="F30" s="31"/>
      <c r="G30" s="82" t="str">
        <f>IF(F30=0,"",VLOOKUP(F30,Employés!$A$2:$B$186,2,0))</f>
        <v/>
      </c>
      <c r="H30" s="82"/>
      <c r="I30" s="35"/>
      <c r="J30" s="29"/>
      <c r="K30" s="19"/>
      <c r="L30" s="20"/>
      <c r="M30" s="37" t="str">
        <f>IF(I30=0,"",VLOOKUP(I30,Municipalités!$A$2:$B$1290,2,TRUE))</f>
        <v/>
      </c>
    </row>
    <row r="31" spans="1:13" ht="30" customHeight="1" x14ac:dyDescent="0.25">
      <c r="A31" s="45"/>
      <c r="B31" s="45"/>
      <c r="C31" s="39"/>
      <c r="D31" s="47"/>
      <c r="E31" s="27"/>
      <c r="F31" s="31"/>
      <c r="G31" s="82" t="str">
        <f>IF(F31=0,"",VLOOKUP(F31,Employés!$A$2:$B$186,2,0))</f>
        <v/>
      </c>
      <c r="H31" s="82"/>
      <c r="I31" s="35"/>
      <c r="J31" s="29"/>
      <c r="K31" s="19"/>
      <c r="L31" s="20"/>
      <c r="M31" s="37" t="str">
        <f>IF(I31=0,"",VLOOKUP(I31,Municipalités!$A$2:$B$1290,2,TRUE))</f>
        <v/>
      </c>
    </row>
    <row r="32" spans="1:13" ht="30" customHeight="1" x14ac:dyDescent="0.25">
      <c r="A32" s="45"/>
      <c r="B32" s="45"/>
      <c r="C32" s="39"/>
      <c r="D32" s="46"/>
      <c r="E32" s="27"/>
      <c r="F32" s="31"/>
      <c r="G32" s="82" t="str">
        <f>IF(F32=0,"",VLOOKUP(F32,Employés!$A$2:$B$186,2,0))</f>
        <v/>
      </c>
      <c r="H32" s="82"/>
      <c r="I32" s="35"/>
      <c r="J32" s="29"/>
      <c r="K32" s="19"/>
      <c r="L32" s="20"/>
      <c r="M32" s="37" t="str">
        <f>IF(I32=0,"",VLOOKUP(I32,Municipalités!$A$2:$B$1290,2,TRUE))</f>
        <v/>
      </c>
    </row>
    <row r="33" spans="1:13" ht="30" customHeight="1" x14ac:dyDescent="0.25">
      <c r="A33" s="45"/>
      <c r="B33" s="45"/>
      <c r="C33" s="39"/>
      <c r="D33" s="46"/>
      <c r="E33" s="27"/>
      <c r="F33" s="31"/>
      <c r="G33" s="82" t="str">
        <f>IF(F33=0,"",VLOOKUP(F33,Employés!$A$2:$B$186,2,0))</f>
        <v/>
      </c>
      <c r="H33" s="82"/>
      <c r="I33" s="35"/>
      <c r="J33" s="29"/>
      <c r="K33" s="19"/>
      <c r="L33" s="20"/>
      <c r="M33" s="37" t="str">
        <f>IF(I33=0,"",VLOOKUP(I33,Municipalités!$A$2:$B$1290,2,TRUE))</f>
        <v/>
      </c>
    </row>
    <row r="34" spans="1:13" ht="30" customHeight="1" x14ac:dyDescent="0.25">
      <c r="A34" s="45"/>
      <c r="B34" s="45"/>
      <c r="C34" s="39"/>
      <c r="D34" s="46"/>
      <c r="E34" s="27"/>
      <c r="F34" s="31"/>
      <c r="G34" s="82" t="str">
        <f>IF(F34=0,"",VLOOKUP(F34,Employés!$A$2:$B$186,2,0))</f>
        <v/>
      </c>
      <c r="H34" s="82"/>
      <c r="I34" s="35"/>
      <c r="J34" s="29"/>
      <c r="K34" s="19"/>
      <c r="L34" s="20"/>
      <c r="M34" s="37" t="str">
        <f>IF(I34=0,"",VLOOKUP(I34,Municipalités!$A$2:$B$1290,2,TRUE))</f>
        <v/>
      </c>
    </row>
    <row r="35" spans="1:13" ht="30" customHeight="1" x14ac:dyDescent="0.25">
      <c r="A35" s="45"/>
      <c r="B35" s="45"/>
      <c r="C35" s="30"/>
      <c r="D35" s="46"/>
      <c r="E35" s="27"/>
      <c r="F35" s="31"/>
      <c r="G35" s="82" t="str">
        <f>IF(F35=0,"",VLOOKUP(F35,Employés!$A$2:$B$186,2,0))</f>
        <v/>
      </c>
      <c r="H35" s="82"/>
      <c r="I35" s="35"/>
      <c r="J35" s="29"/>
      <c r="K35" s="19"/>
      <c r="L35" s="20"/>
      <c r="M35" s="37" t="str">
        <f>IF(I35=0,"",VLOOKUP(I35,Municipalités!$A$2:$B$1290,2,TRUE))</f>
        <v/>
      </c>
    </row>
    <row r="36" spans="1:13" ht="30" customHeight="1" x14ac:dyDescent="0.25">
      <c r="A36" s="45"/>
      <c r="B36" s="45"/>
      <c r="C36" s="30"/>
      <c r="D36" s="46"/>
      <c r="E36" s="27"/>
      <c r="F36" s="31"/>
      <c r="G36" s="82" t="str">
        <f>IF(F36=0,"",VLOOKUP(F36,Employés!$A$2:$B$186,2,0))</f>
        <v/>
      </c>
      <c r="H36" s="82"/>
      <c r="I36" s="35"/>
      <c r="J36" s="29"/>
      <c r="K36" s="19"/>
      <c r="L36" s="20"/>
      <c r="M36" s="37" t="str">
        <f>IF(I36=0,"",VLOOKUP(I36,Municipalités!$A$2:$B$1290,2,TRUE))</f>
        <v/>
      </c>
    </row>
    <row r="37" spans="1:13" ht="30" customHeight="1" x14ac:dyDescent="0.25">
      <c r="A37" s="45"/>
      <c r="B37" s="45"/>
      <c r="C37" s="39"/>
      <c r="D37" s="46"/>
      <c r="E37" s="27"/>
      <c r="F37" s="31"/>
      <c r="G37" s="82" t="str">
        <f>IF(F37=0,"",VLOOKUP(F37,Employés!$A$2:$B$186,2,0))</f>
        <v/>
      </c>
      <c r="H37" s="82"/>
      <c r="I37" s="35"/>
      <c r="J37" s="29"/>
      <c r="K37" s="19"/>
      <c r="L37" s="20"/>
      <c r="M37" s="37" t="str">
        <f>IF(I37=0,"",VLOOKUP(I37,Municipalités!$A$2:$B$1290,2,TRUE))</f>
        <v/>
      </c>
    </row>
    <row r="38" spans="1:13" ht="30" customHeight="1" x14ac:dyDescent="0.25">
      <c r="A38" s="45"/>
      <c r="B38" s="45"/>
      <c r="C38" s="39"/>
      <c r="D38" s="47"/>
      <c r="E38" s="27"/>
      <c r="F38" s="31"/>
      <c r="G38" s="82" t="str">
        <f>IF(F38=0,"",VLOOKUP(F38,Employés!$A$2:$B$186,2,0))</f>
        <v/>
      </c>
      <c r="H38" s="82"/>
      <c r="I38" s="35"/>
      <c r="J38" s="29"/>
      <c r="K38" s="19"/>
      <c r="L38" s="20"/>
      <c r="M38" s="37" t="str">
        <f>IF(I38=0,"",VLOOKUP(I38,Municipalités!$A$2:$B$1290,2,TRUE))</f>
        <v/>
      </c>
    </row>
    <row r="39" spans="1:13" ht="30" customHeight="1" x14ac:dyDescent="0.25">
      <c r="A39" s="45"/>
      <c r="B39" s="45"/>
      <c r="C39" s="39"/>
      <c r="D39" s="45"/>
      <c r="E39" s="27"/>
      <c r="F39" s="31"/>
      <c r="G39" s="82" t="str">
        <f>IF(F39=0,"",VLOOKUP(F39,Employés!$A$2:$B$186,2,0))</f>
        <v/>
      </c>
      <c r="H39" s="82"/>
      <c r="I39" s="35"/>
      <c r="J39" s="29"/>
      <c r="K39" s="26"/>
      <c r="L39" s="25"/>
      <c r="M39" s="37" t="str">
        <f>IF(I39=0,"",VLOOKUP(I39,Municipalités!$A$2:$B$1290,2,TRUE))</f>
        <v/>
      </c>
    </row>
    <row r="40" spans="1:13" ht="30" customHeight="1" x14ac:dyDescent="0.25">
      <c r="A40" s="8"/>
      <c r="B40" s="8"/>
      <c r="C40" s="30"/>
      <c r="D40" s="8"/>
      <c r="E40" s="27"/>
      <c r="F40" s="31"/>
      <c r="G40" s="82" t="str">
        <f>IF(F40=0,"",VLOOKUP(F40,Employés!$A$2:$B$186,2,0))</f>
        <v/>
      </c>
      <c r="H40" s="82"/>
      <c r="I40" s="35"/>
      <c r="J40" s="29"/>
      <c r="K40" s="26"/>
      <c r="L40" s="25"/>
      <c r="M40" s="37" t="str">
        <f>IF(I40=0,"",VLOOKUP(I40,Municipalités!$A$2:$B$1290,2,TRUE))</f>
        <v/>
      </c>
    </row>
    <row r="41" spans="1:13" ht="30" customHeight="1" x14ac:dyDescent="0.25">
      <c r="A41" s="8"/>
      <c r="B41" s="8"/>
      <c r="C41" s="30"/>
      <c r="D41" s="8"/>
      <c r="E41" s="27"/>
      <c r="F41" s="31"/>
      <c r="G41" s="82" t="str">
        <f>IF(F41=0,"",VLOOKUP(F41,Employés!$A$2:$B$186,2,0))</f>
        <v/>
      </c>
      <c r="H41" s="82"/>
      <c r="I41" s="35"/>
      <c r="J41" s="29"/>
      <c r="K41" s="26"/>
      <c r="L41" s="25"/>
      <c r="M41" s="37" t="str">
        <f>IF(I41=0,"",VLOOKUP(I41,Municipalités!$A$2:$B$1290,2,TRUE))</f>
        <v/>
      </c>
    </row>
    <row r="42" spans="1:13" ht="30" customHeight="1" x14ac:dyDescent="0.25">
      <c r="A42" s="8"/>
      <c r="B42" s="8"/>
      <c r="C42" s="30"/>
      <c r="D42" s="8"/>
      <c r="E42" s="27"/>
      <c r="F42" s="31"/>
      <c r="G42" s="82" t="str">
        <f>IF(F42=0,"",VLOOKUP(F42,Employés!$A$2:$B$186,2,0))</f>
        <v/>
      </c>
      <c r="H42" s="82"/>
      <c r="I42" s="35"/>
      <c r="J42" s="29"/>
      <c r="K42" s="26"/>
      <c r="L42" s="25"/>
      <c r="M42" s="37" t="str">
        <f>IF(I42=0,"",VLOOKUP(I42,Municipalités!$A$2:$B$1290,2,TRUE))</f>
        <v/>
      </c>
    </row>
    <row r="43" spans="1:13" ht="30" customHeight="1" x14ac:dyDescent="0.25">
      <c r="A43" s="8"/>
      <c r="B43" s="8"/>
      <c r="C43" s="30"/>
      <c r="D43" s="8"/>
      <c r="E43" s="27" t="s">
        <v>1420</v>
      </c>
      <c r="F43" s="31"/>
      <c r="G43" s="82" t="str">
        <f>IF(F43=0,"",VLOOKUP(F43,Employés!$A$2:$B$186,2,0))</f>
        <v/>
      </c>
      <c r="H43" s="82"/>
      <c r="I43" s="35"/>
      <c r="J43" s="29"/>
      <c r="K43" s="26"/>
      <c r="L43" s="25" t="s">
        <v>1420</v>
      </c>
      <c r="M43" s="37" t="str">
        <f>IF(I43=0,"",VLOOKUP(I43,Municipalités!$A$2:$B$1290,2,TRUE))</f>
        <v/>
      </c>
    </row>
    <row r="44" spans="1:13" ht="30" customHeight="1" x14ac:dyDescent="0.25">
      <c r="A44" s="8"/>
      <c r="B44" s="8"/>
      <c r="C44" s="30"/>
      <c r="D44" s="8"/>
      <c r="E44" s="27"/>
      <c r="F44" s="31"/>
      <c r="G44" s="82" t="str">
        <f>IF(F44=0,"",VLOOKUP(F44,Employés!$A$2:$B$186,2,0))</f>
        <v/>
      </c>
      <c r="H44" s="82"/>
      <c r="I44" s="35"/>
      <c r="J44" s="29"/>
      <c r="K44" s="26"/>
      <c r="L44" s="25"/>
      <c r="M44" s="37" t="str">
        <f>IF(I44=0,"",VLOOKUP(I44,Municipalités!$A$2:$B$1290,2,TRUE))</f>
        <v/>
      </c>
    </row>
    <row r="45" spans="1:13" ht="30" customHeight="1" x14ac:dyDescent="0.25">
      <c r="A45" s="8"/>
      <c r="B45" s="8"/>
      <c r="C45" s="30"/>
      <c r="D45" s="8"/>
      <c r="E45" s="27"/>
      <c r="F45" s="31"/>
      <c r="G45" s="82" t="str">
        <f>IF(F45=0,"",VLOOKUP(F45,Employés!$A$2:$B$186,2,0))</f>
        <v/>
      </c>
      <c r="H45" s="82"/>
      <c r="I45" s="35"/>
      <c r="J45" s="29"/>
      <c r="K45" s="26"/>
      <c r="L45" s="25"/>
      <c r="M45" s="37" t="str">
        <f>IF(I45=0,"",VLOOKUP(I45,Municipalités!$A$2:$B$1290,2,TRUE))</f>
        <v/>
      </c>
    </row>
    <row r="46" spans="1:13" ht="30" customHeight="1" x14ac:dyDescent="0.25">
      <c r="A46" s="8"/>
      <c r="B46" s="8"/>
      <c r="C46" s="30"/>
      <c r="D46" s="8"/>
      <c r="E46" s="27"/>
      <c r="F46" s="31"/>
      <c r="G46" s="82" t="str">
        <f>IF(F46=0,"",VLOOKUP(F46,Employés!$A$2:$B$186,2,0))</f>
        <v/>
      </c>
      <c r="H46" s="82"/>
      <c r="I46" s="35"/>
      <c r="J46" s="29"/>
      <c r="K46" s="26"/>
      <c r="L46" s="25"/>
      <c r="M46" s="37" t="str">
        <f>IF(I46=0,"",VLOOKUP(I46,Municipalités!$A$2:$B$1290,2,TRUE))</f>
        <v/>
      </c>
    </row>
    <row r="47" spans="1:13" ht="30" customHeight="1" x14ac:dyDescent="0.25">
      <c r="A47" s="8"/>
      <c r="B47" s="8"/>
      <c r="C47" s="30"/>
      <c r="D47" s="8"/>
      <c r="E47" s="27"/>
      <c r="F47" s="31"/>
      <c r="G47" s="82" t="str">
        <f>IF(F47=0,"",VLOOKUP(F47,Employés!$A$2:$B$186,2,0))</f>
        <v/>
      </c>
      <c r="H47" s="82"/>
      <c r="I47" s="35"/>
      <c r="J47" s="29"/>
      <c r="K47" s="26"/>
      <c r="L47" s="25"/>
      <c r="M47" s="37" t="str">
        <f>IF(I47=0,"",VLOOKUP(I47,Municipalités!$A$2:$B$1290,2,TRUE))</f>
        <v/>
      </c>
    </row>
    <row r="48" spans="1:13" ht="30" customHeight="1" x14ac:dyDescent="0.25">
      <c r="A48" s="8"/>
      <c r="B48" s="8"/>
      <c r="C48" s="30"/>
      <c r="D48" s="8"/>
      <c r="E48" s="27"/>
      <c r="F48" s="31"/>
      <c r="G48" s="82" t="str">
        <f>IF(F48=0,"",VLOOKUP(F48,Employés!$A$2:$B$186,2,0))</f>
        <v/>
      </c>
      <c r="H48" s="82"/>
      <c r="I48" s="35"/>
      <c r="J48" s="29"/>
      <c r="K48" s="26"/>
      <c r="L48" s="25"/>
      <c r="M48" s="37" t="str">
        <f>IF(I48=0,"",VLOOKUP(I48,Municipalités!$A$2:$B$1290,2,TRUE))</f>
        <v/>
      </c>
    </row>
    <row r="49" spans="1:13" ht="30" customHeight="1" x14ac:dyDescent="0.25">
      <c r="A49" s="8"/>
      <c r="B49" s="8"/>
      <c r="C49" s="30"/>
      <c r="D49" s="8"/>
      <c r="E49" s="27"/>
      <c r="F49" s="31"/>
      <c r="G49" s="82" t="str">
        <f>IF(F49=0,"",VLOOKUP(F49,Employés!$A$2:$B$186,2,0))</f>
        <v/>
      </c>
      <c r="H49" s="82"/>
      <c r="I49" s="35"/>
      <c r="J49" s="29"/>
      <c r="K49" s="26"/>
      <c r="L49" s="25"/>
      <c r="M49" s="37" t="str">
        <f>IF(I49=0,"",VLOOKUP(I49,Municipalités!$A$2:$B$1290,2,TRUE))</f>
        <v/>
      </c>
    </row>
    <row r="50" spans="1:13" ht="30" customHeight="1" x14ac:dyDescent="0.25">
      <c r="A50" s="8"/>
      <c r="B50" s="8"/>
      <c r="C50" s="30"/>
      <c r="D50" s="8"/>
      <c r="E50" s="27"/>
      <c r="F50" s="31"/>
      <c r="G50" s="82" t="str">
        <f>IF(F50=0,"",VLOOKUP(F50,Employés!$A$2:$B$186,2,0))</f>
        <v/>
      </c>
      <c r="H50" s="82"/>
      <c r="I50" s="35"/>
      <c r="J50" s="29"/>
      <c r="K50" s="26"/>
      <c r="L50" s="25"/>
      <c r="M50" s="37" t="str">
        <f>IF(I50=0,"",VLOOKUP(I50,Municipalités!$A$2:$B$1290,2,TRUE))</f>
        <v/>
      </c>
    </row>
    <row r="51" spans="1:13" ht="30" customHeight="1" x14ac:dyDescent="0.25">
      <c r="A51" s="8"/>
      <c r="B51" s="8"/>
      <c r="C51" s="30"/>
      <c r="D51" s="8"/>
      <c r="E51" s="27"/>
      <c r="F51" s="31"/>
      <c r="G51" s="82" t="str">
        <f>IF(F51=0,"",VLOOKUP(F51,Employés!$A$2:$B$186,2,0))</f>
        <v/>
      </c>
      <c r="H51" s="82"/>
      <c r="I51" s="35"/>
      <c r="J51" s="29"/>
      <c r="K51" s="26"/>
      <c r="L51" s="25"/>
      <c r="M51" s="37" t="str">
        <f>IF(I51=0,"",VLOOKUP(I51,Municipalités!$A$2:$B$1290,2,TRUE))</f>
        <v/>
      </c>
    </row>
    <row r="52" spans="1:13" ht="30" customHeight="1" x14ac:dyDescent="0.25">
      <c r="A52" s="8"/>
      <c r="B52" s="8"/>
      <c r="C52" s="30"/>
      <c r="D52" s="8"/>
      <c r="E52" s="27"/>
      <c r="F52" s="31"/>
      <c r="G52" s="82" t="str">
        <f>IF(F52=0,"",VLOOKUP(F52,Employés!$A$2:$B$186,2,0))</f>
        <v/>
      </c>
      <c r="H52" s="82"/>
      <c r="I52" s="35"/>
      <c r="J52" s="29"/>
      <c r="K52" s="26"/>
      <c r="L52" s="25"/>
      <c r="M52" s="37" t="str">
        <f>IF(I52=0,"",VLOOKUP(I52,Municipalités!$A$2:$B$1290,2,TRUE))</f>
        <v/>
      </c>
    </row>
    <row r="53" spans="1:13" ht="30" customHeight="1" x14ac:dyDescent="0.25">
      <c r="A53" s="8"/>
      <c r="B53" s="8"/>
      <c r="C53" s="30"/>
      <c r="D53" s="8"/>
      <c r="E53" s="27"/>
      <c r="F53" s="31"/>
      <c r="G53" s="82" t="str">
        <f>IF(F53=0,"",VLOOKUP(F53,Employés!$A$2:$B$186,2,0))</f>
        <v/>
      </c>
      <c r="H53" s="82"/>
      <c r="I53" s="35"/>
      <c r="J53" s="29"/>
      <c r="K53" s="26"/>
      <c r="L53" s="25"/>
      <c r="M53" s="37" t="str">
        <f>IF(I53=0,"",VLOOKUP(I53,Municipalités!$A$2:$B$1290,2,TRUE))</f>
        <v/>
      </c>
    </row>
    <row r="54" spans="1:13" ht="30" customHeight="1" x14ac:dyDescent="0.25">
      <c r="A54" s="8"/>
      <c r="B54" s="8"/>
      <c r="C54" s="30"/>
      <c r="D54" s="8"/>
      <c r="E54" s="27"/>
      <c r="F54" s="31"/>
      <c r="G54" s="82" t="str">
        <f>IF(F54=0,"",VLOOKUP(F54,Employés!$A$2:$B$186,2,0))</f>
        <v/>
      </c>
      <c r="H54" s="82"/>
      <c r="I54" s="35"/>
      <c r="J54" s="29"/>
      <c r="K54" s="26"/>
      <c r="L54" s="25"/>
      <c r="M54" s="37" t="str">
        <f>IF(I54=0,"",VLOOKUP(I54,Municipalités!$A$2:$B$1290,2,TRUE))</f>
        <v/>
      </c>
    </row>
    <row r="55" spans="1:13" ht="30" customHeight="1" x14ac:dyDescent="0.25">
      <c r="A55" s="8"/>
      <c r="B55" s="8"/>
      <c r="C55" s="30"/>
      <c r="D55" s="8"/>
      <c r="E55" s="27"/>
      <c r="F55" s="31"/>
      <c r="G55" s="82" t="str">
        <f>IF(F55=0,"",VLOOKUP(F55,Employés!$A$2:$B$186,2,0))</f>
        <v/>
      </c>
      <c r="H55" s="82"/>
      <c r="I55" s="35"/>
      <c r="J55" s="29"/>
      <c r="K55" s="26"/>
      <c r="L55" s="25"/>
      <c r="M55" s="37" t="str">
        <f>IF(I55=0,"",VLOOKUP(I55,Municipalités!$A$2:$B$1290,2,TRUE))</f>
        <v/>
      </c>
    </row>
    <row r="56" spans="1:13" ht="30" customHeight="1" x14ac:dyDescent="0.25">
      <c r="A56" s="8"/>
      <c r="B56" s="8"/>
      <c r="C56" s="30"/>
      <c r="D56" s="8"/>
      <c r="E56" s="27"/>
      <c r="F56" s="31"/>
      <c r="G56" s="82" t="str">
        <f>IF(F56=0,"",VLOOKUP(F56,Employés!$A$2:$B$186,2,0))</f>
        <v/>
      </c>
      <c r="H56" s="82"/>
      <c r="I56" s="35"/>
      <c r="J56" s="29"/>
      <c r="K56" s="26"/>
      <c r="L56" s="25"/>
      <c r="M56" s="37" t="str">
        <f>IF(I56=0,"",VLOOKUP(I56,Municipalités!$A$2:$B$1290,2,TRUE))</f>
        <v/>
      </c>
    </row>
    <row r="57" spans="1:13" ht="30" customHeight="1" x14ac:dyDescent="0.25">
      <c r="A57" s="8"/>
      <c r="B57" s="8"/>
      <c r="C57" s="30"/>
      <c r="D57" s="8"/>
      <c r="E57" s="27"/>
      <c r="F57" s="31"/>
      <c r="G57" s="82" t="str">
        <f>IF(F57=0,"",VLOOKUP(F57,Employés!$A$2:$B$186,2,0))</f>
        <v/>
      </c>
      <c r="H57" s="82"/>
      <c r="I57" s="35"/>
      <c r="J57" s="29"/>
      <c r="K57" s="26"/>
      <c r="L57" s="25"/>
      <c r="M57" s="37" t="str">
        <f>IF(I57=0,"",VLOOKUP(I57,Municipalités!$A$2:$B$1290,2,TRUE))</f>
        <v/>
      </c>
    </row>
    <row r="58" spans="1:13" ht="30" customHeight="1" x14ac:dyDescent="0.25">
      <c r="A58" s="8"/>
      <c r="B58" s="8"/>
      <c r="C58" s="30"/>
      <c r="D58" s="8"/>
      <c r="E58" s="27"/>
      <c r="F58" s="31"/>
      <c r="G58" s="82" t="str">
        <f>IF(F58=0,"",VLOOKUP(F58,Employés!$A$2:$B$186,2,0))</f>
        <v/>
      </c>
      <c r="H58" s="82"/>
      <c r="I58" s="35"/>
      <c r="J58" s="29"/>
      <c r="K58" s="26"/>
      <c r="L58" s="25"/>
      <c r="M58" s="37" t="str">
        <f>IF(I58=0,"",VLOOKUP(I58,Municipalités!$A$2:$B$1290,2,TRUE))</f>
        <v/>
      </c>
    </row>
    <row r="59" spans="1:13" ht="30" customHeight="1" x14ac:dyDescent="0.25">
      <c r="A59" s="8"/>
      <c r="B59" s="8"/>
      <c r="C59" s="30"/>
      <c r="D59" s="8"/>
      <c r="E59" s="27"/>
      <c r="F59" s="31"/>
      <c r="G59" s="82" t="str">
        <f>IF(F59=0,"",VLOOKUP(F59,Employés!$A$2:$B$186,2,0))</f>
        <v/>
      </c>
      <c r="H59" s="82"/>
      <c r="I59" s="35"/>
      <c r="J59" s="29"/>
      <c r="K59" s="26"/>
      <c r="L59" s="25"/>
      <c r="M59" s="37" t="str">
        <f>IF(I59=0,"",VLOOKUP(I59,Municipalités!$A$2:$B$1290,2,TRUE))</f>
        <v/>
      </c>
    </row>
    <row r="60" spans="1:13" ht="30" customHeight="1" x14ac:dyDescent="0.25">
      <c r="A60" s="8"/>
      <c r="B60" s="8"/>
      <c r="C60" s="30"/>
      <c r="D60" s="8"/>
      <c r="E60" s="27"/>
      <c r="F60" s="31"/>
      <c r="G60" s="82" t="str">
        <f>IF(F60=0,"",VLOOKUP(F60,Employés!$A$2:$B$186,2,0))</f>
        <v/>
      </c>
      <c r="H60" s="82"/>
      <c r="I60" s="35"/>
      <c r="J60" s="29"/>
      <c r="K60" s="26"/>
      <c r="L60" s="25"/>
      <c r="M60" s="37" t="str">
        <f>IF(I60=0,"",VLOOKUP(I60,Municipalités!$A$2:$B$1290,2,TRUE))</f>
        <v/>
      </c>
    </row>
    <row r="61" spans="1:13" ht="30" customHeight="1" x14ac:dyDescent="0.25">
      <c r="A61" s="8"/>
      <c r="B61" s="8"/>
      <c r="C61" s="30"/>
      <c r="D61" s="8"/>
      <c r="E61" s="27"/>
      <c r="F61" s="31"/>
      <c r="G61" s="82" t="str">
        <f>IF(F61=0,"",VLOOKUP(F61,Employés!$A$2:$B$186,2,0))</f>
        <v/>
      </c>
      <c r="H61" s="82"/>
      <c r="I61" s="35"/>
      <c r="J61" s="29"/>
      <c r="K61" s="26"/>
      <c r="L61" s="25"/>
      <c r="M61" s="37" t="str">
        <f>IF(I61=0,"",VLOOKUP(I61,Municipalités!$A$2:$B$1290,2,TRUE))</f>
        <v/>
      </c>
    </row>
    <row r="62" spans="1:13" x14ac:dyDescent="0.25">
      <c r="C62" s="14"/>
    </row>
    <row r="63" spans="1:13" x14ac:dyDescent="0.25">
      <c r="C63" s="14"/>
    </row>
    <row r="64" spans="1:13" x14ac:dyDescent="0.25">
      <c r="C64" s="14"/>
    </row>
    <row r="65" spans="3:5" x14ac:dyDescent="0.25">
      <c r="C65" s="14"/>
    </row>
    <row r="66" spans="3:5" x14ac:dyDescent="0.25">
      <c r="C66" s="14"/>
    </row>
    <row r="67" spans="3:5" x14ac:dyDescent="0.25">
      <c r="C67" s="14"/>
    </row>
    <row r="68" spans="3:5" x14ac:dyDescent="0.25">
      <c r="C68" s="14"/>
    </row>
    <row r="69" spans="3:5" x14ac:dyDescent="0.25">
      <c r="C69" s="14"/>
    </row>
    <row r="70" spans="3:5" x14ac:dyDescent="0.25">
      <c r="C70" s="14"/>
    </row>
    <row r="71" spans="3:5" x14ac:dyDescent="0.25">
      <c r="C71" s="14"/>
    </row>
    <row r="72" spans="3:5" x14ac:dyDescent="0.25">
      <c r="C72" s="14"/>
    </row>
    <row r="73" spans="3:5" x14ac:dyDescent="0.25">
      <c r="C73" s="14"/>
    </row>
    <row r="74" spans="3:5" x14ac:dyDescent="0.25">
      <c r="C74" s="14"/>
    </row>
    <row r="75" spans="3:5" x14ac:dyDescent="0.25">
      <c r="C75" s="14"/>
    </row>
    <row r="76" spans="3:5" x14ac:dyDescent="0.25">
      <c r="C76" s="14"/>
    </row>
    <row r="77" spans="3:5" x14ac:dyDescent="0.25">
      <c r="C77" s="14"/>
    </row>
    <row r="78" spans="3:5" x14ac:dyDescent="0.25">
      <c r="C78" s="14"/>
      <c r="E78" s="21" t="s">
        <v>1420</v>
      </c>
    </row>
    <row r="79" spans="3:5" x14ac:dyDescent="0.25">
      <c r="C79" s="14"/>
    </row>
    <row r="80" spans="3:5" x14ac:dyDescent="0.25">
      <c r="C80" s="14"/>
    </row>
    <row r="81" spans="3:3" x14ac:dyDescent="0.25">
      <c r="C81" s="14"/>
    </row>
    <row r="82" spans="3:3" x14ac:dyDescent="0.25">
      <c r="C82" s="14"/>
    </row>
    <row r="83" spans="3:3" x14ac:dyDescent="0.25">
      <c r="C83" s="14"/>
    </row>
    <row r="84" spans="3:3" x14ac:dyDescent="0.25">
      <c r="C84" s="14"/>
    </row>
    <row r="85" spans="3:3" x14ac:dyDescent="0.25">
      <c r="C85" s="14"/>
    </row>
    <row r="86" spans="3:3" x14ac:dyDescent="0.25">
      <c r="C86" s="14"/>
    </row>
    <row r="87" spans="3:3" x14ac:dyDescent="0.25">
      <c r="C87" s="14"/>
    </row>
    <row r="88" spans="3:3" x14ac:dyDescent="0.25">
      <c r="C88" s="14"/>
    </row>
    <row r="89" spans="3:3" x14ac:dyDescent="0.25">
      <c r="C89" s="14"/>
    </row>
    <row r="90" spans="3:3" x14ac:dyDescent="0.25">
      <c r="C90" s="14"/>
    </row>
    <row r="91" spans="3:3" x14ac:dyDescent="0.25">
      <c r="C91" s="14"/>
    </row>
    <row r="92" spans="3:3" x14ac:dyDescent="0.25">
      <c r="C92" s="14"/>
    </row>
    <row r="93" spans="3:3" x14ac:dyDescent="0.25">
      <c r="C93" s="14"/>
    </row>
    <row r="94" spans="3:3" x14ac:dyDescent="0.25">
      <c r="C94" s="14"/>
    </row>
    <row r="95" spans="3:3" x14ac:dyDescent="0.25">
      <c r="C95" s="14"/>
    </row>
    <row r="96" spans="3:3" x14ac:dyDescent="0.25">
      <c r="C96" s="14"/>
    </row>
    <row r="97" spans="3:3" x14ac:dyDescent="0.25">
      <c r="C97" s="14"/>
    </row>
    <row r="98" spans="3:3" x14ac:dyDescent="0.25">
      <c r="C98" s="14"/>
    </row>
  </sheetData>
  <mergeCells count="67">
    <mergeCell ref="G59:H59"/>
    <mergeCell ref="G60:H60"/>
    <mergeCell ref="G61:H61"/>
    <mergeCell ref="G53:H53"/>
    <mergeCell ref="G54:H54"/>
    <mergeCell ref="G55:H55"/>
    <mergeCell ref="G56:H56"/>
    <mergeCell ref="G57:H57"/>
    <mergeCell ref="G58:H58"/>
    <mergeCell ref="G52:H52"/>
    <mergeCell ref="G41:H41"/>
    <mergeCell ref="G42:H42"/>
    <mergeCell ref="G43:H43"/>
    <mergeCell ref="G44:H44"/>
    <mergeCell ref="G45:H45"/>
    <mergeCell ref="G46:H46"/>
    <mergeCell ref="G47:H47"/>
    <mergeCell ref="G48:H48"/>
    <mergeCell ref="G49:H49"/>
    <mergeCell ref="G50:H50"/>
    <mergeCell ref="G51:H51"/>
    <mergeCell ref="G40:H40"/>
    <mergeCell ref="G29:H29"/>
    <mergeCell ref="G30:H30"/>
    <mergeCell ref="G31:H31"/>
    <mergeCell ref="G32:H32"/>
    <mergeCell ref="G33:H33"/>
    <mergeCell ref="G34:H34"/>
    <mergeCell ref="G35:H35"/>
    <mergeCell ref="G36:H36"/>
    <mergeCell ref="G37:H37"/>
    <mergeCell ref="G38:H38"/>
    <mergeCell ref="G39:H39"/>
    <mergeCell ref="G28:H28"/>
    <mergeCell ref="G17:H17"/>
    <mergeCell ref="G18:H18"/>
    <mergeCell ref="G19:H19"/>
    <mergeCell ref="G20:H20"/>
    <mergeCell ref="G21:H21"/>
    <mergeCell ref="G22:H22"/>
    <mergeCell ref="G23:H23"/>
    <mergeCell ref="G24:H24"/>
    <mergeCell ref="G25:H25"/>
    <mergeCell ref="G26:H26"/>
    <mergeCell ref="G27:H27"/>
    <mergeCell ref="M2:M4"/>
    <mergeCell ref="G16:H16"/>
    <mergeCell ref="I6:I7"/>
    <mergeCell ref="J6:J7"/>
    <mergeCell ref="K6:M6"/>
    <mergeCell ref="G8:H8"/>
    <mergeCell ref="G9:H9"/>
    <mergeCell ref="G10:H10"/>
    <mergeCell ref="G11:H11"/>
    <mergeCell ref="G12:H12"/>
    <mergeCell ref="G13:H13"/>
    <mergeCell ref="G14:H14"/>
    <mergeCell ref="G15:H15"/>
    <mergeCell ref="E1:F4"/>
    <mergeCell ref="L1:L2"/>
    <mergeCell ref="A6:A7"/>
    <mergeCell ref="B6:B7"/>
    <mergeCell ref="C6:C7"/>
    <mergeCell ref="D6:D7"/>
    <mergeCell ref="E6:E7"/>
    <mergeCell ref="F6:F7"/>
    <mergeCell ref="G6:H7"/>
  </mergeCells>
  <conditionalFormatting sqref="C16:C21 C23:C45">
    <cfRule type="expression" dxfId="23" priority="7" stopIfTrue="1">
      <formula>#REF!=1</formula>
    </cfRule>
    <cfRule type="expression" priority="8" stopIfTrue="1">
      <formula>#REF!=2</formula>
    </cfRule>
    <cfRule type="expression" dxfId="22" priority="9" stopIfTrue="1">
      <formula>#REF!=3</formula>
    </cfRule>
  </conditionalFormatting>
  <conditionalFormatting sqref="C22">
    <cfRule type="expression" dxfId="21" priority="4" stopIfTrue="1">
      <formula>#REF!=1</formula>
    </cfRule>
    <cfRule type="expression" priority="5" stopIfTrue="1">
      <formula>#REF!=2</formula>
    </cfRule>
    <cfRule type="expression" dxfId="20" priority="6" stopIfTrue="1">
      <formula>#REF!=3</formula>
    </cfRule>
  </conditionalFormatting>
  <conditionalFormatting sqref="C46:C61">
    <cfRule type="expression" dxfId="19" priority="1" stopIfTrue="1">
      <formula>#REF!=1</formula>
    </cfRule>
    <cfRule type="expression" priority="2" stopIfTrue="1">
      <formula>#REF!=2</formula>
    </cfRule>
    <cfRule type="expression" dxfId="18" priority="3" stopIfTrue="1">
      <formula>#REF!=3</formula>
    </cfRule>
  </conditionalFormatting>
  <dataValidations count="2">
    <dataValidation type="textLength" operator="greaterThanOrEqual" allowBlank="1" showInputMessage="1" showErrorMessage="1" errorTitle="Saisie incorrecte" error="Re-saisir le numéro d'entrée en utilisant 3 chiffres_x000a_Ex.: 001" promptTitle="Saisie du numéro d'entrée" prompt="Minimum 3 chiffres_x000a_Ex.: 001" sqref="C8:C39" xr:uid="{00000000-0002-0000-1B00-000000000000}">
      <formula1>3</formula1>
    </dataValidation>
    <dataValidation operator="greaterThan" allowBlank="1" showDropDown="1" showInputMessage="1" showErrorMessage="1" errorTitle="Saisie incorrecte" error="Re-Saisir le numéro de dossier sous le format_x000a_000-000000-000" promptTitle="Saisie du numéro d'événement" prompt="000-000000-000_x000a_Ex. : 071-030901-001" sqref="J8:J39" xr:uid="{00000000-0002-0000-1B00-000001000000}"/>
  </dataValidations>
  <printOptions horizontalCentered="1" verticalCentered="1"/>
  <pageMargins left="0" right="0" top="0.31496062992125984" bottom="0.39370078740157483" header="0.15748031496062992" footer="0.19685039370078741"/>
  <pageSetup paperSize="5" scale="90" orientation="landscape" r:id="rId1"/>
  <headerFooter alignWithMargins="0">
    <oddFooter>&amp;R&amp;8Page &amp;P de &amp;N</oddFooter>
  </headerFooter>
  <drawing r:id="rId2"/>
  <legacyDrawing r:id="rId3"/>
  <controls>
    <mc:AlternateContent xmlns:mc="http://schemas.openxmlformats.org/markup-compatibility/2006">
      <mc:Choice Requires="x14">
        <control shapeId="169987" r:id="rId4" name="ComboBox2">
          <controlPr defaultSize="0" autoLine="0" r:id="rId5">
            <anchor moveWithCells="1">
              <from>
                <xdr:col>4</xdr:col>
                <xdr:colOff>0</xdr:colOff>
                <xdr:row>10</xdr:row>
                <xdr:rowOff>0</xdr:rowOff>
              </from>
              <to>
                <xdr:col>4</xdr:col>
                <xdr:colOff>2965450</xdr:colOff>
                <xdr:row>11</xdr:row>
                <xdr:rowOff>38100</xdr:rowOff>
              </to>
            </anchor>
          </controlPr>
        </control>
      </mc:Choice>
      <mc:Fallback>
        <control shapeId="169987" r:id="rId4" name="ComboBox2"/>
      </mc:Fallback>
    </mc:AlternateContent>
    <mc:AlternateContent xmlns:mc="http://schemas.openxmlformats.org/markup-compatibility/2006">
      <mc:Choice Requires="x14">
        <control shapeId="169986" r:id="rId6" name="ComboBox1">
          <controlPr defaultSize="0" autoLine="0" r:id="rId7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11</xdr:col>
                <xdr:colOff>1803400</xdr:colOff>
                <xdr:row>9</xdr:row>
                <xdr:rowOff>38100</xdr:rowOff>
              </to>
            </anchor>
          </controlPr>
        </control>
      </mc:Choice>
      <mc:Fallback>
        <control shapeId="169986" r:id="rId6" name="ComboBox1"/>
      </mc:Fallback>
    </mc:AlternateContent>
    <mc:AlternateContent xmlns:mc="http://schemas.openxmlformats.org/markup-compatibility/2006">
      <mc:Choice Requires="x14">
        <control shapeId="169985" r:id="rId8" name="Button 1">
          <controlPr defaultSize="0" print="0" autoFill="0" autoPict="0" macro="[0]!test2">
            <anchor moveWithCells="1">
              <from>
                <xdr:col>5</xdr:col>
                <xdr:colOff>222250</xdr:colOff>
                <xdr:row>1</xdr:row>
                <xdr:rowOff>139700</xdr:rowOff>
              </from>
              <to>
                <xdr:col>9</xdr:col>
                <xdr:colOff>1143000</xdr:colOff>
                <xdr:row>4</xdr:row>
                <xdr:rowOff>107950</xdr:rowOff>
              </to>
            </anchor>
          </controlPr>
        </control>
      </mc:Choice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Feuil86"/>
  <dimension ref="A1:M98"/>
  <sheetViews>
    <sheetView showGridLines="0" zoomScaleNormal="100" workbookViewId="0">
      <pane xSplit="3" ySplit="7" topLeftCell="F8" activePane="bottomRight" state="frozen"/>
      <selection activeCell="C8" sqref="C8"/>
      <selection pane="topRight" activeCell="C8" sqref="C8"/>
      <selection pane="bottomLeft" activeCell="C8" sqref="C8"/>
      <selection pane="bottomRight" activeCell="M2" sqref="M2:M5"/>
    </sheetView>
  </sheetViews>
  <sheetFormatPr baseColWidth="10" defaultColWidth="11.453125" defaultRowHeight="13" x14ac:dyDescent="0.25"/>
  <cols>
    <col min="1" max="2" width="5.6328125" style="1" customWidth="1"/>
    <col min="3" max="3" width="6.6328125" style="1" customWidth="1"/>
    <col min="4" max="4" width="7.54296875" style="1" customWidth="1"/>
    <col min="5" max="5" width="44.453125" style="21" customWidth="1"/>
    <col min="6" max="6" width="10.54296875" style="1" customWidth="1"/>
    <col min="7" max="7" width="13.90625" style="1" customWidth="1"/>
    <col min="8" max="8" width="4.6328125" style="1" hidden="1" customWidth="1"/>
    <col min="9" max="9" width="6.08984375" style="1" customWidth="1"/>
    <col min="10" max="10" width="26.54296875" style="1" customWidth="1"/>
    <col min="11" max="11" width="7.36328125" style="1" customWidth="1"/>
    <col min="12" max="12" width="27" style="24" customWidth="1"/>
    <col min="13" max="13" width="26" style="1" customWidth="1"/>
    <col min="14" max="16384" width="11.453125" style="1"/>
  </cols>
  <sheetData>
    <row r="1" spans="1:13" ht="12.75" customHeight="1" x14ac:dyDescent="0.25">
      <c r="E1" s="71" t="s">
        <v>1023</v>
      </c>
      <c r="F1" s="72"/>
      <c r="L1" s="73" t="s">
        <v>1021</v>
      </c>
      <c r="M1" s="51" t="s">
        <v>1022</v>
      </c>
    </row>
    <row r="2" spans="1:13" ht="12.75" customHeight="1" x14ac:dyDescent="0.25">
      <c r="E2" s="72"/>
      <c r="F2" s="72"/>
      <c r="L2" s="74"/>
      <c r="M2" s="70">
        <f>'28'!M2:M5+1</f>
        <v>42733</v>
      </c>
    </row>
    <row r="3" spans="1:13" ht="12.75" customHeight="1" x14ac:dyDescent="0.25">
      <c r="E3" s="72"/>
      <c r="F3" s="72"/>
      <c r="L3" s="52"/>
      <c r="M3" s="70"/>
    </row>
    <row r="4" spans="1:13" ht="15.75" customHeight="1" x14ac:dyDescent="0.25">
      <c r="E4" s="72"/>
      <c r="F4" s="72"/>
      <c r="L4" s="49" t="s">
        <v>140</v>
      </c>
      <c r="M4" s="70"/>
    </row>
    <row r="5" spans="1:13" ht="21.9" customHeight="1" thickBot="1" x14ac:dyDescent="0.3">
      <c r="L5" s="36"/>
      <c r="M5" s="69">
        <f>M2</f>
        <v>42733</v>
      </c>
    </row>
    <row r="6" spans="1:13" ht="24.9" customHeight="1" x14ac:dyDescent="0.25">
      <c r="A6" s="75" t="s">
        <v>2351</v>
      </c>
      <c r="B6" s="75" t="s">
        <v>2350</v>
      </c>
      <c r="C6" s="76" t="s">
        <v>1362</v>
      </c>
      <c r="D6" s="75" t="s">
        <v>1153</v>
      </c>
      <c r="E6" s="75" t="s">
        <v>1016</v>
      </c>
      <c r="F6" s="76" t="s">
        <v>2352</v>
      </c>
      <c r="G6" s="76" t="s">
        <v>1017</v>
      </c>
      <c r="H6" s="79"/>
      <c r="I6" s="76" t="s">
        <v>1364</v>
      </c>
      <c r="J6" s="76" t="s">
        <v>1363</v>
      </c>
      <c r="K6" s="83" t="s">
        <v>1018</v>
      </c>
      <c r="L6" s="84"/>
      <c r="M6" s="84"/>
    </row>
    <row r="7" spans="1:13" ht="12.5" x14ac:dyDescent="0.25">
      <c r="A7" s="75"/>
      <c r="B7" s="75"/>
      <c r="C7" s="77"/>
      <c r="D7" s="75"/>
      <c r="E7" s="75"/>
      <c r="F7" s="78"/>
      <c r="G7" s="80"/>
      <c r="H7" s="81"/>
      <c r="I7" s="77"/>
      <c r="J7" s="77"/>
      <c r="K7" s="50" t="s">
        <v>1015</v>
      </c>
      <c r="L7" s="50" t="s">
        <v>1019</v>
      </c>
      <c r="M7" s="32" t="s">
        <v>1020</v>
      </c>
    </row>
    <row r="8" spans="1:13" ht="30" customHeight="1" x14ac:dyDescent="0.25">
      <c r="A8" s="45"/>
      <c r="B8" s="45"/>
      <c r="C8" s="30"/>
      <c r="D8" s="46"/>
      <c r="E8" s="27"/>
      <c r="F8" s="31"/>
      <c r="G8" s="82" t="str">
        <f>IF(F8=0,"",VLOOKUP(F8,Employés!$A$2:$B$186,2,0))</f>
        <v/>
      </c>
      <c r="H8" s="82"/>
      <c r="I8" s="34"/>
      <c r="J8" s="33"/>
      <c r="K8" s="19"/>
      <c r="L8" s="20" t="s">
        <v>1420</v>
      </c>
      <c r="M8" s="37" t="str">
        <f>IF(I8=0,"",VLOOKUP(I8,Municipalités!$A$2:$B$1290,2,TRUE))</f>
        <v/>
      </c>
    </row>
    <row r="9" spans="1:13" ht="30" customHeight="1" x14ac:dyDescent="0.25">
      <c r="A9" s="45"/>
      <c r="B9" s="45"/>
      <c r="C9" s="39"/>
      <c r="D9" s="47"/>
      <c r="E9" s="27"/>
      <c r="F9" s="31"/>
      <c r="G9" s="82" t="str">
        <f>IF(F9=0,"",VLOOKUP(F9,Employés!$A$2:$B$186,2,0))</f>
        <v/>
      </c>
      <c r="H9" s="82"/>
      <c r="I9" s="35"/>
      <c r="J9" s="33"/>
      <c r="K9" s="19"/>
      <c r="L9" s="20"/>
      <c r="M9" s="37" t="str">
        <f>IF(I9=0,"",VLOOKUP(I9,Municipalités!$A$2:$B$1290,2,TRUE))</f>
        <v/>
      </c>
    </row>
    <row r="10" spans="1:13" ht="30" customHeight="1" x14ac:dyDescent="0.25">
      <c r="A10" s="45"/>
      <c r="B10" s="45"/>
      <c r="C10" s="39"/>
      <c r="D10" s="48"/>
      <c r="E10" s="28"/>
      <c r="F10" s="31"/>
      <c r="G10" s="82" t="str">
        <f>IF(F10=0,"",VLOOKUP(F10,Employés!$A$2:$B$186,2,0))</f>
        <v/>
      </c>
      <c r="H10" s="82"/>
      <c r="I10" s="35"/>
      <c r="J10" s="29"/>
      <c r="K10" s="19"/>
      <c r="L10" s="20"/>
      <c r="M10" s="37" t="str">
        <f>IF(I10=0,"",VLOOKUP(I10,Municipalités!$A$2:$B$1290,2,TRUE))</f>
        <v/>
      </c>
    </row>
    <row r="11" spans="1:13" ht="30" customHeight="1" x14ac:dyDescent="0.25">
      <c r="A11" s="45"/>
      <c r="B11" s="45"/>
      <c r="C11" s="39"/>
      <c r="D11" s="47"/>
      <c r="E11" s="28" t="s">
        <v>1420</v>
      </c>
      <c r="F11" s="31"/>
      <c r="G11" s="82" t="str">
        <f>IF(F11=0,"",VLOOKUP(F11,Employés!$A$2:$B$186,2,0))</f>
        <v/>
      </c>
      <c r="H11" s="82"/>
      <c r="I11" s="35"/>
      <c r="J11" s="29"/>
      <c r="K11" s="19"/>
      <c r="L11" s="20"/>
      <c r="M11" s="37" t="str">
        <f>IF(I11=0,"",VLOOKUP(I11,Municipalités!$A$2:$B$1290,2,TRUE))</f>
        <v/>
      </c>
    </row>
    <row r="12" spans="1:13" ht="30" customHeight="1" x14ac:dyDescent="0.25">
      <c r="A12" s="45"/>
      <c r="B12" s="45"/>
      <c r="C12" s="39"/>
      <c r="D12" s="46"/>
      <c r="E12" s="27"/>
      <c r="F12" s="31"/>
      <c r="G12" s="82" t="str">
        <f>IF(F12=0,"",VLOOKUP(F12,Employés!$A$2:$B$186,2,0))</f>
        <v/>
      </c>
      <c r="H12" s="82"/>
      <c r="I12" s="35"/>
      <c r="J12" s="29"/>
      <c r="K12" s="19"/>
      <c r="L12" s="20"/>
      <c r="M12" s="37" t="str">
        <f>IF(I12=0,"",VLOOKUP(I12,Municipalités!$A$2:$B$1290,2,TRUE))</f>
        <v/>
      </c>
    </row>
    <row r="13" spans="1:13" ht="30" customHeight="1" x14ac:dyDescent="0.25">
      <c r="A13" s="45"/>
      <c r="B13" s="45"/>
      <c r="C13" s="39"/>
      <c r="D13" s="46"/>
      <c r="E13" s="27"/>
      <c r="F13" s="31"/>
      <c r="G13" s="82" t="str">
        <f>IF(F13=0,"",VLOOKUP(F13,Employés!$A$2:$B$186,2,0))</f>
        <v/>
      </c>
      <c r="H13" s="82"/>
      <c r="I13" s="35"/>
      <c r="J13" s="29"/>
      <c r="K13" s="19"/>
      <c r="L13" s="20"/>
      <c r="M13" s="37" t="str">
        <f>IF(I13=0,"",VLOOKUP(I13,Municipalités!$A$2:$B$1290,2,TRUE))</f>
        <v/>
      </c>
    </row>
    <row r="14" spans="1:13" ht="30" customHeight="1" x14ac:dyDescent="0.25">
      <c r="A14" s="45"/>
      <c r="B14" s="45"/>
      <c r="C14" s="39"/>
      <c r="D14" s="47"/>
      <c r="E14" s="27"/>
      <c r="F14" s="31"/>
      <c r="G14" s="82" t="str">
        <f>IF(F14=0,"",VLOOKUP(F14,Employés!$A$2:$B$186,2,0))</f>
        <v/>
      </c>
      <c r="H14" s="82"/>
      <c r="I14" s="35"/>
      <c r="J14" s="29"/>
      <c r="K14" s="19"/>
      <c r="L14" s="20"/>
      <c r="M14" s="37" t="str">
        <f>IF(I14=0,"",VLOOKUP(I14,Municipalités!$A$2:$B$1290,2,TRUE))</f>
        <v/>
      </c>
    </row>
    <row r="15" spans="1:13" ht="30" customHeight="1" x14ac:dyDescent="0.25">
      <c r="A15" s="45"/>
      <c r="B15" s="45"/>
      <c r="C15" s="39"/>
      <c r="D15" s="47"/>
      <c r="E15" s="27"/>
      <c r="F15" s="31"/>
      <c r="G15" s="82" t="str">
        <f>IF(F15=0,"",VLOOKUP(F15,Employés!$A$2:$B$186,2,0))</f>
        <v/>
      </c>
      <c r="H15" s="82"/>
      <c r="I15" s="35"/>
      <c r="J15" s="29"/>
      <c r="K15" s="19"/>
      <c r="L15" s="20"/>
      <c r="M15" s="37" t="str">
        <f>IF(I15=0,"",VLOOKUP(I15,Municipalités!$A$2:$B$1290,2,TRUE))</f>
        <v/>
      </c>
    </row>
    <row r="16" spans="1:13" ht="30" customHeight="1" x14ac:dyDescent="0.25">
      <c r="A16" s="45"/>
      <c r="B16" s="45"/>
      <c r="C16" s="39"/>
      <c r="D16" s="46"/>
      <c r="E16" s="27"/>
      <c r="F16" s="31"/>
      <c r="G16" s="82" t="str">
        <f>IF(F16=0,"",VLOOKUP(F16,Employés!$A$2:$B$186,2,0))</f>
        <v/>
      </c>
      <c r="H16" s="82"/>
      <c r="I16" s="35"/>
      <c r="J16" s="29"/>
      <c r="K16" s="19"/>
      <c r="L16" s="20"/>
      <c r="M16" s="37" t="str">
        <f>IF(I16=0,"",VLOOKUP(I16,Municipalités!$A$2:$B$1290,2,TRUE))</f>
        <v/>
      </c>
    </row>
    <row r="17" spans="1:13" ht="30" customHeight="1" x14ac:dyDescent="0.25">
      <c r="A17" s="45"/>
      <c r="B17" s="45"/>
      <c r="C17" s="39"/>
      <c r="D17" s="46"/>
      <c r="E17" s="27"/>
      <c r="F17" s="31"/>
      <c r="G17" s="82" t="str">
        <f>IF(F17=0,"",VLOOKUP(F17,Employés!$A$2:$B$186,2,0))</f>
        <v/>
      </c>
      <c r="H17" s="82"/>
      <c r="I17" s="35"/>
      <c r="J17" s="29"/>
      <c r="K17" s="19"/>
      <c r="L17" s="20"/>
      <c r="M17" s="37" t="str">
        <f>IF(I17=0,"",VLOOKUP(I17,Municipalités!$A$2:$B$1290,2,TRUE))</f>
        <v/>
      </c>
    </row>
    <row r="18" spans="1:13" ht="30" customHeight="1" x14ac:dyDescent="0.25">
      <c r="A18" s="45"/>
      <c r="B18" s="45"/>
      <c r="C18" s="39"/>
      <c r="D18" s="46"/>
      <c r="E18" s="27"/>
      <c r="F18" s="31"/>
      <c r="G18" s="82" t="str">
        <f>IF(F18=0,"",VLOOKUP(F18,Employés!$A$2:$B$186,2,0))</f>
        <v/>
      </c>
      <c r="H18" s="82"/>
      <c r="I18" s="35"/>
      <c r="J18" s="29"/>
      <c r="K18" s="19"/>
      <c r="L18" s="20"/>
      <c r="M18" s="37" t="str">
        <f>IF(I18=0,"",VLOOKUP(I18,Municipalités!$A$2:$B$1290,2,TRUE))</f>
        <v/>
      </c>
    </row>
    <row r="19" spans="1:13" ht="30" customHeight="1" x14ac:dyDescent="0.25">
      <c r="A19" s="45"/>
      <c r="B19" s="45"/>
      <c r="C19" s="39"/>
      <c r="D19" s="46"/>
      <c r="E19" s="27"/>
      <c r="F19" s="31"/>
      <c r="G19" s="82" t="str">
        <f>IF(F19=0,"",VLOOKUP(F19,Employés!$A$2:$B$186,2,0))</f>
        <v/>
      </c>
      <c r="H19" s="82"/>
      <c r="I19" s="35"/>
      <c r="J19" s="29"/>
      <c r="K19" s="19"/>
      <c r="L19" s="20"/>
      <c r="M19" s="37" t="str">
        <f>IF(I19=0,"",VLOOKUP(I19,Municipalités!$A$2:$B$1290,2,TRUE))</f>
        <v/>
      </c>
    </row>
    <row r="20" spans="1:13" ht="30" customHeight="1" x14ac:dyDescent="0.25">
      <c r="A20" s="45"/>
      <c r="B20" s="45"/>
      <c r="C20" s="39"/>
      <c r="D20" s="47"/>
      <c r="E20" s="27"/>
      <c r="F20" s="31"/>
      <c r="G20" s="82" t="str">
        <f>IF(F20=0,"",VLOOKUP(F20,Employés!$A$2:$B$186,2,0))</f>
        <v/>
      </c>
      <c r="H20" s="82"/>
      <c r="I20" s="35"/>
      <c r="J20" s="29"/>
      <c r="K20" s="19"/>
      <c r="L20" s="20"/>
      <c r="M20" s="37" t="str">
        <f>IF(I20=0,"",VLOOKUP(I20,Municipalités!$A$2:$B$1290,2,TRUE))</f>
        <v/>
      </c>
    </row>
    <row r="21" spans="1:13" ht="30" customHeight="1" x14ac:dyDescent="0.25">
      <c r="A21" s="45"/>
      <c r="B21" s="45"/>
      <c r="C21" s="39"/>
      <c r="D21" s="47"/>
      <c r="E21" s="27"/>
      <c r="F21" s="31"/>
      <c r="G21" s="82" t="str">
        <f>IF(F21=0,"",VLOOKUP(F21,Employés!$A$2:$B$186,2,0))</f>
        <v/>
      </c>
      <c r="H21" s="82"/>
      <c r="I21" s="35"/>
      <c r="J21" s="29"/>
      <c r="K21" s="19"/>
      <c r="L21" s="20"/>
      <c r="M21" s="37" t="str">
        <f>IF(I21=0,"",VLOOKUP(I21,Municipalités!$A$2:$B$1290,2,TRUE))</f>
        <v/>
      </c>
    </row>
    <row r="22" spans="1:13" ht="30" customHeight="1" x14ac:dyDescent="0.25">
      <c r="A22" s="45"/>
      <c r="B22" s="45"/>
      <c r="C22" s="39"/>
      <c r="D22" s="46"/>
      <c r="E22" s="27"/>
      <c r="F22" s="31"/>
      <c r="G22" s="82" t="str">
        <f>IF(F22=0,"",VLOOKUP(F22,Employés!$A$2:$B$186,2,0))</f>
        <v/>
      </c>
      <c r="H22" s="82"/>
      <c r="I22" s="35"/>
      <c r="J22" s="29"/>
      <c r="K22" s="19"/>
      <c r="L22" s="20"/>
      <c r="M22" s="37" t="str">
        <f>IF(I22=0,"",VLOOKUP(I22,Municipalités!$A$2:$B$1290,2,TRUE))</f>
        <v/>
      </c>
    </row>
    <row r="23" spans="1:13" ht="30" customHeight="1" x14ac:dyDescent="0.25">
      <c r="A23" s="45"/>
      <c r="B23" s="45"/>
      <c r="C23" s="39"/>
      <c r="D23" s="46"/>
      <c r="E23" s="27"/>
      <c r="F23" s="31"/>
      <c r="G23" s="82" t="str">
        <f>IF(F23=0,"",VLOOKUP(F23,Employés!$A$2:$B$186,2,0))</f>
        <v/>
      </c>
      <c r="H23" s="82"/>
      <c r="I23" s="35"/>
      <c r="J23" s="29"/>
      <c r="K23" s="19"/>
      <c r="L23" s="20"/>
      <c r="M23" s="37" t="str">
        <f>IF(I23=0,"",VLOOKUP(I23,Municipalités!$A$2:$B$1290,2,TRUE))</f>
        <v/>
      </c>
    </row>
    <row r="24" spans="1:13" ht="30" customHeight="1" x14ac:dyDescent="0.25">
      <c r="A24" s="45"/>
      <c r="B24" s="45"/>
      <c r="C24" s="39"/>
      <c r="D24" s="46"/>
      <c r="E24" s="27"/>
      <c r="F24" s="31"/>
      <c r="G24" s="82" t="str">
        <f>IF(F24=0,"",VLOOKUP(F24,Employés!$A$2:$B$186,2,0))</f>
        <v/>
      </c>
      <c r="H24" s="82"/>
      <c r="I24" s="35"/>
      <c r="J24" s="29"/>
      <c r="K24" s="19"/>
      <c r="L24" s="20"/>
      <c r="M24" s="37" t="str">
        <f>IF(I24=0,"",VLOOKUP(I24,Municipalités!$A$2:$B$1290,2,TRUE))</f>
        <v/>
      </c>
    </row>
    <row r="25" spans="1:13" ht="30" customHeight="1" x14ac:dyDescent="0.25">
      <c r="A25" s="45"/>
      <c r="B25" s="45"/>
      <c r="C25" s="39"/>
      <c r="D25" s="46"/>
      <c r="E25" s="27"/>
      <c r="F25" s="31"/>
      <c r="G25" s="82" t="str">
        <f>IF(F25=0,"",VLOOKUP(F25,Employés!$A$2:$B$186,2,0))</f>
        <v/>
      </c>
      <c r="H25" s="82"/>
      <c r="I25" s="35"/>
      <c r="J25" s="29"/>
      <c r="K25" s="19"/>
      <c r="L25" s="20"/>
      <c r="M25" s="37" t="str">
        <f>IF(I25=0,"",VLOOKUP(I25,Municipalités!$A$2:$B$1290,2,TRUE))</f>
        <v/>
      </c>
    </row>
    <row r="26" spans="1:13" ht="30" customHeight="1" x14ac:dyDescent="0.25">
      <c r="A26" s="45"/>
      <c r="B26" s="45"/>
      <c r="C26" s="39"/>
      <c r="D26" s="46"/>
      <c r="E26" s="27"/>
      <c r="F26" s="31"/>
      <c r="G26" s="82" t="str">
        <f>IF(F26=0,"",VLOOKUP(F26,Employés!$A$2:$B$186,2,0))</f>
        <v/>
      </c>
      <c r="H26" s="82"/>
      <c r="I26" s="35"/>
      <c r="J26" s="29"/>
      <c r="K26" s="19"/>
      <c r="L26" s="20"/>
      <c r="M26" s="37" t="str">
        <f>IF(I26=0,"",VLOOKUP(I26,Municipalités!$A$2:$B$1290,2,TRUE))</f>
        <v/>
      </c>
    </row>
    <row r="27" spans="1:13" ht="30" customHeight="1" x14ac:dyDescent="0.25">
      <c r="A27" s="45"/>
      <c r="B27" s="45"/>
      <c r="C27" s="39"/>
      <c r="D27" s="46"/>
      <c r="E27" s="27"/>
      <c r="F27" s="31"/>
      <c r="G27" s="82" t="str">
        <f>IF(F27=0,"",VLOOKUP(F27,Employés!$A$2:$B$186,2,0))</f>
        <v/>
      </c>
      <c r="H27" s="82"/>
      <c r="I27" s="35"/>
      <c r="J27" s="29"/>
      <c r="K27" s="19"/>
      <c r="L27" s="20"/>
      <c r="M27" s="37" t="str">
        <f>IF(I27=0,"",VLOOKUP(I27,Municipalités!$A$2:$B$1290,2,TRUE))</f>
        <v/>
      </c>
    </row>
    <row r="28" spans="1:13" ht="30" customHeight="1" x14ac:dyDescent="0.25">
      <c r="A28" s="45"/>
      <c r="B28" s="45"/>
      <c r="C28" s="39"/>
      <c r="D28" s="46"/>
      <c r="E28" s="27"/>
      <c r="F28" s="31"/>
      <c r="G28" s="82" t="str">
        <f>IF(F28=0,"",VLOOKUP(F28,Employés!$A$2:$B$186,2,0))</f>
        <v/>
      </c>
      <c r="H28" s="82"/>
      <c r="I28" s="35"/>
      <c r="J28" s="29"/>
      <c r="K28" s="19"/>
      <c r="L28" s="20"/>
      <c r="M28" s="37" t="str">
        <f>IF(I28=0,"",VLOOKUP(I28,Municipalités!$A$2:$B$1290,2,TRUE))</f>
        <v/>
      </c>
    </row>
    <row r="29" spans="1:13" ht="30" customHeight="1" x14ac:dyDescent="0.25">
      <c r="A29" s="45"/>
      <c r="B29" s="45"/>
      <c r="C29" s="39"/>
      <c r="D29" s="46"/>
      <c r="E29" s="27"/>
      <c r="F29" s="31"/>
      <c r="G29" s="82" t="str">
        <f>IF(F29=0,"",VLOOKUP(F29,Employés!$A$2:$B$186,2,0))</f>
        <v/>
      </c>
      <c r="H29" s="82"/>
      <c r="I29" s="35"/>
      <c r="J29" s="29"/>
      <c r="K29" s="19"/>
      <c r="L29" s="20"/>
      <c r="M29" s="37" t="str">
        <f>IF(I29=0,"",VLOOKUP(I29,Municipalités!$A$2:$B$1290,2,TRUE))</f>
        <v/>
      </c>
    </row>
    <row r="30" spans="1:13" ht="30" customHeight="1" x14ac:dyDescent="0.25">
      <c r="A30" s="45"/>
      <c r="B30" s="45"/>
      <c r="C30" s="39"/>
      <c r="D30" s="46"/>
      <c r="E30" s="27"/>
      <c r="F30" s="31"/>
      <c r="G30" s="82" t="str">
        <f>IF(F30=0,"",VLOOKUP(F30,Employés!$A$2:$B$186,2,0))</f>
        <v/>
      </c>
      <c r="H30" s="82"/>
      <c r="I30" s="35"/>
      <c r="J30" s="29"/>
      <c r="K30" s="19"/>
      <c r="L30" s="20"/>
      <c r="M30" s="37" t="str">
        <f>IF(I30=0,"",VLOOKUP(I30,Municipalités!$A$2:$B$1290,2,TRUE))</f>
        <v/>
      </c>
    </row>
    <row r="31" spans="1:13" ht="30" customHeight="1" x14ac:dyDescent="0.25">
      <c r="A31" s="45"/>
      <c r="B31" s="45"/>
      <c r="C31" s="39"/>
      <c r="D31" s="47"/>
      <c r="E31" s="27"/>
      <c r="F31" s="31"/>
      <c r="G31" s="82" t="str">
        <f>IF(F31=0,"",VLOOKUP(F31,Employés!$A$2:$B$186,2,0))</f>
        <v/>
      </c>
      <c r="H31" s="82"/>
      <c r="I31" s="35"/>
      <c r="J31" s="29"/>
      <c r="K31" s="19"/>
      <c r="L31" s="20"/>
      <c r="M31" s="37" t="str">
        <f>IF(I31=0,"",VLOOKUP(I31,Municipalités!$A$2:$B$1290,2,TRUE))</f>
        <v/>
      </c>
    </row>
    <row r="32" spans="1:13" ht="30" customHeight="1" x14ac:dyDescent="0.25">
      <c r="A32" s="45"/>
      <c r="B32" s="45"/>
      <c r="C32" s="39"/>
      <c r="D32" s="46"/>
      <c r="E32" s="27"/>
      <c r="F32" s="31"/>
      <c r="G32" s="82" t="str">
        <f>IF(F32=0,"",VLOOKUP(F32,Employés!$A$2:$B$186,2,0))</f>
        <v/>
      </c>
      <c r="H32" s="82"/>
      <c r="I32" s="35"/>
      <c r="J32" s="29"/>
      <c r="K32" s="19"/>
      <c r="L32" s="20"/>
      <c r="M32" s="37" t="str">
        <f>IF(I32=0,"",VLOOKUP(I32,Municipalités!$A$2:$B$1290,2,TRUE))</f>
        <v/>
      </c>
    </row>
    <row r="33" spans="1:13" ht="30" customHeight="1" x14ac:dyDescent="0.25">
      <c r="A33" s="45"/>
      <c r="B33" s="45"/>
      <c r="C33" s="39"/>
      <c r="D33" s="46"/>
      <c r="E33" s="27"/>
      <c r="F33" s="31"/>
      <c r="G33" s="82" t="str">
        <f>IF(F33=0,"",VLOOKUP(F33,Employés!$A$2:$B$186,2,0))</f>
        <v/>
      </c>
      <c r="H33" s="82"/>
      <c r="I33" s="35"/>
      <c r="J33" s="29"/>
      <c r="K33" s="19"/>
      <c r="L33" s="20"/>
      <c r="M33" s="37" t="str">
        <f>IF(I33=0,"",VLOOKUP(I33,Municipalités!$A$2:$B$1290,2,TRUE))</f>
        <v/>
      </c>
    </row>
    <row r="34" spans="1:13" ht="30" customHeight="1" x14ac:dyDescent="0.25">
      <c r="A34" s="45"/>
      <c r="B34" s="45"/>
      <c r="C34" s="39"/>
      <c r="D34" s="46"/>
      <c r="E34" s="27"/>
      <c r="F34" s="31"/>
      <c r="G34" s="82" t="str">
        <f>IF(F34=0,"",VLOOKUP(F34,Employés!$A$2:$B$186,2,0))</f>
        <v/>
      </c>
      <c r="H34" s="82"/>
      <c r="I34" s="35"/>
      <c r="J34" s="29"/>
      <c r="K34" s="19"/>
      <c r="L34" s="20"/>
      <c r="M34" s="37" t="str">
        <f>IF(I34=0,"",VLOOKUP(I34,Municipalités!$A$2:$B$1290,2,TRUE))</f>
        <v/>
      </c>
    </row>
    <row r="35" spans="1:13" ht="30" customHeight="1" x14ac:dyDescent="0.25">
      <c r="A35" s="45"/>
      <c r="B35" s="45"/>
      <c r="C35" s="30"/>
      <c r="D35" s="46"/>
      <c r="E35" s="27"/>
      <c r="F35" s="31"/>
      <c r="G35" s="82" t="str">
        <f>IF(F35=0,"",VLOOKUP(F35,Employés!$A$2:$B$186,2,0))</f>
        <v/>
      </c>
      <c r="H35" s="82"/>
      <c r="I35" s="35"/>
      <c r="J35" s="29"/>
      <c r="K35" s="19"/>
      <c r="L35" s="20"/>
      <c r="M35" s="37" t="str">
        <f>IF(I35=0,"",VLOOKUP(I35,Municipalités!$A$2:$B$1290,2,TRUE))</f>
        <v/>
      </c>
    </row>
    <row r="36" spans="1:13" ht="30" customHeight="1" x14ac:dyDescent="0.25">
      <c r="A36" s="45"/>
      <c r="B36" s="45"/>
      <c r="C36" s="30"/>
      <c r="D36" s="46"/>
      <c r="E36" s="27"/>
      <c r="F36" s="31"/>
      <c r="G36" s="82" t="str">
        <f>IF(F36=0,"",VLOOKUP(F36,Employés!$A$2:$B$186,2,0))</f>
        <v/>
      </c>
      <c r="H36" s="82"/>
      <c r="I36" s="35"/>
      <c r="J36" s="29"/>
      <c r="K36" s="19"/>
      <c r="L36" s="20"/>
      <c r="M36" s="37" t="str">
        <f>IF(I36=0,"",VLOOKUP(I36,Municipalités!$A$2:$B$1290,2,TRUE))</f>
        <v/>
      </c>
    </row>
    <row r="37" spans="1:13" ht="30" customHeight="1" x14ac:dyDescent="0.25">
      <c r="A37" s="45"/>
      <c r="B37" s="45"/>
      <c r="C37" s="39"/>
      <c r="D37" s="46"/>
      <c r="E37" s="27"/>
      <c r="F37" s="31"/>
      <c r="G37" s="82" t="str">
        <f>IF(F37=0,"",VLOOKUP(F37,Employés!$A$2:$B$186,2,0))</f>
        <v/>
      </c>
      <c r="H37" s="82"/>
      <c r="I37" s="35"/>
      <c r="J37" s="29"/>
      <c r="K37" s="19"/>
      <c r="L37" s="20"/>
      <c r="M37" s="37" t="str">
        <f>IF(I37=0,"",VLOOKUP(I37,Municipalités!$A$2:$B$1290,2,TRUE))</f>
        <v/>
      </c>
    </row>
    <row r="38" spans="1:13" ht="30" customHeight="1" x14ac:dyDescent="0.25">
      <c r="A38" s="45"/>
      <c r="B38" s="45"/>
      <c r="C38" s="39"/>
      <c r="D38" s="47"/>
      <c r="E38" s="27"/>
      <c r="F38" s="31"/>
      <c r="G38" s="82" t="str">
        <f>IF(F38=0,"",VLOOKUP(F38,Employés!$A$2:$B$186,2,0))</f>
        <v/>
      </c>
      <c r="H38" s="82"/>
      <c r="I38" s="35"/>
      <c r="J38" s="29"/>
      <c r="K38" s="19"/>
      <c r="L38" s="20"/>
      <c r="M38" s="37" t="str">
        <f>IF(I38=0,"",VLOOKUP(I38,Municipalités!$A$2:$B$1290,2,TRUE))</f>
        <v/>
      </c>
    </row>
    <row r="39" spans="1:13" ht="30" customHeight="1" x14ac:dyDescent="0.25">
      <c r="A39" s="45"/>
      <c r="B39" s="45"/>
      <c r="C39" s="39"/>
      <c r="D39" s="45"/>
      <c r="E39" s="27"/>
      <c r="F39" s="31"/>
      <c r="G39" s="82" t="str">
        <f>IF(F39=0,"",VLOOKUP(F39,Employés!$A$2:$B$186,2,0))</f>
        <v/>
      </c>
      <c r="H39" s="82"/>
      <c r="I39" s="35"/>
      <c r="J39" s="29"/>
      <c r="K39" s="26"/>
      <c r="L39" s="25"/>
      <c r="M39" s="37" t="str">
        <f>IF(I39=0,"",VLOOKUP(I39,Municipalités!$A$2:$B$1290,2,TRUE))</f>
        <v/>
      </c>
    </row>
    <row r="40" spans="1:13" ht="30" customHeight="1" x14ac:dyDescent="0.25">
      <c r="A40" s="8"/>
      <c r="B40" s="8"/>
      <c r="C40" s="30"/>
      <c r="D40" s="8"/>
      <c r="E40" s="27"/>
      <c r="F40" s="31"/>
      <c r="G40" s="82" t="str">
        <f>IF(F40=0,"",VLOOKUP(F40,Employés!$A$2:$B$186,2,0))</f>
        <v/>
      </c>
      <c r="H40" s="82"/>
      <c r="I40" s="35"/>
      <c r="J40" s="29"/>
      <c r="K40" s="26"/>
      <c r="L40" s="25"/>
      <c r="M40" s="37" t="str">
        <f>IF(I40=0,"",VLOOKUP(I40,Municipalités!$A$2:$B$1290,2,TRUE))</f>
        <v/>
      </c>
    </row>
    <row r="41" spans="1:13" ht="30" customHeight="1" x14ac:dyDescent="0.25">
      <c r="A41" s="8"/>
      <c r="B41" s="8"/>
      <c r="C41" s="30"/>
      <c r="D41" s="8"/>
      <c r="E41" s="27"/>
      <c r="F41" s="31"/>
      <c r="G41" s="82" t="str">
        <f>IF(F41=0,"",VLOOKUP(F41,Employés!$A$2:$B$186,2,0))</f>
        <v/>
      </c>
      <c r="H41" s="82"/>
      <c r="I41" s="35"/>
      <c r="J41" s="29"/>
      <c r="K41" s="26"/>
      <c r="L41" s="25"/>
      <c r="M41" s="37" t="str">
        <f>IF(I41=0,"",VLOOKUP(I41,Municipalités!$A$2:$B$1290,2,TRUE))</f>
        <v/>
      </c>
    </row>
    <row r="42" spans="1:13" ht="30" customHeight="1" x14ac:dyDescent="0.25">
      <c r="A42" s="8"/>
      <c r="B42" s="8"/>
      <c r="C42" s="30"/>
      <c r="D42" s="8"/>
      <c r="E42" s="27"/>
      <c r="F42" s="31"/>
      <c r="G42" s="82" t="str">
        <f>IF(F42=0,"",VLOOKUP(F42,Employés!$A$2:$B$186,2,0))</f>
        <v/>
      </c>
      <c r="H42" s="82"/>
      <c r="I42" s="35"/>
      <c r="J42" s="29"/>
      <c r="K42" s="26"/>
      <c r="L42" s="25"/>
      <c r="M42" s="37" t="str">
        <f>IF(I42=0,"",VLOOKUP(I42,Municipalités!$A$2:$B$1290,2,TRUE))</f>
        <v/>
      </c>
    </row>
    <row r="43" spans="1:13" ht="30" customHeight="1" x14ac:dyDescent="0.25">
      <c r="A43" s="8"/>
      <c r="B43" s="8"/>
      <c r="C43" s="30"/>
      <c r="D43" s="8"/>
      <c r="E43" s="27" t="s">
        <v>1420</v>
      </c>
      <c r="F43" s="31"/>
      <c r="G43" s="82" t="str">
        <f>IF(F43=0,"",VLOOKUP(F43,Employés!$A$2:$B$186,2,0))</f>
        <v/>
      </c>
      <c r="H43" s="82"/>
      <c r="I43" s="35"/>
      <c r="J43" s="29"/>
      <c r="K43" s="26"/>
      <c r="L43" s="25" t="s">
        <v>1420</v>
      </c>
      <c r="M43" s="37" t="str">
        <f>IF(I43=0,"",VLOOKUP(I43,Municipalités!$A$2:$B$1290,2,TRUE))</f>
        <v/>
      </c>
    </row>
    <row r="44" spans="1:13" ht="30" customHeight="1" x14ac:dyDescent="0.25">
      <c r="A44" s="8"/>
      <c r="B44" s="8"/>
      <c r="C44" s="30"/>
      <c r="D44" s="8"/>
      <c r="E44" s="27"/>
      <c r="F44" s="31"/>
      <c r="G44" s="82" t="str">
        <f>IF(F44=0,"",VLOOKUP(F44,Employés!$A$2:$B$186,2,0))</f>
        <v/>
      </c>
      <c r="H44" s="82"/>
      <c r="I44" s="35"/>
      <c r="J44" s="29"/>
      <c r="K44" s="26"/>
      <c r="L44" s="25"/>
      <c r="M44" s="37" t="str">
        <f>IF(I44=0,"",VLOOKUP(I44,Municipalités!$A$2:$B$1290,2,TRUE))</f>
        <v/>
      </c>
    </row>
    <row r="45" spans="1:13" ht="30" customHeight="1" x14ac:dyDescent="0.25">
      <c r="A45" s="8"/>
      <c r="B45" s="8"/>
      <c r="C45" s="30"/>
      <c r="D45" s="8"/>
      <c r="E45" s="27"/>
      <c r="F45" s="31"/>
      <c r="G45" s="82" t="str">
        <f>IF(F45=0,"",VLOOKUP(F45,Employés!$A$2:$B$186,2,0))</f>
        <v/>
      </c>
      <c r="H45" s="82"/>
      <c r="I45" s="35"/>
      <c r="J45" s="29"/>
      <c r="K45" s="26"/>
      <c r="L45" s="25"/>
      <c r="M45" s="37" t="str">
        <f>IF(I45=0,"",VLOOKUP(I45,Municipalités!$A$2:$B$1290,2,TRUE))</f>
        <v/>
      </c>
    </row>
    <row r="46" spans="1:13" ht="30" customHeight="1" x14ac:dyDescent="0.25">
      <c r="A46" s="8"/>
      <c r="B46" s="8"/>
      <c r="C46" s="30"/>
      <c r="D46" s="8"/>
      <c r="E46" s="27"/>
      <c r="F46" s="31"/>
      <c r="G46" s="82" t="str">
        <f>IF(F46=0,"",VLOOKUP(F46,Employés!$A$2:$B$186,2,0))</f>
        <v/>
      </c>
      <c r="H46" s="82"/>
      <c r="I46" s="35"/>
      <c r="J46" s="29"/>
      <c r="K46" s="26"/>
      <c r="L46" s="25"/>
      <c r="M46" s="37" t="str">
        <f>IF(I46=0,"",VLOOKUP(I46,Municipalités!$A$2:$B$1290,2,TRUE))</f>
        <v/>
      </c>
    </row>
    <row r="47" spans="1:13" ht="30" customHeight="1" x14ac:dyDescent="0.25">
      <c r="A47" s="8"/>
      <c r="B47" s="8"/>
      <c r="C47" s="30"/>
      <c r="D47" s="8"/>
      <c r="E47" s="27"/>
      <c r="F47" s="31"/>
      <c r="G47" s="82" t="str">
        <f>IF(F47=0,"",VLOOKUP(F47,Employés!$A$2:$B$186,2,0))</f>
        <v/>
      </c>
      <c r="H47" s="82"/>
      <c r="I47" s="35"/>
      <c r="J47" s="29"/>
      <c r="K47" s="26"/>
      <c r="L47" s="25"/>
      <c r="M47" s="37" t="str">
        <f>IF(I47=0,"",VLOOKUP(I47,Municipalités!$A$2:$B$1290,2,TRUE))</f>
        <v/>
      </c>
    </row>
    <row r="48" spans="1:13" ht="30" customHeight="1" x14ac:dyDescent="0.25">
      <c r="A48" s="8"/>
      <c r="B48" s="8"/>
      <c r="C48" s="30"/>
      <c r="D48" s="8"/>
      <c r="E48" s="27"/>
      <c r="F48" s="31"/>
      <c r="G48" s="82" t="str">
        <f>IF(F48=0,"",VLOOKUP(F48,Employés!$A$2:$B$186,2,0))</f>
        <v/>
      </c>
      <c r="H48" s="82"/>
      <c r="I48" s="35"/>
      <c r="J48" s="29"/>
      <c r="K48" s="26"/>
      <c r="L48" s="25"/>
      <c r="M48" s="37" t="str">
        <f>IF(I48=0,"",VLOOKUP(I48,Municipalités!$A$2:$B$1290,2,TRUE))</f>
        <v/>
      </c>
    </row>
    <row r="49" spans="1:13" ht="30" customHeight="1" x14ac:dyDescent="0.25">
      <c r="A49" s="8"/>
      <c r="B49" s="8"/>
      <c r="C49" s="30"/>
      <c r="D49" s="8"/>
      <c r="E49" s="27"/>
      <c r="F49" s="31"/>
      <c r="G49" s="82" t="str">
        <f>IF(F49=0,"",VLOOKUP(F49,Employés!$A$2:$B$186,2,0))</f>
        <v/>
      </c>
      <c r="H49" s="82"/>
      <c r="I49" s="35"/>
      <c r="J49" s="29"/>
      <c r="K49" s="26"/>
      <c r="L49" s="25"/>
      <c r="M49" s="37" t="str">
        <f>IF(I49=0,"",VLOOKUP(I49,Municipalités!$A$2:$B$1290,2,TRUE))</f>
        <v/>
      </c>
    </row>
    <row r="50" spans="1:13" ht="30" customHeight="1" x14ac:dyDescent="0.25">
      <c r="A50" s="8"/>
      <c r="B50" s="8"/>
      <c r="C50" s="30"/>
      <c r="D50" s="8"/>
      <c r="E50" s="27"/>
      <c r="F50" s="31"/>
      <c r="G50" s="82" t="str">
        <f>IF(F50=0,"",VLOOKUP(F50,Employés!$A$2:$B$186,2,0))</f>
        <v/>
      </c>
      <c r="H50" s="82"/>
      <c r="I50" s="35"/>
      <c r="J50" s="29"/>
      <c r="K50" s="26"/>
      <c r="L50" s="25"/>
      <c r="M50" s="37" t="str">
        <f>IF(I50=0,"",VLOOKUP(I50,Municipalités!$A$2:$B$1290,2,TRUE))</f>
        <v/>
      </c>
    </row>
    <row r="51" spans="1:13" ht="30" customHeight="1" x14ac:dyDescent="0.25">
      <c r="A51" s="8"/>
      <c r="B51" s="8"/>
      <c r="C51" s="30"/>
      <c r="D51" s="8"/>
      <c r="E51" s="27"/>
      <c r="F51" s="31"/>
      <c r="G51" s="82" t="str">
        <f>IF(F51=0,"",VLOOKUP(F51,Employés!$A$2:$B$186,2,0))</f>
        <v/>
      </c>
      <c r="H51" s="82"/>
      <c r="I51" s="35"/>
      <c r="J51" s="29"/>
      <c r="K51" s="26"/>
      <c r="L51" s="25"/>
      <c r="M51" s="37" t="str">
        <f>IF(I51=0,"",VLOOKUP(I51,Municipalités!$A$2:$B$1290,2,TRUE))</f>
        <v/>
      </c>
    </row>
    <row r="52" spans="1:13" ht="30" customHeight="1" x14ac:dyDescent="0.25">
      <c r="A52" s="8"/>
      <c r="B52" s="8"/>
      <c r="C52" s="30"/>
      <c r="D52" s="8"/>
      <c r="E52" s="27"/>
      <c r="F52" s="31"/>
      <c r="G52" s="82" t="str">
        <f>IF(F52=0,"",VLOOKUP(F52,Employés!$A$2:$B$186,2,0))</f>
        <v/>
      </c>
      <c r="H52" s="82"/>
      <c r="I52" s="35"/>
      <c r="J52" s="29"/>
      <c r="K52" s="26"/>
      <c r="L52" s="25"/>
      <c r="M52" s="37" t="str">
        <f>IF(I52=0,"",VLOOKUP(I52,Municipalités!$A$2:$B$1290,2,TRUE))</f>
        <v/>
      </c>
    </row>
    <row r="53" spans="1:13" ht="30" customHeight="1" x14ac:dyDescent="0.25">
      <c r="A53" s="8"/>
      <c r="B53" s="8"/>
      <c r="C53" s="30"/>
      <c r="D53" s="8"/>
      <c r="E53" s="27"/>
      <c r="F53" s="31"/>
      <c r="G53" s="82" t="str">
        <f>IF(F53=0,"",VLOOKUP(F53,Employés!$A$2:$B$186,2,0))</f>
        <v/>
      </c>
      <c r="H53" s="82"/>
      <c r="I53" s="35"/>
      <c r="J53" s="29"/>
      <c r="K53" s="26"/>
      <c r="L53" s="25"/>
      <c r="M53" s="37" t="str">
        <f>IF(I53=0,"",VLOOKUP(I53,Municipalités!$A$2:$B$1290,2,TRUE))</f>
        <v/>
      </c>
    </row>
    <row r="54" spans="1:13" ht="30" customHeight="1" x14ac:dyDescent="0.25">
      <c r="A54" s="8"/>
      <c r="B54" s="8"/>
      <c r="C54" s="30"/>
      <c r="D54" s="8"/>
      <c r="E54" s="27"/>
      <c r="F54" s="31"/>
      <c r="G54" s="82" t="str">
        <f>IF(F54=0,"",VLOOKUP(F54,Employés!$A$2:$B$186,2,0))</f>
        <v/>
      </c>
      <c r="H54" s="82"/>
      <c r="I54" s="35"/>
      <c r="J54" s="29"/>
      <c r="K54" s="26"/>
      <c r="L54" s="25"/>
      <c r="M54" s="37" t="str">
        <f>IF(I54=0,"",VLOOKUP(I54,Municipalités!$A$2:$B$1290,2,TRUE))</f>
        <v/>
      </c>
    </row>
    <row r="55" spans="1:13" ht="30" customHeight="1" x14ac:dyDescent="0.25">
      <c r="A55" s="8"/>
      <c r="B55" s="8"/>
      <c r="C55" s="30"/>
      <c r="D55" s="8"/>
      <c r="E55" s="27"/>
      <c r="F55" s="31"/>
      <c r="G55" s="82" t="str">
        <f>IF(F55=0,"",VLOOKUP(F55,Employés!$A$2:$B$186,2,0))</f>
        <v/>
      </c>
      <c r="H55" s="82"/>
      <c r="I55" s="35"/>
      <c r="J55" s="29"/>
      <c r="K55" s="26"/>
      <c r="L55" s="25"/>
      <c r="M55" s="37" t="str">
        <f>IF(I55=0,"",VLOOKUP(I55,Municipalités!$A$2:$B$1290,2,TRUE))</f>
        <v/>
      </c>
    </row>
    <row r="56" spans="1:13" ht="30" customHeight="1" x14ac:dyDescent="0.25">
      <c r="A56" s="8"/>
      <c r="B56" s="8"/>
      <c r="C56" s="30"/>
      <c r="D56" s="8"/>
      <c r="E56" s="27"/>
      <c r="F56" s="31"/>
      <c r="G56" s="82" t="str">
        <f>IF(F56=0,"",VLOOKUP(F56,Employés!$A$2:$B$186,2,0))</f>
        <v/>
      </c>
      <c r="H56" s="82"/>
      <c r="I56" s="35"/>
      <c r="J56" s="29"/>
      <c r="K56" s="26"/>
      <c r="L56" s="25"/>
      <c r="M56" s="37" t="str">
        <f>IF(I56=0,"",VLOOKUP(I56,Municipalités!$A$2:$B$1290,2,TRUE))</f>
        <v/>
      </c>
    </row>
    <row r="57" spans="1:13" ht="30" customHeight="1" x14ac:dyDescent="0.25">
      <c r="A57" s="8"/>
      <c r="B57" s="8"/>
      <c r="C57" s="30"/>
      <c r="D57" s="8"/>
      <c r="E57" s="27"/>
      <c r="F57" s="31"/>
      <c r="G57" s="82" t="str">
        <f>IF(F57=0,"",VLOOKUP(F57,Employés!$A$2:$B$186,2,0))</f>
        <v/>
      </c>
      <c r="H57" s="82"/>
      <c r="I57" s="35"/>
      <c r="J57" s="29"/>
      <c r="K57" s="26"/>
      <c r="L57" s="25"/>
      <c r="M57" s="37" t="str">
        <f>IF(I57=0,"",VLOOKUP(I57,Municipalités!$A$2:$B$1290,2,TRUE))</f>
        <v/>
      </c>
    </row>
    <row r="58" spans="1:13" ht="30" customHeight="1" x14ac:dyDescent="0.25">
      <c r="A58" s="8"/>
      <c r="B58" s="8"/>
      <c r="C58" s="30"/>
      <c r="D58" s="8"/>
      <c r="E58" s="27"/>
      <c r="F58" s="31"/>
      <c r="G58" s="82" t="str">
        <f>IF(F58=0,"",VLOOKUP(F58,Employés!$A$2:$B$186,2,0))</f>
        <v/>
      </c>
      <c r="H58" s="82"/>
      <c r="I58" s="35"/>
      <c r="J58" s="29"/>
      <c r="K58" s="26"/>
      <c r="L58" s="25"/>
      <c r="M58" s="37" t="str">
        <f>IF(I58=0,"",VLOOKUP(I58,Municipalités!$A$2:$B$1290,2,TRUE))</f>
        <v/>
      </c>
    </row>
    <row r="59" spans="1:13" ht="30" customHeight="1" x14ac:dyDescent="0.25">
      <c r="A59" s="8"/>
      <c r="B59" s="8"/>
      <c r="C59" s="30"/>
      <c r="D59" s="8"/>
      <c r="E59" s="27"/>
      <c r="F59" s="31"/>
      <c r="G59" s="82" t="str">
        <f>IF(F59=0,"",VLOOKUP(F59,Employés!$A$2:$B$186,2,0))</f>
        <v/>
      </c>
      <c r="H59" s="82"/>
      <c r="I59" s="35"/>
      <c r="J59" s="29"/>
      <c r="K59" s="26"/>
      <c r="L59" s="25"/>
      <c r="M59" s="37" t="str">
        <f>IF(I59=0,"",VLOOKUP(I59,Municipalités!$A$2:$B$1290,2,TRUE))</f>
        <v/>
      </c>
    </row>
    <row r="60" spans="1:13" ht="30" customHeight="1" x14ac:dyDescent="0.25">
      <c r="A60" s="8"/>
      <c r="B60" s="8"/>
      <c r="C60" s="30"/>
      <c r="D60" s="8"/>
      <c r="E60" s="27"/>
      <c r="F60" s="31"/>
      <c r="G60" s="82" t="str">
        <f>IF(F60=0,"",VLOOKUP(F60,Employés!$A$2:$B$186,2,0))</f>
        <v/>
      </c>
      <c r="H60" s="82"/>
      <c r="I60" s="35"/>
      <c r="J60" s="29"/>
      <c r="K60" s="26"/>
      <c r="L60" s="25"/>
      <c r="M60" s="37" t="str">
        <f>IF(I60=0,"",VLOOKUP(I60,Municipalités!$A$2:$B$1290,2,TRUE))</f>
        <v/>
      </c>
    </row>
    <row r="61" spans="1:13" ht="30" customHeight="1" x14ac:dyDescent="0.25">
      <c r="A61" s="8"/>
      <c r="B61" s="8"/>
      <c r="C61" s="30"/>
      <c r="D61" s="8"/>
      <c r="E61" s="27"/>
      <c r="F61" s="31"/>
      <c r="G61" s="82" t="str">
        <f>IF(F61=0,"",VLOOKUP(F61,Employés!$A$2:$B$186,2,0))</f>
        <v/>
      </c>
      <c r="H61" s="82"/>
      <c r="I61" s="35"/>
      <c r="J61" s="29"/>
      <c r="K61" s="26"/>
      <c r="L61" s="25"/>
      <c r="M61" s="37" t="str">
        <f>IF(I61=0,"",VLOOKUP(I61,Municipalités!$A$2:$B$1290,2,TRUE))</f>
        <v/>
      </c>
    </row>
    <row r="62" spans="1:13" x14ac:dyDescent="0.25">
      <c r="C62" s="14"/>
    </row>
    <row r="63" spans="1:13" x14ac:dyDescent="0.25">
      <c r="C63" s="14"/>
    </row>
    <row r="64" spans="1:13" x14ac:dyDescent="0.25">
      <c r="C64" s="14"/>
    </row>
    <row r="65" spans="3:5" x14ac:dyDescent="0.25">
      <c r="C65" s="14"/>
    </row>
    <row r="66" spans="3:5" x14ac:dyDescent="0.25">
      <c r="C66" s="14"/>
    </row>
    <row r="67" spans="3:5" x14ac:dyDescent="0.25">
      <c r="C67" s="14"/>
    </row>
    <row r="68" spans="3:5" x14ac:dyDescent="0.25">
      <c r="C68" s="14"/>
    </row>
    <row r="69" spans="3:5" x14ac:dyDescent="0.25">
      <c r="C69" s="14"/>
    </row>
    <row r="70" spans="3:5" x14ac:dyDescent="0.25">
      <c r="C70" s="14"/>
    </row>
    <row r="71" spans="3:5" x14ac:dyDescent="0.25">
      <c r="C71" s="14"/>
    </row>
    <row r="72" spans="3:5" x14ac:dyDescent="0.25">
      <c r="C72" s="14"/>
    </row>
    <row r="73" spans="3:5" x14ac:dyDescent="0.25">
      <c r="C73" s="14"/>
    </row>
    <row r="74" spans="3:5" x14ac:dyDescent="0.25">
      <c r="C74" s="14"/>
    </row>
    <row r="75" spans="3:5" x14ac:dyDescent="0.25">
      <c r="C75" s="14"/>
    </row>
    <row r="76" spans="3:5" x14ac:dyDescent="0.25">
      <c r="C76" s="14"/>
    </row>
    <row r="77" spans="3:5" x14ac:dyDescent="0.25">
      <c r="C77" s="14"/>
    </row>
    <row r="78" spans="3:5" x14ac:dyDescent="0.25">
      <c r="C78" s="14"/>
      <c r="E78" s="21" t="s">
        <v>1420</v>
      </c>
    </row>
    <row r="79" spans="3:5" x14ac:dyDescent="0.25">
      <c r="C79" s="14"/>
    </row>
    <row r="80" spans="3:5" x14ac:dyDescent="0.25">
      <c r="C80" s="14"/>
    </row>
    <row r="81" spans="3:3" x14ac:dyDescent="0.25">
      <c r="C81" s="14"/>
    </row>
    <row r="82" spans="3:3" x14ac:dyDescent="0.25">
      <c r="C82" s="14"/>
    </row>
    <row r="83" spans="3:3" x14ac:dyDescent="0.25">
      <c r="C83" s="14"/>
    </row>
    <row r="84" spans="3:3" x14ac:dyDescent="0.25">
      <c r="C84" s="14"/>
    </row>
    <row r="85" spans="3:3" x14ac:dyDescent="0.25">
      <c r="C85" s="14"/>
    </row>
    <row r="86" spans="3:3" x14ac:dyDescent="0.25">
      <c r="C86" s="14"/>
    </row>
    <row r="87" spans="3:3" x14ac:dyDescent="0.25">
      <c r="C87" s="14"/>
    </row>
    <row r="88" spans="3:3" x14ac:dyDescent="0.25">
      <c r="C88" s="14"/>
    </row>
    <row r="89" spans="3:3" x14ac:dyDescent="0.25">
      <c r="C89" s="14"/>
    </row>
    <row r="90" spans="3:3" x14ac:dyDescent="0.25">
      <c r="C90" s="14"/>
    </row>
    <row r="91" spans="3:3" x14ac:dyDescent="0.25">
      <c r="C91" s="14"/>
    </row>
    <row r="92" spans="3:3" x14ac:dyDescent="0.25">
      <c r="C92" s="14"/>
    </row>
    <row r="93" spans="3:3" x14ac:dyDescent="0.25">
      <c r="C93" s="14"/>
    </row>
    <row r="94" spans="3:3" x14ac:dyDescent="0.25">
      <c r="C94" s="14"/>
    </row>
    <row r="95" spans="3:3" x14ac:dyDescent="0.25">
      <c r="C95" s="14"/>
    </row>
    <row r="96" spans="3:3" x14ac:dyDescent="0.25">
      <c r="C96" s="14"/>
    </row>
    <row r="97" spans="3:3" x14ac:dyDescent="0.25">
      <c r="C97" s="14"/>
    </row>
    <row r="98" spans="3:3" x14ac:dyDescent="0.25">
      <c r="C98" s="14"/>
    </row>
  </sheetData>
  <mergeCells count="67">
    <mergeCell ref="G59:H59"/>
    <mergeCell ref="G60:H60"/>
    <mergeCell ref="G61:H61"/>
    <mergeCell ref="G53:H53"/>
    <mergeCell ref="G54:H54"/>
    <mergeCell ref="G55:H55"/>
    <mergeCell ref="G56:H56"/>
    <mergeCell ref="G57:H57"/>
    <mergeCell ref="G58:H58"/>
    <mergeCell ref="G52:H52"/>
    <mergeCell ref="G41:H41"/>
    <mergeCell ref="G42:H42"/>
    <mergeCell ref="G43:H43"/>
    <mergeCell ref="G44:H44"/>
    <mergeCell ref="G45:H45"/>
    <mergeCell ref="G46:H46"/>
    <mergeCell ref="G47:H47"/>
    <mergeCell ref="G48:H48"/>
    <mergeCell ref="G49:H49"/>
    <mergeCell ref="G50:H50"/>
    <mergeCell ref="G51:H51"/>
    <mergeCell ref="G40:H40"/>
    <mergeCell ref="G29:H29"/>
    <mergeCell ref="G30:H30"/>
    <mergeCell ref="G31:H31"/>
    <mergeCell ref="G32:H32"/>
    <mergeCell ref="G33:H33"/>
    <mergeCell ref="G34:H34"/>
    <mergeCell ref="G35:H35"/>
    <mergeCell ref="G36:H36"/>
    <mergeCell ref="G37:H37"/>
    <mergeCell ref="G38:H38"/>
    <mergeCell ref="G39:H39"/>
    <mergeCell ref="G28:H28"/>
    <mergeCell ref="G17:H17"/>
    <mergeCell ref="G18:H18"/>
    <mergeCell ref="G19:H19"/>
    <mergeCell ref="G20:H20"/>
    <mergeCell ref="G21:H21"/>
    <mergeCell ref="G22:H22"/>
    <mergeCell ref="G23:H23"/>
    <mergeCell ref="G24:H24"/>
    <mergeCell ref="G25:H25"/>
    <mergeCell ref="G26:H26"/>
    <mergeCell ref="G27:H27"/>
    <mergeCell ref="M2:M4"/>
    <mergeCell ref="G16:H16"/>
    <mergeCell ref="I6:I7"/>
    <mergeCell ref="J6:J7"/>
    <mergeCell ref="K6:M6"/>
    <mergeCell ref="G8:H8"/>
    <mergeCell ref="G9:H9"/>
    <mergeCell ref="G10:H10"/>
    <mergeCell ref="G11:H11"/>
    <mergeCell ref="G12:H12"/>
    <mergeCell ref="G13:H13"/>
    <mergeCell ref="G14:H14"/>
    <mergeCell ref="G15:H15"/>
    <mergeCell ref="E1:F4"/>
    <mergeCell ref="L1:L2"/>
    <mergeCell ref="A6:A7"/>
    <mergeCell ref="B6:B7"/>
    <mergeCell ref="C6:C7"/>
    <mergeCell ref="D6:D7"/>
    <mergeCell ref="E6:E7"/>
    <mergeCell ref="F6:F7"/>
    <mergeCell ref="G6:H7"/>
  </mergeCells>
  <conditionalFormatting sqref="C16:C21 C23:C45">
    <cfRule type="expression" dxfId="17" priority="7" stopIfTrue="1">
      <formula>#REF!=1</formula>
    </cfRule>
    <cfRule type="expression" priority="8" stopIfTrue="1">
      <formula>#REF!=2</formula>
    </cfRule>
    <cfRule type="expression" dxfId="16" priority="9" stopIfTrue="1">
      <formula>#REF!=3</formula>
    </cfRule>
  </conditionalFormatting>
  <conditionalFormatting sqref="C22">
    <cfRule type="expression" dxfId="15" priority="4" stopIfTrue="1">
      <formula>#REF!=1</formula>
    </cfRule>
    <cfRule type="expression" priority="5" stopIfTrue="1">
      <formula>#REF!=2</formula>
    </cfRule>
    <cfRule type="expression" dxfId="14" priority="6" stopIfTrue="1">
      <formula>#REF!=3</formula>
    </cfRule>
  </conditionalFormatting>
  <conditionalFormatting sqref="C46:C61">
    <cfRule type="expression" dxfId="13" priority="1" stopIfTrue="1">
      <formula>#REF!=1</formula>
    </cfRule>
    <cfRule type="expression" priority="2" stopIfTrue="1">
      <formula>#REF!=2</formula>
    </cfRule>
    <cfRule type="expression" dxfId="12" priority="3" stopIfTrue="1">
      <formula>#REF!=3</formula>
    </cfRule>
  </conditionalFormatting>
  <dataValidations count="2">
    <dataValidation operator="greaterThan" allowBlank="1" showDropDown="1" showInputMessage="1" showErrorMessage="1" errorTitle="Saisie incorrecte" error="Re-Saisir le numéro de dossier sous le format_x000a_000-000000-000" promptTitle="Saisie du numéro d'événement" prompt="000-000000-000_x000a_Ex. : 071-030901-001" sqref="J8:J39" xr:uid="{00000000-0002-0000-1C00-000000000000}"/>
    <dataValidation type="textLength" operator="greaterThanOrEqual" allowBlank="1" showInputMessage="1" showErrorMessage="1" errorTitle="Saisie incorrecte" error="Re-saisir le numéro d'entrée en utilisant 3 chiffres_x000a_Ex.: 001" promptTitle="Saisie du numéro d'entrée" prompt="Minimum 3 chiffres_x000a_Ex.: 001" sqref="C8:C39" xr:uid="{00000000-0002-0000-1C00-000001000000}">
      <formula1>3</formula1>
    </dataValidation>
  </dataValidations>
  <printOptions horizontalCentered="1" verticalCentered="1"/>
  <pageMargins left="0" right="0" top="0.31496062992125984" bottom="0.39370078740157483" header="0.15748031496062992" footer="0.19685039370078741"/>
  <pageSetup paperSize="5" scale="90" orientation="landscape" r:id="rId1"/>
  <headerFooter alignWithMargins="0">
    <oddFooter>&amp;R&amp;8Page &amp;P de &amp;N</oddFooter>
  </headerFooter>
  <drawing r:id="rId2"/>
  <legacyDrawing r:id="rId3"/>
  <controls>
    <mc:AlternateContent xmlns:mc="http://schemas.openxmlformats.org/markup-compatibility/2006">
      <mc:Choice Requires="x14">
        <control shapeId="171011" r:id="rId4" name="ComboBox2">
          <controlPr defaultSize="0" autoLine="0" r:id="rId5">
            <anchor moveWithCells="1">
              <from>
                <xdr:col>4</xdr:col>
                <xdr:colOff>0</xdr:colOff>
                <xdr:row>10</xdr:row>
                <xdr:rowOff>0</xdr:rowOff>
              </from>
              <to>
                <xdr:col>4</xdr:col>
                <xdr:colOff>2965450</xdr:colOff>
                <xdr:row>11</xdr:row>
                <xdr:rowOff>38100</xdr:rowOff>
              </to>
            </anchor>
          </controlPr>
        </control>
      </mc:Choice>
      <mc:Fallback>
        <control shapeId="171011" r:id="rId4" name="ComboBox2"/>
      </mc:Fallback>
    </mc:AlternateContent>
    <mc:AlternateContent xmlns:mc="http://schemas.openxmlformats.org/markup-compatibility/2006">
      <mc:Choice Requires="x14">
        <control shapeId="171010" r:id="rId6" name="ComboBox1">
          <controlPr defaultSize="0" autoLine="0" r:id="rId7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11</xdr:col>
                <xdr:colOff>1803400</xdr:colOff>
                <xdr:row>9</xdr:row>
                <xdr:rowOff>38100</xdr:rowOff>
              </to>
            </anchor>
          </controlPr>
        </control>
      </mc:Choice>
      <mc:Fallback>
        <control shapeId="171010" r:id="rId6" name="ComboBox1"/>
      </mc:Fallback>
    </mc:AlternateContent>
    <mc:AlternateContent xmlns:mc="http://schemas.openxmlformats.org/markup-compatibility/2006">
      <mc:Choice Requires="x14">
        <control shapeId="171009" r:id="rId8" name="Button 1">
          <controlPr defaultSize="0" print="0" autoFill="0" autoPict="0" macro="[0]!test2">
            <anchor moveWithCells="1">
              <from>
                <xdr:col>5</xdr:col>
                <xdr:colOff>222250</xdr:colOff>
                <xdr:row>1</xdr:row>
                <xdr:rowOff>139700</xdr:rowOff>
              </from>
              <to>
                <xdr:col>9</xdr:col>
                <xdr:colOff>1143000</xdr:colOff>
                <xdr:row>4</xdr:row>
                <xdr:rowOff>107950</xdr:rowOff>
              </to>
            </anchor>
          </controlPr>
        </control>
      </mc:Choice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Feuil87"/>
  <dimension ref="A1:M98"/>
  <sheetViews>
    <sheetView showGridLines="0" zoomScaleNormal="100" workbookViewId="0">
      <pane xSplit="3" ySplit="7" topLeftCell="F8" activePane="bottomRight" state="frozen"/>
      <selection activeCell="C8" sqref="C8"/>
      <selection pane="topRight" activeCell="C8" sqref="C8"/>
      <selection pane="bottomLeft" activeCell="C8" sqref="C8"/>
      <selection pane="bottomRight" activeCell="M2" sqref="M2:M5"/>
    </sheetView>
  </sheetViews>
  <sheetFormatPr baseColWidth="10" defaultColWidth="11.453125" defaultRowHeight="13" x14ac:dyDescent="0.25"/>
  <cols>
    <col min="1" max="2" width="5.6328125" style="1" customWidth="1"/>
    <col min="3" max="3" width="6.6328125" style="1" customWidth="1"/>
    <col min="4" max="4" width="7.54296875" style="1" customWidth="1"/>
    <col min="5" max="5" width="44.453125" style="21" customWidth="1"/>
    <col min="6" max="6" width="10.54296875" style="1" customWidth="1"/>
    <col min="7" max="7" width="13.90625" style="1" customWidth="1"/>
    <col min="8" max="8" width="4.6328125" style="1" hidden="1" customWidth="1"/>
    <col min="9" max="9" width="6.08984375" style="1" customWidth="1"/>
    <col min="10" max="10" width="26.54296875" style="1" customWidth="1"/>
    <col min="11" max="11" width="7.36328125" style="1" customWidth="1"/>
    <col min="12" max="12" width="27" style="24" customWidth="1"/>
    <col min="13" max="13" width="26" style="1" customWidth="1"/>
    <col min="14" max="16384" width="11.453125" style="1"/>
  </cols>
  <sheetData>
    <row r="1" spans="1:13" ht="12.75" customHeight="1" x14ac:dyDescent="0.25">
      <c r="E1" s="71" t="s">
        <v>1023</v>
      </c>
      <c r="F1" s="72"/>
      <c r="L1" s="73" t="s">
        <v>1021</v>
      </c>
      <c r="M1" s="51" t="s">
        <v>1022</v>
      </c>
    </row>
    <row r="2" spans="1:13" ht="12.75" customHeight="1" x14ac:dyDescent="0.25">
      <c r="E2" s="72"/>
      <c r="F2" s="72"/>
      <c r="L2" s="74"/>
      <c r="M2" s="70">
        <f>'29'!M2:M5+1</f>
        <v>42734</v>
      </c>
    </row>
    <row r="3" spans="1:13" ht="12.75" customHeight="1" x14ac:dyDescent="0.25">
      <c r="E3" s="72"/>
      <c r="F3" s="72"/>
      <c r="L3" s="52"/>
      <c r="M3" s="70"/>
    </row>
    <row r="4" spans="1:13" ht="15.75" customHeight="1" x14ac:dyDescent="0.25">
      <c r="E4" s="72"/>
      <c r="F4" s="72"/>
      <c r="L4" s="49" t="s">
        <v>140</v>
      </c>
      <c r="M4" s="70"/>
    </row>
    <row r="5" spans="1:13" ht="21.9" customHeight="1" thickBot="1" x14ac:dyDescent="0.3">
      <c r="L5" s="36"/>
      <c r="M5" s="69">
        <f>M2</f>
        <v>42734</v>
      </c>
    </row>
    <row r="6" spans="1:13" ht="24.9" customHeight="1" x14ac:dyDescent="0.25">
      <c r="A6" s="75" t="s">
        <v>2351</v>
      </c>
      <c r="B6" s="75" t="s">
        <v>2350</v>
      </c>
      <c r="C6" s="76" t="s">
        <v>1362</v>
      </c>
      <c r="D6" s="75" t="s">
        <v>1153</v>
      </c>
      <c r="E6" s="75" t="s">
        <v>1016</v>
      </c>
      <c r="F6" s="76" t="s">
        <v>2352</v>
      </c>
      <c r="G6" s="76" t="s">
        <v>1017</v>
      </c>
      <c r="H6" s="79"/>
      <c r="I6" s="76" t="s">
        <v>1364</v>
      </c>
      <c r="J6" s="76" t="s">
        <v>1363</v>
      </c>
      <c r="K6" s="83" t="s">
        <v>1018</v>
      </c>
      <c r="L6" s="84"/>
      <c r="M6" s="84"/>
    </row>
    <row r="7" spans="1:13" ht="12.5" x14ac:dyDescent="0.25">
      <c r="A7" s="75"/>
      <c r="B7" s="75"/>
      <c r="C7" s="77"/>
      <c r="D7" s="75"/>
      <c r="E7" s="75"/>
      <c r="F7" s="78"/>
      <c r="G7" s="80"/>
      <c r="H7" s="81"/>
      <c r="I7" s="77"/>
      <c r="J7" s="77"/>
      <c r="K7" s="50" t="s">
        <v>1015</v>
      </c>
      <c r="L7" s="50" t="s">
        <v>1019</v>
      </c>
      <c r="M7" s="32" t="s">
        <v>1020</v>
      </c>
    </row>
    <row r="8" spans="1:13" ht="30" customHeight="1" x14ac:dyDescent="0.25">
      <c r="A8" s="45"/>
      <c r="B8" s="45"/>
      <c r="C8" s="30"/>
      <c r="D8" s="46"/>
      <c r="E8" s="27"/>
      <c r="F8" s="31"/>
      <c r="G8" s="82" t="str">
        <f>IF(F8=0,"",VLOOKUP(F8,Employés!$A$2:$B$186,2,0))</f>
        <v/>
      </c>
      <c r="H8" s="82"/>
      <c r="I8" s="34"/>
      <c r="J8" s="33"/>
      <c r="K8" s="19"/>
      <c r="L8" s="20" t="s">
        <v>1420</v>
      </c>
      <c r="M8" s="37" t="str">
        <f>IF(I8=0,"",VLOOKUP(I8,Municipalités!$A$2:$B$1290,2,TRUE))</f>
        <v/>
      </c>
    </row>
    <row r="9" spans="1:13" ht="30" customHeight="1" x14ac:dyDescent="0.25">
      <c r="A9" s="45"/>
      <c r="B9" s="45"/>
      <c r="C9" s="39"/>
      <c r="D9" s="47"/>
      <c r="E9" s="27"/>
      <c r="F9" s="31"/>
      <c r="G9" s="82" t="str">
        <f>IF(F9=0,"",VLOOKUP(F9,Employés!$A$2:$B$186,2,0))</f>
        <v/>
      </c>
      <c r="H9" s="82"/>
      <c r="I9" s="35"/>
      <c r="J9" s="33"/>
      <c r="K9" s="19"/>
      <c r="L9" s="20"/>
      <c r="M9" s="37" t="str">
        <f>IF(I9=0,"",VLOOKUP(I9,Municipalités!$A$2:$B$1290,2,TRUE))</f>
        <v/>
      </c>
    </row>
    <row r="10" spans="1:13" ht="30" customHeight="1" x14ac:dyDescent="0.25">
      <c r="A10" s="45"/>
      <c r="B10" s="45"/>
      <c r="C10" s="39"/>
      <c r="D10" s="48"/>
      <c r="E10" s="28"/>
      <c r="F10" s="31"/>
      <c r="G10" s="82" t="str">
        <f>IF(F10=0,"",VLOOKUP(F10,Employés!$A$2:$B$186,2,0))</f>
        <v/>
      </c>
      <c r="H10" s="82"/>
      <c r="I10" s="35"/>
      <c r="J10" s="29"/>
      <c r="K10" s="19"/>
      <c r="L10" s="20"/>
      <c r="M10" s="37" t="str">
        <f>IF(I10=0,"",VLOOKUP(I10,Municipalités!$A$2:$B$1290,2,TRUE))</f>
        <v/>
      </c>
    </row>
    <row r="11" spans="1:13" ht="30" customHeight="1" x14ac:dyDescent="0.25">
      <c r="A11" s="45"/>
      <c r="B11" s="45"/>
      <c r="C11" s="39"/>
      <c r="D11" s="47"/>
      <c r="E11" s="28" t="s">
        <v>1420</v>
      </c>
      <c r="F11" s="31"/>
      <c r="G11" s="82" t="str">
        <f>IF(F11=0,"",VLOOKUP(F11,Employés!$A$2:$B$186,2,0))</f>
        <v/>
      </c>
      <c r="H11" s="82"/>
      <c r="I11" s="35"/>
      <c r="J11" s="29"/>
      <c r="K11" s="19"/>
      <c r="L11" s="20"/>
      <c r="M11" s="37" t="str">
        <f>IF(I11=0,"",VLOOKUP(I11,Municipalités!$A$2:$B$1290,2,TRUE))</f>
        <v/>
      </c>
    </row>
    <row r="12" spans="1:13" ht="30" customHeight="1" x14ac:dyDescent="0.25">
      <c r="A12" s="45"/>
      <c r="B12" s="45"/>
      <c r="C12" s="39"/>
      <c r="D12" s="46"/>
      <c r="E12" s="27"/>
      <c r="F12" s="31"/>
      <c r="G12" s="82" t="str">
        <f>IF(F12=0,"",VLOOKUP(F12,Employés!$A$2:$B$186,2,0))</f>
        <v/>
      </c>
      <c r="H12" s="82"/>
      <c r="I12" s="35"/>
      <c r="J12" s="29"/>
      <c r="K12" s="19"/>
      <c r="L12" s="20"/>
      <c r="M12" s="37" t="str">
        <f>IF(I12=0,"",VLOOKUP(I12,Municipalités!$A$2:$B$1290,2,TRUE))</f>
        <v/>
      </c>
    </row>
    <row r="13" spans="1:13" ht="30" customHeight="1" x14ac:dyDescent="0.25">
      <c r="A13" s="45"/>
      <c r="B13" s="45"/>
      <c r="C13" s="39"/>
      <c r="D13" s="46"/>
      <c r="E13" s="27"/>
      <c r="F13" s="31"/>
      <c r="G13" s="82" t="str">
        <f>IF(F13=0,"",VLOOKUP(F13,Employés!$A$2:$B$186,2,0))</f>
        <v/>
      </c>
      <c r="H13" s="82"/>
      <c r="I13" s="35"/>
      <c r="J13" s="29"/>
      <c r="K13" s="19"/>
      <c r="L13" s="20"/>
      <c r="M13" s="37" t="str">
        <f>IF(I13=0,"",VLOOKUP(I13,Municipalités!$A$2:$B$1290,2,TRUE))</f>
        <v/>
      </c>
    </row>
    <row r="14" spans="1:13" ht="30" customHeight="1" x14ac:dyDescent="0.25">
      <c r="A14" s="45"/>
      <c r="B14" s="45"/>
      <c r="C14" s="39"/>
      <c r="D14" s="47"/>
      <c r="E14" s="27"/>
      <c r="F14" s="31"/>
      <c r="G14" s="82" t="str">
        <f>IF(F14=0,"",VLOOKUP(F14,Employés!$A$2:$B$186,2,0))</f>
        <v/>
      </c>
      <c r="H14" s="82"/>
      <c r="I14" s="35"/>
      <c r="J14" s="29"/>
      <c r="K14" s="19"/>
      <c r="L14" s="20"/>
      <c r="M14" s="37" t="str">
        <f>IF(I14=0,"",VLOOKUP(I14,Municipalités!$A$2:$B$1290,2,TRUE))</f>
        <v/>
      </c>
    </row>
    <row r="15" spans="1:13" ht="30" customHeight="1" x14ac:dyDescent="0.25">
      <c r="A15" s="45"/>
      <c r="B15" s="45"/>
      <c r="C15" s="39"/>
      <c r="D15" s="47"/>
      <c r="E15" s="27"/>
      <c r="F15" s="31"/>
      <c r="G15" s="82" t="str">
        <f>IF(F15=0,"",VLOOKUP(F15,Employés!$A$2:$B$186,2,0))</f>
        <v/>
      </c>
      <c r="H15" s="82"/>
      <c r="I15" s="35"/>
      <c r="J15" s="29"/>
      <c r="K15" s="19"/>
      <c r="L15" s="20"/>
      <c r="M15" s="37" t="str">
        <f>IF(I15=0,"",VLOOKUP(I15,Municipalités!$A$2:$B$1290,2,TRUE))</f>
        <v/>
      </c>
    </row>
    <row r="16" spans="1:13" ht="30" customHeight="1" x14ac:dyDescent="0.25">
      <c r="A16" s="45"/>
      <c r="B16" s="45"/>
      <c r="C16" s="39"/>
      <c r="D16" s="46"/>
      <c r="E16" s="27"/>
      <c r="F16" s="31"/>
      <c r="G16" s="82" t="str">
        <f>IF(F16=0,"",VLOOKUP(F16,Employés!$A$2:$B$186,2,0))</f>
        <v/>
      </c>
      <c r="H16" s="82"/>
      <c r="I16" s="35"/>
      <c r="J16" s="29"/>
      <c r="K16" s="19"/>
      <c r="L16" s="20"/>
      <c r="M16" s="37" t="str">
        <f>IF(I16=0,"",VLOOKUP(I16,Municipalités!$A$2:$B$1290,2,TRUE))</f>
        <v/>
      </c>
    </row>
    <row r="17" spans="1:13" ht="30" customHeight="1" x14ac:dyDescent="0.25">
      <c r="A17" s="45"/>
      <c r="B17" s="45"/>
      <c r="C17" s="39"/>
      <c r="D17" s="46"/>
      <c r="E17" s="27"/>
      <c r="F17" s="31"/>
      <c r="G17" s="82" t="str">
        <f>IF(F17=0,"",VLOOKUP(F17,Employés!$A$2:$B$186,2,0))</f>
        <v/>
      </c>
      <c r="H17" s="82"/>
      <c r="I17" s="35"/>
      <c r="J17" s="29"/>
      <c r="K17" s="19"/>
      <c r="L17" s="20"/>
      <c r="M17" s="37" t="str">
        <f>IF(I17=0,"",VLOOKUP(I17,Municipalités!$A$2:$B$1290,2,TRUE))</f>
        <v/>
      </c>
    </row>
    <row r="18" spans="1:13" ht="30" customHeight="1" x14ac:dyDescent="0.25">
      <c r="A18" s="45"/>
      <c r="B18" s="45"/>
      <c r="C18" s="39"/>
      <c r="D18" s="46"/>
      <c r="E18" s="27"/>
      <c r="F18" s="31"/>
      <c r="G18" s="82" t="str">
        <f>IF(F18=0,"",VLOOKUP(F18,Employés!$A$2:$B$186,2,0))</f>
        <v/>
      </c>
      <c r="H18" s="82"/>
      <c r="I18" s="35"/>
      <c r="J18" s="29"/>
      <c r="K18" s="19"/>
      <c r="L18" s="20"/>
      <c r="M18" s="37" t="str">
        <f>IF(I18=0,"",VLOOKUP(I18,Municipalités!$A$2:$B$1290,2,TRUE))</f>
        <v/>
      </c>
    </row>
    <row r="19" spans="1:13" ht="30" customHeight="1" x14ac:dyDescent="0.25">
      <c r="A19" s="45"/>
      <c r="B19" s="45"/>
      <c r="C19" s="39"/>
      <c r="D19" s="46"/>
      <c r="E19" s="27"/>
      <c r="F19" s="31"/>
      <c r="G19" s="82" t="str">
        <f>IF(F19=0,"",VLOOKUP(F19,Employés!$A$2:$B$186,2,0))</f>
        <v/>
      </c>
      <c r="H19" s="82"/>
      <c r="I19" s="35"/>
      <c r="J19" s="29"/>
      <c r="K19" s="19"/>
      <c r="L19" s="20"/>
      <c r="M19" s="37" t="str">
        <f>IF(I19=0,"",VLOOKUP(I19,Municipalités!$A$2:$B$1290,2,TRUE))</f>
        <v/>
      </c>
    </row>
    <row r="20" spans="1:13" ht="30" customHeight="1" x14ac:dyDescent="0.25">
      <c r="A20" s="45"/>
      <c r="B20" s="45"/>
      <c r="C20" s="39"/>
      <c r="D20" s="47"/>
      <c r="E20" s="27"/>
      <c r="F20" s="31"/>
      <c r="G20" s="82" t="str">
        <f>IF(F20=0,"",VLOOKUP(F20,Employés!$A$2:$B$186,2,0))</f>
        <v/>
      </c>
      <c r="H20" s="82"/>
      <c r="I20" s="35"/>
      <c r="J20" s="29"/>
      <c r="K20" s="19"/>
      <c r="L20" s="20"/>
      <c r="M20" s="37" t="str">
        <f>IF(I20=0,"",VLOOKUP(I20,Municipalités!$A$2:$B$1290,2,TRUE))</f>
        <v/>
      </c>
    </row>
    <row r="21" spans="1:13" ht="30" customHeight="1" x14ac:dyDescent="0.25">
      <c r="A21" s="45"/>
      <c r="B21" s="45"/>
      <c r="C21" s="39"/>
      <c r="D21" s="47"/>
      <c r="E21" s="27"/>
      <c r="F21" s="31"/>
      <c r="G21" s="82" t="str">
        <f>IF(F21=0,"",VLOOKUP(F21,Employés!$A$2:$B$186,2,0))</f>
        <v/>
      </c>
      <c r="H21" s="82"/>
      <c r="I21" s="35"/>
      <c r="J21" s="29"/>
      <c r="K21" s="19"/>
      <c r="L21" s="20"/>
      <c r="M21" s="37" t="str">
        <f>IF(I21=0,"",VLOOKUP(I21,Municipalités!$A$2:$B$1290,2,TRUE))</f>
        <v/>
      </c>
    </row>
    <row r="22" spans="1:13" ht="30" customHeight="1" x14ac:dyDescent="0.25">
      <c r="A22" s="45"/>
      <c r="B22" s="45"/>
      <c r="C22" s="39"/>
      <c r="D22" s="46"/>
      <c r="E22" s="27"/>
      <c r="F22" s="31"/>
      <c r="G22" s="82" t="str">
        <f>IF(F22=0,"",VLOOKUP(F22,Employés!$A$2:$B$186,2,0))</f>
        <v/>
      </c>
      <c r="H22" s="82"/>
      <c r="I22" s="35"/>
      <c r="J22" s="29"/>
      <c r="K22" s="19"/>
      <c r="L22" s="20"/>
      <c r="M22" s="37" t="str">
        <f>IF(I22=0,"",VLOOKUP(I22,Municipalités!$A$2:$B$1290,2,TRUE))</f>
        <v/>
      </c>
    </row>
    <row r="23" spans="1:13" ht="30" customHeight="1" x14ac:dyDescent="0.25">
      <c r="A23" s="45"/>
      <c r="B23" s="45"/>
      <c r="C23" s="39"/>
      <c r="D23" s="46"/>
      <c r="E23" s="27"/>
      <c r="F23" s="31"/>
      <c r="G23" s="82" t="str">
        <f>IF(F23=0,"",VLOOKUP(F23,Employés!$A$2:$B$186,2,0))</f>
        <v/>
      </c>
      <c r="H23" s="82"/>
      <c r="I23" s="35"/>
      <c r="J23" s="29"/>
      <c r="K23" s="19"/>
      <c r="L23" s="20"/>
      <c r="M23" s="37" t="str">
        <f>IF(I23=0,"",VLOOKUP(I23,Municipalités!$A$2:$B$1290,2,TRUE))</f>
        <v/>
      </c>
    </row>
    <row r="24" spans="1:13" ht="30" customHeight="1" x14ac:dyDescent="0.25">
      <c r="A24" s="45"/>
      <c r="B24" s="45"/>
      <c r="C24" s="39"/>
      <c r="D24" s="46"/>
      <c r="E24" s="27"/>
      <c r="F24" s="31"/>
      <c r="G24" s="82" t="str">
        <f>IF(F24=0,"",VLOOKUP(F24,Employés!$A$2:$B$186,2,0))</f>
        <v/>
      </c>
      <c r="H24" s="82"/>
      <c r="I24" s="35"/>
      <c r="J24" s="29"/>
      <c r="K24" s="19"/>
      <c r="L24" s="20"/>
      <c r="M24" s="37" t="str">
        <f>IF(I24=0,"",VLOOKUP(I24,Municipalités!$A$2:$B$1290,2,TRUE))</f>
        <v/>
      </c>
    </row>
    <row r="25" spans="1:13" ht="30" customHeight="1" x14ac:dyDescent="0.25">
      <c r="A25" s="45"/>
      <c r="B25" s="45"/>
      <c r="C25" s="39"/>
      <c r="D25" s="46"/>
      <c r="E25" s="27"/>
      <c r="F25" s="31"/>
      <c r="G25" s="82" t="str">
        <f>IF(F25=0,"",VLOOKUP(F25,Employés!$A$2:$B$186,2,0))</f>
        <v/>
      </c>
      <c r="H25" s="82"/>
      <c r="I25" s="35"/>
      <c r="J25" s="29"/>
      <c r="K25" s="19"/>
      <c r="L25" s="20"/>
      <c r="M25" s="37" t="str">
        <f>IF(I25=0,"",VLOOKUP(I25,Municipalités!$A$2:$B$1290,2,TRUE))</f>
        <v/>
      </c>
    </row>
    <row r="26" spans="1:13" ht="30" customHeight="1" x14ac:dyDescent="0.25">
      <c r="A26" s="45"/>
      <c r="B26" s="45"/>
      <c r="C26" s="39"/>
      <c r="D26" s="46"/>
      <c r="E26" s="27"/>
      <c r="F26" s="31"/>
      <c r="G26" s="82" t="str">
        <f>IF(F26=0,"",VLOOKUP(F26,Employés!$A$2:$B$186,2,0))</f>
        <v/>
      </c>
      <c r="H26" s="82"/>
      <c r="I26" s="35"/>
      <c r="J26" s="29"/>
      <c r="K26" s="19"/>
      <c r="L26" s="20"/>
      <c r="M26" s="37" t="str">
        <f>IF(I26=0,"",VLOOKUP(I26,Municipalités!$A$2:$B$1290,2,TRUE))</f>
        <v/>
      </c>
    </row>
    <row r="27" spans="1:13" ht="30" customHeight="1" x14ac:dyDescent="0.25">
      <c r="A27" s="45"/>
      <c r="B27" s="45"/>
      <c r="C27" s="39"/>
      <c r="D27" s="46"/>
      <c r="E27" s="27"/>
      <c r="F27" s="31"/>
      <c r="G27" s="82" t="str">
        <f>IF(F27=0,"",VLOOKUP(F27,Employés!$A$2:$B$186,2,0))</f>
        <v/>
      </c>
      <c r="H27" s="82"/>
      <c r="I27" s="35"/>
      <c r="J27" s="29"/>
      <c r="K27" s="19"/>
      <c r="L27" s="20"/>
      <c r="M27" s="37" t="str">
        <f>IF(I27=0,"",VLOOKUP(I27,Municipalités!$A$2:$B$1290,2,TRUE))</f>
        <v/>
      </c>
    </row>
    <row r="28" spans="1:13" ht="30" customHeight="1" x14ac:dyDescent="0.25">
      <c r="A28" s="45"/>
      <c r="B28" s="45"/>
      <c r="C28" s="39"/>
      <c r="D28" s="46"/>
      <c r="E28" s="27"/>
      <c r="F28" s="31"/>
      <c r="G28" s="82" t="str">
        <f>IF(F28=0,"",VLOOKUP(F28,Employés!$A$2:$B$186,2,0))</f>
        <v/>
      </c>
      <c r="H28" s="82"/>
      <c r="I28" s="35"/>
      <c r="J28" s="29"/>
      <c r="K28" s="19"/>
      <c r="L28" s="20"/>
      <c r="M28" s="37" t="str">
        <f>IF(I28=0,"",VLOOKUP(I28,Municipalités!$A$2:$B$1290,2,TRUE))</f>
        <v/>
      </c>
    </row>
    <row r="29" spans="1:13" ht="30" customHeight="1" x14ac:dyDescent="0.25">
      <c r="A29" s="45"/>
      <c r="B29" s="45"/>
      <c r="C29" s="39"/>
      <c r="D29" s="46"/>
      <c r="E29" s="27"/>
      <c r="F29" s="31"/>
      <c r="G29" s="82" t="str">
        <f>IF(F29=0,"",VLOOKUP(F29,Employés!$A$2:$B$186,2,0))</f>
        <v/>
      </c>
      <c r="H29" s="82"/>
      <c r="I29" s="35"/>
      <c r="J29" s="29"/>
      <c r="K29" s="19"/>
      <c r="L29" s="20"/>
      <c r="M29" s="37" t="str">
        <f>IF(I29=0,"",VLOOKUP(I29,Municipalités!$A$2:$B$1290,2,TRUE))</f>
        <v/>
      </c>
    </row>
    <row r="30" spans="1:13" ht="30" customHeight="1" x14ac:dyDescent="0.25">
      <c r="A30" s="45"/>
      <c r="B30" s="45"/>
      <c r="C30" s="39"/>
      <c r="D30" s="46"/>
      <c r="E30" s="27"/>
      <c r="F30" s="31"/>
      <c r="G30" s="82" t="str">
        <f>IF(F30=0,"",VLOOKUP(F30,Employés!$A$2:$B$186,2,0))</f>
        <v/>
      </c>
      <c r="H30" s="82"/>
      <c r="I30" s="35"/>
      <c r="J30" s="29"/>
      <c r="K30" s="19"/>
      <c r="L30" s="20"/>
      <c r="M30" s="37" t="str">
        <f>IF(I30=0,"",VLOOKUP(I30,Municipalités!$A$2:$B$1290,2,TRUE))</f>
        <v/>
      </c>
    </row>
    <row r="31" spans="1:13" ht="30" customHeight="1" x14ac:dyDescent="0.25">
      <c r="A31" s="45"/>
      <c r="B31" s="45"/>
      <c r="C31" s="39"/>
      <c r="D31" s="47"/>
      <c r="E31" s="27"/>
      <c r="F31" s="31"/>
      <c r="G31" s="82" t="str">
        <f>IF(F31=0,"",VLOOKUP(F31,Employés!$A$2:$B$186,2,0))</f>
        <v/>
      </c>
      <c r="H31" s="82"/>
      <c r="I31" s="35"/>
      <c r="J31" s="29"/>
      <c r="K31" s="19"/>
      <c r="L31" s="20"/>
      <c r="M31" s="37" t="str">
        <f>IF(I31=0,"",VLOOKUP(I31,Municipalités!$A$2:$B$1290,2,TRUE))</f>
        <v/>
      </c>
    </row>
    <row r="32" spans="1:13" ht="30" customHeight="1" x14ac:dyDescent="0.25">
      <c r="A32" s="45"/>
      <c r="B32" s="45"/>
      <c r="C32" s="39"/>
      <c r="D32" s="46"/>
      <c r="E32" s="27"/>
      <c r="F32" s="31"/>
      <c r="G32" s="82" t="str">
        <f>IF(F32=0,"",VLOOKUP(F32,Employés!$A$2:$B$186,2,0))</f>
        <v/>
      </c>
      <c r="H32" s="82"/>
      <c r="I32" s="35"/>
      <c r="J32" s="29"/>
      <c r="K32" s="19"/>
      <c r="L32" s="20"/>
      <c r="M32" s="37" t="str">
        <f>IF(I32=0,"",VLOOKUP(I32,Municipalités!$A$2:$B$1290,2,TRUE))</f>
        <v/>
      </c>
    </row>
    <row r="33" spans="1:13" ht="30" customHeight="1" x14ac:dyDescent="0.25">
      <c r="A33" s="45"/>
      <c r="B33" s="45"/>
      <c r="C33" s="39"/>
      <c r="D33" s="46"/>
      <c r="E33" s="27"/>
      <c r="F33" s="31"/>
      <c r="G33" s="82" t="str">
        <f>IF(F33=0,"",VLOOKUP(F33,Employés!$A$2:$B$186,2,0))</f>
        <v/>
      </c>
      <c r="H33" s="82"/>
      <c r="I33" s="35"/>
      <c r="J33" s="29"/>
      <c r="K33" s="19"/>
      <c r="L33" s="20"/>
      <c r="M33" s="37" t="str">
        <f>IF(I33=0,"",VLOOKUP(I33,Municipalités!$A$2:$B$1290,2,TRUE))</f>
        <v/>
      </c>
    </row>
    <row r="34" spans="1:13" ht="30" customHeight="1" x14ac:dyDescent="0.25">
      <c r="A34" s="45"/>
      <c r="B34" s="45"/>
      <c r="C34" s="39"/>
      <c r="D34" s="46"/>
      <c r="E34" s="27"/>
      <c r="F34" s="31"/>
      <c r="G34" s="82" t="str">
        <f>IF(F34=0,"",VLOOKUP(F34,Employés!$A$2:$B$186,2,0))</f>
        <v/>
      </c>
      <c r="H34" s="82"/>
      <c r="I34" s="35"/>
      <c r="J34" s="29"/>
      <c r="K34" s="19"/>
      <c r="L34" s="20"/>
      <c r="M34" s="37" t="str">
        <f>IF(I34=0,"",VLOOKUP(I34,Municipalités!$A$2:$B$1290,2,TRUE))</f>
        <v/>
      </c>
    </row>
    <row r="35" spans="1:13" ht="30" customHeight="1" x14ac:dyDescent="0.25">
      <c r="A35" s="45"/>
      <c r="B35" s="45"/>
      <c r="C35" s="30"/>
      <c r="D35" s="46"/>
      <c r="E35" s="27"/>
      <c r="F35" s="31"/>
      <c r="G35" s="82" t="str">
        <f>IF(F35=0,"",VLOOKUP(F35,Employés!$A$2:$B$186,2,0))</f>
        <v/>
      </c>
      <c r="H35" s="82"/>
      <c r="I35" s="35"/>
      <c r="J35" s="29"/>
      <c r="K35" s="19"/>
      <c r="L35" s="20"/>
      <c r="M35" s="37" t="str">
        <f>IF(I35=0,"",VLOOKUP(I35,Municipalités!$A$2:$B$1290,2,TRUE))</f>
        <v/>
      </c>
    </row>
    <row r="36" spans="1:13" ht="30" customHeight="1" x14ac:dyDescent="0.25">
      <c r="A36" s="45"/>
      <c r="B36" s="45"/>
      <c r="C36" s="30"/>
      <c r="D36" s="46"/>
      <c r="E36" s="27"/>
      <c r="F36" s="31"/>
      <c r="G36" s="82" t="str">
        <f>IF(F36=0,"",VLOOKUP(F36,Employés!$A$2:$B$186,2,0))</f>
        <v/>
      </c>
      <c r="H36" s="82"/>
      <c r="I36" s="35"/>
      <c r="J36" s="29"/>
      <c r="K36" s="19"/>
      <c r="L36" s="20"/>
      <c r="M36" s="37" t="str">
        <f>IF(I36=0,"",VLOOKUP(I36,Municipalités!$A$2:$B$1290,2,TRUE))</f>
        <v/>
      </c>
    </row>
    <row r="37" spans="1:13" ht="30" customHeight="1" x14ac:dyDescent="0.25">
      <c r="A37" s="45"/>
      <c r="B37" s="45"/>
      <c r="C37" s="39"/>
      <c r="D37" s="46"/>
      <c r="E37" s="27"/>
      <c r="F37" s="31"/>
      <c r="G37" s="82" t="str">
        <f>IF(F37=0,"",VLOOKUP(F37,Employés!$A$2:$B$186,2,0))</f>
        <v/>
      </c>
      <c r="H37" s="82"/>
      <c r="I37" s="35"/>
      <c r="J37" s="29"/>
      <c r="K37" s="19"/>
      <c r="L37" s="20"/>
      <c r="M37" s="37" t="str">
        <f>IF(I37=0,"",VLOOKUP(I37,Municipalités!$A$2:$B$1290,2,TRUE))</f>
        <v/>
      </c>
    </row>
    <row r="38" spans="1:13" ht="30" customHeight="1" x14ac:dyDescent="0.25">
      <c r="A38" s="45"/>
      <c r="B38" s="45"/>
      <c r="C38" s="39"/>
      <c r="D38" s="47"/>
      <c r="E38" s="27"/>
      <c r="F38" s="31"/>
      <c r="G38" s="82" t="str">
        <f>IF(F38=0,"",VLOOKUP(F38,Employés!$A$2:$B$186,2,0))</f>
        <v/>
      </c>
      <c r="H38" s="82"/>
      <c r="I38" s="35"/>
      <c r="J38" s="29"/>
      <c r="K38" s="19"/>
      <c r="L38" s="20"/>
      <c r="M38" s="37" t="str">
        <f>IF(I38=0,"",VLOOKUP(I38,Municipalités!$A$2:$B$1290,2,TRUE))</f>
        <v/>
      </c>
    </row>
    <row r="39" spans="1:13" ht="30" customHeight="1" x14ac:dyDescent="0.25">
      <c r="A39" s="45"/>
      <c r="B39" s="45"/>
      <c r="C39" s="39"/>
      <c r="D39" s="45"/>
      <c r="E39" s="27"/>
      <c r="F39" s="31"/>
      <c r="G39" s="82" t="str">
        <f>IF(F39=0,"",VLOOKUP(F39,Employés!$A$2:$B$186,2,0))</f>
        <v/>
      </c>
      <c r="H39" s="82"/>
      <c r="I39" s="35"/>
      <c r="J39" s="29"/>
      <c r="K39" s="26"/>
      <c r="L39" s="25"/>
      <c r="M39" s="37" t="str">
        <f>IF(I39=0,"",VLOOKUP(I39,Municipalités!$A$2:$B$1290,2,TRUE))</f>
        <v/>
      </c>
    </row>
    <row r="40" spans="1:13" ht="30" customHeight="1" x14ac:dyDescent="0.25">
      <c r="A40" s="8"/>
      <c r="B40" s="8"/>
      <c r="C40" s="30"/>
      <c r="D40" s="8"/>
      <c r="E40" s="27"/>
      <c r="F40" s="31"/>
      <c r="G40" s="82" t="str">
        <f>IF(F40=0,"",VLOOKUP(F40,Employés!$A$2:$B$186,2,0))</f>
        <v/>
      </c>
      <c r="H40" s="82"/>
      <c r="I40" s="35"/>
      <c r="J40" s="29"/>
      <c r="K40" s="26"/>
      <c r="L40" s="25"/>
      <c r="M40" s="37" t="str">
        <f>IF(I40=0,"",VLOOKUP(I40,Municipalités!$A$2:$B$1290,2,TRUE))</f>
        <v/>
      </c>
    </row>
    <row r="41" spans="1:13" ht="30" customHeight="1" x14ac:dyDescent="0.25">
      <c r="A41" s="8"/>
      <c r="B41" s="8"/>
      <c r="C41" s="30"/>
      <c r="D41" s="8"/>
      <c r="E41" s="27"/>
      <c r="F41" s="31"/>
      <c r="G41" s="82" t="str">
        <f>IF(F41=0,"",VLOOKUP(F41,Employés!$A$2:$B$186,2,0))</f>
        <v/>
      </c>
      <c r="H41" s="82"/>
      <c r="I41" s="35"/>
      <c r="J41" s="29"/>
      <c r="K41" s="26"/>
      <c r="L41" s="25"/>
      <c r="M41" s="37" t="str">
        <f>IF(I41=0,"",VLOOKUP(I41,Municipalités!$A$2:$B$1290,2,TRUE))</f>
        <v/>
      </c>
    </row>
    <row r="42" spans="1:13" ht="30" customHeight="1" x14ac:dyDescent="0.25">
      <c r="A42" s="8"/>
      <c r="B42" s="8"/>
      <c r="C42" s="30"/>
      <c r="D42" s="8"/>
      <c r="E42" s="27"/>
      <c r="F42" s="31"/>
      <c r="G42" s="82" t="str">
        <f>IF(F42=0,"",VLOOKUP(F42,Employés!$A$2:$B$186,2,0))</f>
        <v/>
      </c>
      <c r="H42" s="82"/>
      <c r="I42" s="35"/>
      <c r="J42" s="29"/>
      <c r="K42" s="26"/>
      <c r="L42" s="25"/>
      <c r="M42" s="37" t="str">
        <f>IF(I42=0,"",VLOOKUP(I42,Municipalités!$A$2:$B$1290,2,TRUE))</f>
        <v/>
      </c>
    </row>
    <row r="43" spans="1:13" ht="30" customHeight="1" x14ac:dyDescent="0.25">
      <c r="A43" s="8"/>
      <c r="B43" s="8"/>
      <c r="C43" s="30"/>
      <c r="D43" s="8"/>
      <c r="E43" s="27" t="s">
        <v>1420</v>
      </c>
      <c r="F43" s="31"/>
      <c r="G43" s="82" t="str">
        <f>IF(F43=0,"",VLOOKUP(F43,Employés!$A$2:$B$186,2,0))</f>
        <v/>
      </c>
      <c r="H43" s="82"/>
      <c r="I43" s="35"/>
      <c r="J43" s="29"/>
      <c r="K43" s="26"/>
      <c r="L43" s="25" t="s">
        <v>1420</v>
      </c>
      <c r="M43" s="37" t="str">
        <f>IF(I43=0,"",VLOOKUP(I43,Municipalités!$A$2:$B$1290,2,TRUE))</f>
        <v/>
      </c>
    </row>
    <row r="44" spans="1:13" ht="30" customHeight="1" x14ac:dyDescent="0.25">
      <c r="A44" s="8"/>
      <c r="B44" s="8"/>
      <c r="C44" s="30"/>
      <c r="D44" s="8"/>
      <c r="E44" s="27"/>
      <c r="F44" s="31"/>
      <c r="G44" s="82" t="str">
        <f>IF(F44=0,"",VLOOKUP(F44,Employés!$A$2:$B$186,2,0))</f>
        <v/>
      </c>
      <c r="H44" s="82"/>
      <c r="I44" s="35"/>
      <c r="J44" s="29"/>
      <c r="K44" s="26"/>
      <c r="L44" s="25"/>
      <c r="M44" s="37" t="str">
        <f>IF(I44=0,"",VLOOKUP(I44,Municipalités!$A$2:$B$1290,2,TRUE))</f>
        <v/>
      </c>
    </row>
    <row r="45" spans="1:13" ht="30" customHeight="1" x14ac:dyDescent="0.25">
      <c r="A45" s="8"/>
      <c r="B45" s="8"/>
      <c r="C45" s="30"/>
      <c r="D45" s="8"/>
      <c r="E45" s="27"/>
      <c r="F45" s="31"/>
      <c r="G45" s="82" t="str">
        <f>IF(F45=0,"",VLOOKUP(F45,Employés!$A$2:$B$186,2,0))</f>
        <v/>
      </c>
      <c r="H45" s="82"/>
      <c r="I45" s="35"/>
      <c r="J45" s="29"/>
      <c r="K45" s="26"/>
      <c r="L45" s="25"/>
      <c r="M45" s="37" t="str">
        <f>IF(I45=0,"",VLOOKUP(I45,Municipalités!$A$2:$B$1290,2,TRUE))</f>
        <v/>
      </c>
    </row>
    <row r="46" spans="1:13" ht="30" customHeight="1" x14ac:dyDescent="0.25">
      <c r="A46" s="8"/>
      <c r="B46" s="8"/>
      <c r="C46" s="30"/>
      <c r="D46" s="8"/>
      <c r="E46" s="27"/>
      <c r="F46" s="31"/>
      <c r="G46" s="82" t="str">
        <f>IF(F46=0,"",VLOOKUP(F46,Employés!$A$2:$B$186,2,0))</f>
        <v/>
      </c>
      <c r="H46" s="82"/>
      <c r="I46" s="35"/>
      <c r="J46" s="29"/>
      <c r="K46" s="26"/>
      <c r="L46" s="25"/>
      <c r="M46" s="37" t="str">
        <f>IF(I46=0,"",VLOOKUP(I46,Municipalités!$A$2:$B$1290,2,TRUE))</f>
        <v/>
      </c>
    </row>
    <row r="47" spans="1:13" ht="30" customHeight="1" x14ac:dyDescent="0.25">
      <c r="A47" s="8"/>
      <c r="B47" s="8"/>
      <c r="C47" s="30"/>
      <c r="D47" s="8"/>
      <c r="E47" s="27"/>
      <c r="F47" s="31"/>
      <c r="G47" s="82" t="str">
        <f>IF(F47=0,"",VLOOKUP(F47,Employés!$A$2:$B$186,2,0))</f>
        <v/>
      </c>
      <c r="H47" s="82"/>
      <c r="I47" s="35"/>
      <c r="J47" s="29"/>
      <c r="K47" s="26"/>
      <c r="L47" s="25"/>
      <c r="M47" s="37" t="str">
        <f>IF(I47=0,"",VLOOKUP(I47,Municipalités!$A$2:$B$1290,2,TRUE))</f>
        <v/>
      </c>
    </row>
    <row r="48" spans="1:13" ht="30" customHeight="1" x14ac:dyDescent="0.25">
      <c r="A48" s="8"/>
      <c r="B48" s="8"/>
      <c r="C48" s="30"/>
      <c r="D48" s="8"/>
      <c r="E48" s="27"/>
      <c r="F48" s="31"/>
      <c r="G48" s="82" t="str">
        <f>IF(F48=0,"",VLOOKUP(F48,Employés!$A$2:$B$186,2,0))</f>
        <v/>
      </c>
      <c r="H48" s="82"/>
      <c r="I48" s="35"/>
      <c r="J48" s="29"/>
      <c r="K48" s="26"/>
      <c r="L48" s="25"/>
      <c r="M48" s="37" t="str">
        <f>IF(I48=0,"",VLOOKUP(I48,Municipalités!$A$2:$B$1290,2,TRUE))</f>
        <v/>
      </c>
    </row>
    <row r="49" spans="1:13" ht="30" customHeight="1" x14ac:dyDescent="0.25">
      <c r="A49" s="8"/>
      <c r="B49" s="8"/>
      <c r="C49" s="30"/>
      <c r="D49" s="8"/>
      <c r="E49" s="27"/>
      <c r="F49" s="31"/>
      <c r="G49" s="82" t="str">
        <f>IF(F49=0,"",VLOOKUP(F49,Employés!$A$2:$B$186,2,0))</f>
        <v/>
      </c>
      <c r="H49" s="82"/>
      <c r="I49" s="35"/>
      <c r="J49" s="29"/>
      <c r="K49" s="26"/>
      <c r="L49" s="25"/>
      <c r="M49" s="37" t="str">
        <f>IF(I49=0,"",VLOOKUP(I49,Municipalités!$A$2:$B$1290,2,TRUE))</f>
        <v/>
      </c>
    </row>
    <row r="50" spans="1:13" ht="30" customHeight="1" x14ac:dyDescent="0.25">
      <c r="A50" s="8"/>
      <c r="B50" s="8"/>
      <c r="C50" s="30"/>
      <c r="D50" s="8"/>
      <c r="E50" s="27"/>
      <c r="F50" s="31"/>
      <c r="G50" s="82" t="str">
        <f>IF(F50=0,"",VLOOKUP(F50,Employés!$A$2:$B$186,2,0))</f>
        <v/>
      </c>
      <c r="H50" s="82"/>
      <c r="I50" s="35"/>
      <c r="J50" s="29"/>
      <c r="K50" s="26"/>
      <c r="L50" s="25"/>
      <c r="M50" s="37" t="str">
        <f>IF(I50=0,"",VLOOKUP(I50,Municipalités!$A$2:$B$1290,2,TRUE))</f>
        <v/>
      </c>
    </row>
    <row r="51" spans="1:13" ht="30" customHeight="1" x14ac:dyDescent="0.25">
      <c r="A51" s="8"/>
      <c r="B51" s="8"/>
      <c r="C51" s="30"/>
      <c r="D51" s="8"/>
      <c r="E51" s="27"/>
      <c r="F51" s="31"/>
      <c r="G51" s="82" t="str">
        <f>IF(F51=0,"",VLOOKUP(F51,Employés!$A$2:$B$186,2,0))</f>
        <v/>
      </c>
      <c r="H51" s="82"/>
      <c r="I51" s="35"/>
      <c r="J51" s="29"/>
      <c r="K51" s="26"/>
      <c r="L51" s="25"/>
      <c r="M51" s="37" t="str">
        <f>IF(I51=0,"",VLOOKUP(I51,Municipalités!$A$2:$B$1290,2,TRUE))</f>
        <v/>
      </c>
    </row>
    <row r="52" spans="1:13" ht="30" customHeight="1" x14ac:dyDescent="0.25">
      <c r="A52" s="8"/>
      <c r="B52" s="8"/>
      <c r="C52" s="30"/>
      <c r="D52" s="8"/>
      <c r="E52" s="27"/>
      <c r="F52" s="31"/>
      <c r="G52" s="82" t="str">
        <f>IF(F52=0,"",VLOOKUP(F52,Employés!$A$2:$B$186,2,0))</f>
        <v/>
      </c>
      <c r="H52" s="82"/>
      <c r="I52" s="35"/>
      <c r="J52" s="29"/>
      <c r="K52" s="26"/>
      <c r="L52" s="25"/>
      <c r="M52" s="37" t="str">
        <f>IF(I52=0,"",VLOOKUP(I52,Municipalités!$A$2:$B$1290,2,TRUE))</f>
        <v/>
      </c>
    </row>
    <row r="53" spans="1:13" ht="30" customHeight="1" x14ac:dyDescent="0.25">
      <c r="A53" s="8"/>
      <c r="B53" s="8"/>
      <c r="C53" s="30"/>
      <c r="D53" s="8"/>
      <c r="E53" s="27"/>
      <c r="F53" s="31"/>
      <c r="G53" s="82" t="str">
        <f>IF(F53=0,"",VLOOKUP(F53,Employés!$A$2:$B$186,2,0))</f>
        <v/>
      </c>
      <c r="H53" s="82"/>
      <c r="I53" s="35"/>
      <c r="J53" s="29"/>
      <c r="K53" s="26"/>
      <c r="L53" s="25"/>
      <c r="M53" s="37" t="str">
        <f>IF(I53=0,"",VLOOKUP(I53,Municipalités!$A$2:$B$1290,2,TRUE))</f>
        <v/>
      </c>
    </row>
    <row r="54" spans="1:13" ht="30" customHeight="1" x14ac:dyDescent="0.25">
      <c r="A54" s="8"/>
      <c r="B54" s="8"/>
      <c r="C54" s="30"/>
      <c r="D54" s="8"/>
      <c r="E54" s="27"/>
      <c r="F54" s="31"/>
      <c r="G54" s="82" t="str">
        <f>IF(F54=0,"",VLOOKUP(F54,Employés!$A$2:$B$186,2,0))</f>
        <v/>
      </c>
      <c r="H54" s="82"/>
      <c r="I54" s="35"/>
      <c r="J54" s="29"/>
      <c r="K54" s="26"/>
      <c r="L54" s="25"/>
      <c r="M54" s="37" t="str">
        <f>IF(I54=0,"",VLOOKUP(I54,Municipalités!$A$2:$B$1290,2,TRUE))</f>
        <v/>
      </c>
    </row>
    <row r="55" spans="1:13" ht="30" customHeight="1" x14ac:dyDescent="0.25">
      <c r="A55" s="8"/>
      <c r="B55" s="8"/>
      <c r="C55" s="30"/>
      <c r="D55" s="8"/>
      <c r="E55" s="27"/>
      <c r="F55" s="31"/>
      <c r="G55" s="82" t="str">
        <f>IF(F55=0,"",VLOOKUP(F55,Employés!$A$2:$B$186,2,0))</f>
        <v/>
      </c>
      <c r="H55" s="82"/>
      <c r="I55" s="35"/>
      <c r="J55" s="29"/>
      <c r="K55" s="26"/>
      <c r="L55" s="25"/>
      <c r="M55" s="37" t="str">
        <f>IF(I55=0,"",VLOOKUP(I55,Municipalités!$A$2:$B$1290,2,TRUE))</f>
        <v/>
      </c>
    </row>
    <row r="56" spans="1:13" ht="30" customHeight="1" x14ac:dyDescent="0.25">
      <c r="A56" s="8"/>
      <c r="B56" s="8"/>
      <c r="C56" s="30"/>
      <c r="D56" s="8"/>
      <c r="E56" s="27"/>
      <c r="F56" s="31"/>
      <c r="G56" s="82" t="str">
        <f>IF(F56=0,"",VLOOKUP(F56,Employés!$A$2:$B$186,2,0))</f>
        <v/>
      </c>
      <c r="H56" s="82"/>
      <c r="I56" s="35"/>
      <c r="J56" s="29"/>
      <c r="K56" s="26"/>
      <c r="L56" s="25"/>
      <c r="M56" s="37" t="str">
        <f>IF(I56=0,"",VLOOKUP(I56,Municipalités!$A$2:$B$1290,2,TRUE))</f>
        <v/>
      </c>
    </row>
    <row r="57" spans="1:13" ht="30" customHeight="1" x14ac:dyDescent="0.25">
      <c r="A57" s="8"/>
      <c r="B57" s="8"/>
      <c r="C57" s="30"/>
      <c r="D57" s="8"/>
      <c r="E57" s="27"/>
      <c r="F57" s="31"/>
      <c r="G57" s="82" t="str">
        <f>IF(F57=0,"",VLOOKUP(F57,Employés!$A$2:$B$186,2,0))</f>
        <v/>
      </c>
      <c r="H57" s="82"/>
      <c r="I57" s="35"/>
      <c r="J57" s="29"/>
      <c r="K57" s="26"/>
      <c r="L57" s="25"/>
      <c r="M57" s="37" t="str">
        <f>IF(I57=0,"",VLOOKUP(I57,Municipalités!$A$2:$B$1290,2,TRUE))</f>
        <v/>
      </c>
    </row>
    <row r="58" spans="1:13" ht="30" customHeight="1" x14ac:dyDescent="0.25">
      <c r="A58" s="8"/>
      <c r="B58" s="8"/>
      <c r="C58" s="30"/>
      <c r="D58" s="8"/>
      <c r="E58" s="27"/>
      <c r="F58" s="31"/>
      <c r="G58" s="82" t="str">
        <f>IF(F58=0,"",VLOOKUP(F58,Employés!$A$2:$B$186,2,0))</f>
        <v/>
      </c>
      <c r="H58" s="82"/>
      <c r="I58" s="35"/>
      <c r="J58" s="29"/>
      <c r="K58" s="26"/>
      <c r="L58" s="25"/>
      <c r="M58" s="37" t="str">
        <f>IF(I58=0,"",VLOOKUP(I58,Municipalités!$A$2:$B$1290,2,TRUE))</f>
        <v/>
      </c>
    </row>
    <row r="59" spans="1:13" ht="30" customHeight="1" x14ac:dyDescent="0.25">
      <c r="A59" s="8"/>
      <c r="B59" s="8"/>
      <c r="C59" s="30"/>
      <c r="D59" s="8"/>
      <c r="E59" s="27"/>
      <c r="F59" s="31"/>
      <c r="G59" s="82" t="str">
        <f>IF(F59=0,"",VLOOKUP(F59,Employés!$A$2:$B$186,2,0))</f>
        <v/>
      </c>
      <c r="H59" s="82"/>
      <c r="I59" s="35"/>
      <c r="J59" s="29"/>
      <c r="K59" s="26"/>
      <c r="L59" s="25"/>
      <c r="M59" s="37" t="str">
        <f>IF(I59=0,"",VLOOKUP(I59,Municipalités!$A$2:$B$1290,2,TRUE))</f>
        <v/>
      </c>
    </row>
    <row r="60" spans="1:13" ht="30" customHeight="1" x14ac:dyDescent="0.25">
      <c r="A60" s="8"/>
      <c r="B60" s="8"/>
      <c r="C60" s="30"/>
      <c r="D60" s="8"/>
      <c r="E60" s="27"/>
      <c r="F60" s="31"/>
      <c r="G60" s="82" t="str">
        <f>IF(F60=0,"",VLOOKUP(F60,Employés!$A$2:$B$186,2,0))</f>
        <v/>
      </c>
      <c r="H60" s="82"/>
      <c r="I60" s="35"/>
      <c r="J60" s="29"/>
      <c r="K60" s="26"/>
      <c r="L60" s="25"/>
      <c r="M60" s="37" t="str">
        <f>IF(I60=0,"",VLOOKUP(I60,Municipalités!$A$2:$B$1290,2,TRUE))</f>
        <v/>
      </c>
    </row>
    <row r="61" spans="1:13" ht="30" customHeight="1" x14ac:dyDescent="0.25">
      <c r="A61" s="8"/>
      <c r="B61" s="8"/>
      <c r="C61" s="30"/>
      <c r="D61" s="8"/>
      <c r="E61" s="27"/>
      <c r="F61" s="31"/>
      <c r="G61" s="82" t="str">
        <f>IF(F61=0,"",VLOOKUP(F61,Employés!$A$2:$B$186,2,0))</f>
        <v/>
      </c>
      <c r="H61" s="82"/>
      <c r="I61" s="35"/>
      <c r="J61" s="29"/>
      <c r="K61" s="26"/>
      <c r="L61" s="25"/>
      <c r="M61" s="37" t="str">
        <f>IF(I61=0,"",VLOOKUP(I61,Municipalités!$A$2:$B$1290,2,TRUE))</f>
        <v/>
      </c>
    </row>
    <row r="62" spans="1:13" x14ac:dyDescent="0.25">
      <c r="C62" s="14"/>
    </row>
    <row r="63" spans="1:13" x14ac:dyDescent="0.25">
      <c r="C63" s="14"/>
    </row>
    <row r="64" spans="1:13" x14ac:dyDescent="0.25">
      <c r="C64" s="14"/>
    </row>
    <row r="65" spans="3:5" x14ac:dyDescent="0.25">
      <c r="C65" s="14"/>
    </row>
    <row r="66" spans="3:5" x14ac:dyDescent="0.25">
      <c r="C66" s="14"/>
    </row>
    <row r="67" spans="3:5" x14ac:dyDescent="0.25">
      <c r="C67" s="14"/>
    </row>
    <row r="68" spans="3:5" x14ac:dyDescent="0.25">
      <c r="C68" s="14"/>
    </row>
    <row r="69" spans="3:5" x14ac:dyDescent="0.25">
      <c r="C69" s="14"/>
    </row>
    <row r="70" spans="3:5" x14ac:dyDescent="0.25">
      <c r="C70" s="14"/>
    </row>
    <row r="71" spans="3:5" x14ac:dyDescent="0.25">
      <c r="C71" s="14"/>
    </row>
    <row r="72" spans="3:5" x14ac:dyDescent="0.25">
      <c r="C72" s="14"/>
    </row>
    <row r="73" spans="3:5" x14ac:dyDescent="0.25">
      <c r="C73" s="14"/>
    </row>
    <row r="74" spans="3:5" x14ac:dyDescent="0.25">
      <c r="C74" s="14"/>
    </row>
    <row r="75" spans="3:5" x14ac:dyDescent="0.25">
      <c r="C75" s="14"/>
    </row>
    <row r="76" spans="3:5" x14ac:dyDescent="0.25">
      <c r="C76" s="14"/>
    </row>
    <row r="77" spans="3:5" x14ac:dyDescent="0.25">
      <c r="C77" s="14"/>
    </row>
    <row r="78" spans="3:5" x14ac:dyDescent="0.25">
      <c r="C78" s="14"/>
      <c r="E78" s="21" t="s">
        <v>1420</v>
      </c>
    </row>
    <row r="79" spans="3:5" x14ac:dyDescent="0.25">
      <c r="C79" s="14"/>
    </row>
    <row r="80" spans="3:5" x14ac:dyDescent="0.25">
      <c r="C80" s="14"/>
    </row>
    <row r="81" spans="3:3" x14ac:dyDescent="0.25">
      <c r="C81" s="14"/>
    </row>
    <row r="82" spans="3:3" x14ac:dyDescent="0.25">
      <c r="C82" s="14"/>
    </row>
    <row r="83" spans="3:3" x14ac:dyDescent="0.25">
      <c r="C83" s="14"/>
    </row>
    <row r="84" spans="3:3" x14ac:dyDescent="0.25">
      <c r="C84" s="14"/>
    </row>
    <row r="85" spans="3:3" x14ac:dyDescent="0.25">
      <c r="C85" s="14"/>
    </row>
    <row r="86" spans="3:3" x14ac:dyDescent="0.25">
      <c r="C86" s="14"/>
    </row>
    <row r="87" spans="3:3" x14ac:dyDescent="0.25">
      <c r="C87" s="14"/>
    </row>
    <row r="88" spans="3:3" x14ac:dyDescent="0.25">
      <c r="C88" s="14"/>
    </row>
    <row r="89" spans="3:3" x14ac:dyDescent="0.25">
      <c r="C89" s="14"/>
    </row>
    <row r="90" spans="3:3" x14ac:dyDescent="0.25">
      <c r="C90" s="14"/>
    </row>
    <row r="91" spans="3:3" x14ac:dyDescent="0.25">
      <c r="C91" s="14"/>
    </row>
    <row r="92" spans="3:3" x14ac:dyDescent="0.25">
      <c r="C92" s="14"/>
    </row>
    <row r="93" spans="3:3" x14ac:dyDescent="0.25">
      <c r="C93" s="14"/>
    </row>
    <row r="94" spans="3:3" x14ac:dyDescent="0.25">
      <c r="C94" s="14"/>
    </row>
    <row r="95" spans="3:3" x14ac:dyDescent="0.25">
      <c r="C95" s="14"/>
    </row>
    <row r="96" spans="3:3" x14ac:dyDescent="0.25">
      <c r="C96" s="14"/>
    </row>
    <row r="97" spans="3:3" x14ac:dyDescent="0.25">
      <c r="C97" s="14"/>
    </row>
    <row r="98" spans="3:3" x14ac:dyDescent="0.25">
      <c r="C98" s="14"/>
    </row>
  </sheetData>
  <mergeCells count="67">
    <mergeCell ref="G59:H59"/>
    <mergeCell ref="G60:H60"/>
    <mergeCell ref="G61:H61"/>
    <mergeCell ref="G53:H53"/>
    <mergeCell ref="G54:H54"/>
    <mergeCell ref="G55:H55"/>
    <mergeCell ref="G56:H56"/>
    <mergeCell ref="G57:H57"/>
    <mergeCell ref="G58:H58"/>
    <mergeCell ref="G52:H52"/>
    <mergeCell ref="G41:H41"/>
    <mergeCell ref="G42:H42"/>
    <mergeCell ref="G43:H43"/>
    <mergeCell ref="G44:H44"/>
    <mergeCell ref="G45:H45"/>
    <mergeCell ref="G46:H46"/>
    <mergeCell ref="G47:H47"/>
    <mergeCell ref="G48:H48"/>
    <mergeCell ref="G49:H49"/>
    <mergeCell ref="G50:H50"/>
    <mergeCell ref="G51:H51"/>
    <mergeCell ref="G40:H40"/>
    <mergeCell ref="G29:H29"/>
    <mergeCell ref="G30:H30"/>
    <mergeCell ref="G31:H31"/>
    <mergeCell ref="G32:H32"/>
    <mergeCell ref="G33:H33"/>
    <mergeCell ref="G34:H34"/>
    <mergeCell ref="G35:H35"/>
    <mergeCell ref="G36:H36"/>
    <mergeCell ref="G37:H37"/>
    <mergeCell ref="G38:H38"/>
    <mergeCell ref="G39:H39"/>
    <mergeCell ref="G28:H28"/>
    <mergeCell ref="G17:H17"/>
    <mergeCell ref="G18:H18"/>
    <mergeCell ref="G19:H19"/>
    <mergeCell ref="G20:H20"/>
    <mergeCell ref="G21:H21"/>
    <mergeCell ref="G22:H22"/>
    <mergeCell ref="G23:H23"/>
    <mergeCell ref="G24:H24"/>
    <mergeCell ref="G25:H25"/>
    <mergeCell ref="G26:H26"/>
    <mergeCell ref="G27:H27"/>
    <mergeCell ref="M2:M4"/>
    <mergeCell ref="G16:H16"/>
    <mergeCell ref="I6:I7"/>
    <mergeCell ref="J6:J7"/>
    <mergeCell ref="K6:M6"/>
    <mergeCell ref="G8:H8"/>
    <mergeCell ref="G9:H9"/>
    <mergeCell ref="G10:H10"/>
    <mergeCell ref="G11:H11"/>
    <mergeCell ref="G12:H12"/>
    <mergeCell ref="G13:H13"/>
    <mergeCell ref="G14:H14"/>
    <mergeCell ref="G15:H15"/>
    <mergeCell ref="E1:F4"/>
    <mergeCell ref="L1:L2"/>
    <mergeCell ref="A6:A7"/>
    <mergeCell ref="B6:B7"/>
    <mergeCell ref="C6:C7"/>
    <mergeCell ref="D6:D7"/>
    <mergeCell ref="E6:E7"/>
    <mergeCell ref="F6:F7"/>
    <mergeCell ref="G6:H7"/>
  </mergeCells>
  <conditionalFormatting sqref="C16:C21 C23:C45">
    <cfRule type="expression" dxfId="11" priority="7" stopIfTrue="1">
      <formula>#REF!=1</formula>
    </cfRule>
    <cfRule type="expression" priority="8" stopIfTrue="1">
      <formula>#REF!=2</formula>
    </cfRule>
    <cfRule type="expression" dxfId="10" priority="9" stopIfTrue="1">
      <formula>#REF!=3</formula>
    </cfRule>
  </conditionalFormatting>
  <conditionalFormatting sqref="C22">
    <cfRule type="expression" dxfId="9" priority="4" stopIfTrue="1">
      <formula>#REF!=1</formula>
    </cfRule>
    <cfRule type="expression" priority="5" stopIfTrue="1">
      <formula>#REF!=2</formula>
    </cfRule>
    <cfRule type="expression" dxfId="8" priority="6" stopIfTrue="1">
      <formula>#REF!=3</formula>
    </cfRule>
  </conditionalFormatting>
  <conditionalFormatting sqref="C46:C61">
    <cfRule type="expression" dxfId="7" priority="1" stopIfTrue="1">
      <formula>#REF!=1</formula>
    </cfRule>
    <cfRule type="expression" priority="2" stopIfTrue="1">
      <formula>#REF!=2</formula>
    </cfRule>
    <cfRule type="expression" dxfId="6" priority="3" stopIfTrue="1">
      <formula>#REF!=3</formula>
    </cfRule>
  </conditionalFormatting>
  <dataValidations count="2">
    <dataValidation type="textLength" operator="greaterThanOrEqual" allowBlank="1" showInputMessage="1" showErrorMessage="1" errorTitle="Saisie incorrecte" error="Re-saisir le numéro d'entrée en utilisant 3 chiffres_x000a_Ex.: 001" promptTitle="Saisie du numéro d'entrée" prompt="Minimum 3 chiffres_x000a_Ex.: 001" sqref="C8:C39" xr:uid="{00000000-0002-0000-1D00-000000000000}">
      <formula1>3</formula1>
    </dataValidation>
    <dataValidation operator="greaterThan" allowBlank="1" showDropDown="1" showInputMessage="1" showErrorMessage="1" errorTitle="Saisie incorrecte" error="Re-Saisir le numéro de dossier sous le format_x000a_000-000000-000" promptTitle="Saisie du numéro d'événement" prompt="000-000000-000_x000a_Ex. : 071-030901-001" sqref="J8:J39" xr:uid="{00000000-0002-0000-1D00-000001000000}"/>
  </dataValidations>
  <printOptions horizontalCentered="1" verticalCentered="1"/>
  <pageMargins left="0" right="0" top="0.31496062992125984" bottom="0.39370078740157483" header="0.15748031496062992" footer="0.19685039370078741"/>
  <pageSetup paperSize="5" scale="90" orientation="landscape" r:id="rId1"/>
  <headerFooter alignWithMargins="0">
    <oddFooter>&amp;R&amp;8Page &amp;P de &amp;N</oddFooter>
  </headerFooter>
  <drawing r:id="rId2"/>
  <legacyDrawing r:id="rId3"/>
  <controls>
    <mc:AlternateContent xmlns:mc="http://schemas.openxmlformats.org/markup-compatibility/2006">
      <mc:Choice Requires="x14">
        <control shapeId="172035" r:id="rId4" name="ComboBox2">
          <controlPr defaultSize="0" autoLine="0" r:id="rId5">
            <anchor moveWithCells="1">
              <from>
                <xdr:col>4</xdr:col>
                <xdr:colOff>0</xdr:colOff>
                <xdr:row>8</xdr:row>
                <xdr:rowOff>0</xdr:rowOff>
              </from>
              <to>
                <xdr:col>4</xdr:col>
                <xdr:colOff>2965450</xdr:colOff>
                <xdr:row>9</xdr:row>
                <xdr:rowOff>38100</xdr:rowOff>
              </to>
            </anchor>
          </controlPr>
        </control>
      </mc:Choice>
      <mc:Fallback>
        <control shapeId="172035" r:id="rId4" name="ComboBox2"/>
      </mc:Fallback>
    </mc:AlternateContent>
    <mc:AlternateContent xmlns:mc="http://schemas.openxmlformats.org/markup-compatibility/2006">
      <mc:Choice Requires="x14">
        <control shapeId="172034" r:id="rId6" name="ComboBox1">
          <controlPr defaultSize="0" autoLine="0" r:id="rId7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11</xdr:col>
                <xdr:colOff>1803400</xdr:colOff>
                <xdr:row>9</xdr:row>
                <xdr:rowOff>38100</xdr:rowOff>
              </to>
            </anchor>
          </controlPr>
        </control>
      </mc:Choice>
      <mc:Fallback>
        <control shapeId="172034" r:id="rId6" name="ComboBox1"/>
      </mc:Fallback>
    </mc:AlternateContent>
    <mc:AlternateContent xmlns:mc="http://schemas.openxmlformats.org/markup-compatibility/2006">
      <mc:Choice Requires="x14">
        <control shapeId="172033" r:id="rId8" name="Button 1">
          <controlPr defaultSize="0" print="0" autoFill="0" autoPict="0" macro="[0]!test2">
            <anchor moveWithCells="1">
              <from>
                <xdr:col>5</xdr:col>
                <xdr:colOff>222250</xdr:colOff>
                <xdr:row>1</xdr:row>
                <xdr:rowOff>139700</xdr:rowOff>
              </from>
              <to>
                <xdr:col>9</xdr:col>
                <xdr:colOff>1143000</xdr:colOff>
                <xdr:row>4</xdr:row>
                <xdr:rowOff>107950</xdr:rowOff>
              </to>
            </anchor>
          </controlPr>
        </control>
      </mc:Choice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Feuil88"/>
  <dimension ref="A1:M98"/>
  <sheetViews>
    <sheetView showGridLines="0" zoomScaleNormal="100" workbookViewId="0">
      <pane xSplit="3" ySplit="7" topLeftCell="G8" activePane="bottomRight" state="frozen"/>
      <selection activeCell="C8" sqref="C8"/>
      <selection pane="topRight" activeCell="C8" sqref="C8"/>
      <selection pane="bottomLeft" activeCell="C8" sqref="C8"/>
      <selection pane="bottomRight" activeCell="M11" sqref="M11"/>
    </sheetView>
  </sheetViews>
  <sheetFormatPr baseColWidth="10" defaultColWidth="11.453125" defaultRowHeight="13" x14ac:dyDescent="0.25"/>
  <cols>
    <col min="1" max="2" width="5.6328125" style="1" customWidth="1"/>
    <col min="3" max="3" width="6.6328125" style="1" customWidth="1"/>
    <col min="4" max="4" width="7.54296875" style="1" customWidth="1"/>
    <col min="5" max="5" width="44.453125" style="21" customWidth="1"/>
    <col min="6" max="6" width="10.54296875" style="1" customWidth="1"/>
    <col min="7" max="7" width="13.90625" style="1" customWidth="1"/>
    <col min="8" max="8" width="4.6328125" style="1" hidden="1" customWidth="1"/>
    <col min="9" max="9" width="6.08984375" style="1" customWidth="1"/>
    <col min="10" max="10" width="26.54296875" style="1" customWidth="1"/>
    <col min="11" max="11" width="7.36328125" style="1" customWidth="1"/>
    <col min="12" max="12" width="27" style="24" customWidth="1"/>
    <col min="13" max="13" width="26" style="1" customWidth="1"/>
    <col min="14" max="16384" width="11.453125" style="1"/>
  </cols>
  <sheetData>
    <row r="1" spans="1:13" ht="12.75" customHeight="1" x14ac:dyDescent="0.25">
      <c r="E1" s="71" t="s">
        <v>1023</v>
      </c>
      <c r="F1" s="72"/>
      <c r="L1" s="73" t="s">
        <v>1021</v>
      </c>
      <c r="M1" s="59" t="s">
        <v>1022</v>
      </c>
    </row>
    <row r="2" spans="1:13" ht="12.75" customHeight="1" x14ac:dyDescent="0.25">
      <c r="E2" s="72"/>
      <c r="F2" s="72"/>
      <c r="L2" s="74"/>
      <c r="M2" s="70">
        <v>42522</v>
      </c>
    </row>
    <row r="3" spans="1:13" ht="12.75" customHeight="1" x14ac:dyDescent="0.25">
      <c r="E3" s="72"/>
      <c r="F3" s="72"/>
      <c r="L3" s="60"/>
      <c r="M3" s="70"/>
    </row>
    <row r="4" spans="1:13" ht="15.75" customHeight="1" x14ac:dyDescent="0.25">
      <c r="E4" s="72"/>
      <c r="F4" s="72"/>
      <c r="L4" s="49" t="s">
        <v>140</v>
      </c>
      <c r="M4" s="70"/>
    </row>
    <row r="5" spans="1:13" ht="21.9" customHeight="1" thickBot="1" x14ac:dyDescent="0.3">
      <c r="L5" s="36"/>
      <c r="M5" s="69">
        <f>M2</f>
        <v>42522</v>
      </c>
    </row>
    <row r="6" spans="1:13" ht="24.9" customHeight="1" x14ac:dyDescent="0.25">
      <c r="A6" s="75" t="s">
        <v>2351</v>
      </c>
      <c r="B6" s="75" t="s">
        <v>2350</v>
      </c>
      <c r="C6" s="76" t="s">
        <v>1362</v>
      </c>
      <c r="D6" s="75" t="s">
        <v>1153</v>
      </c>
      <c r="E6" s="75" t="s">
        <v>1016</v>
      </c>
      <c r="F6" s="76" t="s">
        <v>2352</v>
      </c>
      <c r="G6" s="76" t="s">
        <v>1017</v>
      </c>
      <c r="H6" s="79"/>
      <c r="I6" s="76" t="s">
        <v>1364</v>
      </c>
      <c r="J6" s="76" t="s">
        <v>1363</v>
      </c>
      <c r="K6" s="83" t="s">
        <v>1018</v>
      </c>
      <c r="L6" s="84"/>
      <c r="M6" s="84"/>
    </row>
    <row r="7" spans="1:13" ht="12.5" x14ac:dyDescent="0.25">
      <c r="A7" s="75"/>
      <c r="B7" s="75"/>
      <c r="C7" s="77"/>
      <c r="D7" s="75"/>
      <c r="E7" s="75"/>
      <c r="F7" s="78"/>
      <c r="G7" s="80"/>
      <c r="H7" s="81"/>
      <c r="I7" s="77"/>
      <c r="J7" s="77"/>
      <c r="K7" s="61" t="s">
        <v>1015</v>
      </c>
      <c r="L7" s="61" t="s">
        <v>1019</v>
      </c>
      <c r="M7" s="32" t="s">
        <v>1020</v>
      </c>
    </row>
    <row r="8" spans="1:13" ht="30" customHeight="1" x14ac:dyDescent="0.25">
      <c r="A8" s="45"/>
      <c r="B8" s="45"/>
      <c r="C8" s="30"/>
      <c r="D8" s="47"/>
      <c r="E8" s="27"/>
      <c r="F8" s="31"/>
      <c r="G8" s="82" t="str">
        <f>IF(F8=0,"",VLOOKUP(F8,Employés!$A$2:$B$186,2,0))</f>
        <v/>
      </c>
      <c r="H8" s="82"/>
      <c r="I8" s="34"/>
      <c r="J8" s="33"/>
      <c r="K8" s="19"/>
      <c r="L8" s="20" t="s">
        <v>1420</v>
      </c>
      <c r="M8" s="37" t="str">
        <f>IF(I8=0,"",VLOOKUP(I8,Municipalités!$A$2:$B$1290,2,TRUE))</f>
        <v/>
      </c>
    </row>
    <row r="9" spans="1:13" ht="30" customHeight="1" x14ac:dyDescent="0.25">
      <c r="A9" s="45"/>
      <c r="B9" s="45"/>
      <c r="C9" s="39"/>
      <c r="D9" s="47"/>
      <c r="E9" s="27"/>
      <c r="F9" s="31"/>
      <c r="G9" s="82" t="str">
        <f>IF(F9=0,"",VLOOKUP(F9,Employés!$A$2:$B$186,2,0))</f>
        <v/>
      </c>
      <c r="H9" s="82"/>
      <c r="I9" s="35"/>
      <c r="J9" s="33"/>
      <c r="K9" s="19"/>
      <c r="L9" s="20"/>
      <c r="M9" s="37" t="str">
        <f>IF(I9=0,"",VLOOKUP(I9,Municipalités!$A$2:$B$1290,2,TRUE))</f>
        <v/>
      </c>
    </row>
    <row r="10" spans="1:13" ht="30" customHeight="1" x14ac:dyDescent="0.25">
      <c r="A10" s="45"/>
      <c r="B10" s="45"/>
      <c r="C10" s="39"/>
      <c r="D10" s="48"/>
      <c r="E10" s="28"/>
      <c r="F10" s="31"/>
      <c r="G10" s="82" t="str">
        <f>IF(F10=0,"",VLOOKUP(F10,Employés!$A$2:$B$186,2,0))</f>
        <v/>
      </c>
      <c r="H10" s="82"/>
      <c r="I10" s="35"/>
      <c r="J10" s="29"/>
      <c r="K10" s="19"/>
      <c r="L10" s="20"/>
      <c r="M10" s="37" t="str">
        <f>IF(I10=0,"",VLOOKUP(I10,Municipalités!$A$2:$B$1290,2,TRUE))</f>
        <v/>
      </c>
    </row>
    <row r="11" spans="1:13" ht="30" customHeight="1" x14ac:dyDescent="0.25">
      <c r="A11" s="45"/>
      <c r="B11" s="45"/>
      <c r="C11" s="39"/>
      <c r="D11" s="47"/>
      <c r="E11" s="28" t="s">
        <v>1420</v>
      </c>
      <c r="F11" s="31"/>
      <c r="G11" s="82" t="str">
        <f>IF(F11=0,"",VLOOKUP(F11,Employés!$A$2:$B$186,2,0))</f>
        <v/>
      </c>
      <c r="H11" s="82"/>
      <c r="I11" s="35"/>
      <c r="J11" s="29"/>
      <c r="K11" s="19"/>
      <c r="L11" s="20"/>
      <c r="M11" s="37" t="str">
        <f>IF(I11=0,"",VLOOKUP(I11,Municipalités!$A$2:$B$1290,2,TRUE))</f>
        <v/>
      </c>
    </row>
    <row r="12" spans="1:13" ht="30" customHeight="1" x14ac:dyDescent="0.25">
      <c r="A12" s="45"/>
      <c r="B12" s="45"/>
      <c r="C12" s="39"/>
      <c r="D12" s="46"/>
      <c r="E12" s="27"/>
      <c r="F12" s="31"/>
      <c r="G12" s="82" t="str">
        <f>IF(F12=0,"",VLOOKUP(F12,Employés!$A$2:$B$186,2,0))</f>
        <v/>
      </c>
      <c r="H12" s="82"/>
      <c r="I12" s="35"/>
      <c r="J12" s="29"/>
      <c r="K12" s="19"/>
      <c r="L12" s="20"/>
      <c r="M12" s="37" t="str">
        <f>IF(I12=0,"",VLOOKUP(I12,Municipalités!$A$2:$B$1290,2,TRUE))</f>
        <v/>
      </c>
    </row>
    <row r="13" spans="1:13" ht="30" customHeight="1" x14ac:dyDescent="0.25">
      <c r="A13" s="45"/>
      <c r="B13" s="45"/>
      <c r="C13" s="39"/>
      <c r="D13" s="46"/>
      <c r="E13" s="27"/>
      <c r="F13" s="31"/>
      <c r="G13" s="82" t="str">
        <f>IF(F13=0,"",VLOOKUP(F13,Employés!$A$2:$B$186,2,0))</f>
        <v/>
      </c>
      <c r="H13" s="82"/>
      <c r="I13" s="35"/>
      <c r="J13" s="29"/>
      <c r="K13" s="19"/>
      <c r="L13" s="20"/>
      <c r="M13" s="37" t="str">
        <f>IF(I13=0,"",VLOOKUP(I13,Municipalités!$A$2:$B$1290,2,TRUE))</f>
        <v/>
      </c>
    </row>
    <row r="14" spans="1:13" ht="30" customHeight="1" x14ac:dyDescent="0.25">
      <c r="A14" s="45"/>
      <c r="B14" s="45"/>
      <c r="C14" s="39"/>
      <c r="D14" s="47"/>
      <c r="E14" s="27"/>
      <c r="F14" s="31"/>
      <c r="G14" s="82" t="str">
        <f>IF(F14=0,"",VLOOKUP(F14,Employés!$A$2:$B$186,2,0))</f>
        <v/>
      </c>
      <c r="H14" s="82"/>
      <c r="I14" s="35"/>
      <c r="J14" s="29"/>
      <c r="K14" s="19"/>
      <c r="L14" s="20"/>
      <c r="M14" s="37" t="str">
        <f>IF(I14=0,"",VLOOKUP(I14,Municipalités!$A$2:$B$1290,2,TRUE))</f>
        <v/>
      </c>
    </row>
    <row r="15" spans="1:13" ht="30" customHeight="1" x14ac:dyDescent="0.25">
      <c r="A15" s="45"/>
      <c r="B15" s="45"/>
      <c r="C15" s="39"/>
      <c r="D15" s="47"/>
      <c r="E15" s="27"/>
      <c r="F15" s="31"/>
      <c r="G15" s="82" t="str">
        <f>IF(F15=0,"",VLOOKUP(F15,Employés!$A$2:$B$186,2,0))</f>
        <v/>
      </c>
      <c r="H15" s="82"/>
      <c r="I15" s="35"/>
      <c r="J15" s="29"/>
      <c r="K15" s="19"/>
      <c r="L15" s="20"/>
      <c r="M15" s="37" t="str">
        <f>IF(I15=0,"",VLOOKUP(I15,Municipalités!$A$2:$B$1290,2,TRUE))</f>
        <v/>
      </c>
    </row>
    <row r="16" spans="1:13" ht="30" customHeight="1" x14ac:dyDescent="0.25">
      <c r="A16" s="45"/>
      <c r="B16" s="45"/>
      <c r="C16" s="39"/>
      <c r="D16" s="46"/>
      <c r="E16" s="27"/>
      <c r="F16" s="31"/>
      <c r="G16" s="82" t="str">
        <f>IF(F16=0,"",VLOOKUP(F16,Employés!$A$2:$B$186,2,0))</f>
        <v/>
      </c>
      <c r="H16" s="82"/>
      <c r="I16" s="35"/>
      <c r="J16" s="29"/>
      <c r="K16" s="19"/>
      <c r="L16" s="20"/>
      <c r="M16" s="37" t="str">
        <f>IF(I16=0,"",VLOOKUP(I16,Municipalités!$A$2:$B$1290,2,TRUE))</f>
        <v/>
      </c>
    </row>
    <row r="17" spans="1:13" ht="30" customHeight="1" x14ac:dyDescent="0.25">
      <c r="A17" s="45"/>
      <c r="B17" s="45"/>
      <c r="C17" s="39"/>
      <c r="D17" s="46"/>
      <c r="E17" s="27"/>
      <c r="F17" s="31"/>
      <c r="G17" s="82" t="str">
        <f>IF(F17=0,"",VLOOKUP(F17,Employés!$A$2:$B$186,2,0))</f>
        <v/>
      </c>
      <c r="H17" s="82"/>
      <c r="I17" s="35"/>
      <c r="J17" s="29"/>
      <c r="K17" s="19"/>
      <c r="L17" s="20"/>
      <c r="M17" s="37" t="str">
        <f>IF(I17=0,"",VLOOKUP(I17,Municipalités!$A$2:$B$1290,2,TRUE))</f>
        <v/>
      </c>
    </row>
    <row r="18" spans="1:13" ht="30" customHeight="1" x14ac:dyDescent="0.25">
      <c r="A18" s="45"/>
      <c r="B18" s="45"/>
      <c r="C18" s="39"/>
      <c r="D18" s="46"/>
      <c r="E18" s="27"/>
      <c r="F18" s="31"/>
      <c r="G18" s="82" t="str">
        <f>IF(F18=0,"",VLOOKUP(F18,Employés!$A$2:$B$186,2,0))</f>
        <v/>
      </c>
      <c r="H18" s="82"/>
      <c r="I18" s="35"/>
      <c r="J18" s="29"/>
      <c r="K18" s="19"/>
      <c r="L18" s="20"/>
      <c r="M18" s="37" t="str">
        <f>IF(I18=0,"",VLOOKUP(I18,Municipalités!$A$2:$B$1290,2,TRUE))</f>
        <v/>
      </c>
    </row>
    <row r="19" spans="1:13" ht="30" customHeight="1" x14ac:dyDescent="0.25">
      <c r="A19" s="45"/>
      <c r="B19" s="45"/>
      <c r="C19" s="39"/>
      <c r="D19" s="46"/>
      <c r="E19" s="27"/>
      <c r="F19" s="31"/>
      <c r="G19" s="82" t="str">
        <f>IF(F19=0,"",VLOOKUP(F19,Employés!$A$2:$B$186,2,0))</f>
        <v/>
      </c>
      <c r="H19" s="82"/>
      <c r="I19" s="35"/>
      <c r="J19" s="29"/>
      <c r="K19" s="19"/>
      <c r="L19" s="20"/>
      <c r="M19" s="37" t="str">
        <f>IF(I19=0,"",VLOOKUP(I19,Municipalités!$A$2:$B$1290,2,TRUE))</f>
        <v/>
      </c>
    </row>
    <row r="20" spans="1:13" ht="30" customHeight="1" x14ac:dyDescent="0.25">
      <c r="A20" s="45"/>
      <c r="B20" s="45"/>
      <c r="C20" s="39"/>
      <c r="D20" s="47"/>
      <c r="E20" s="27"/>
      <c r="F20" s="31"/>
      <c r="G20" s="82" t="str">
        <f>IF(F20=0,"",VLOOKUP(F20,Employés!$A$2:$B$186,2,0))</f>
        <v/>
      </c>
      <c r="H20" s="82"/>
      <c r="I20" s="35"/>
      <c r="J20" s="29"/>
      <c r="K20" s="19"/>
      <c r="L20" s="20"/>
      <c r="M20" s="37" t="str">
        <f>IF(I20=0,"",VLOOKUP(I20,Municipalités!$A$2:$B$1290,2,TRUE))</f>
        <v/>
      </c>
    </row>
    <row r="21" spans="1:13" ht="30" customHeight="1" x14ac:dyDescent="0.25">
      <c r="A21" s="45"/>
      <c r="B21" s="45"/>
      <c r="C21" s="39"/>
      <c r="D21" s="47"/>
      <c r="E21" s="27"/>
      <c r="F21" s="31"/>
      <c r="G21" s="82" t="str">
        <f>IF(F21=0,"",VLOOKUP(F21,Employés!$A$2:$B$186,2,0))</f>
        <v/>
      </c>
      <c r="H21" s="82"/>
      <c r="I21" s="35"/>
      <c r="J21" s="29"/>
      <c r="K21" s="19"/>
      <c r="L21" s="20"/>
      <c r="M21" s="37" t="str">
        <f>IF(I21=0,"",VLOOKUP(I21,Municipalités!$A$2:$B$1290,2,TRUE))</f>
        <v/>
      </c>
    </row>
    <row r="22" spans="1:13" ht="30" customHeight="1" x14ac:dyDescent="0.25">
      <c r="A22" s="45"/>
      <c r="B22" s="45"/>
      <c r="C22" s="39"/>
      <c r="D22" s="46"/>
      <c r="E22" s="27"/>
      <c r="F22" s="31"/>
      <c r="G22" s="82" t="str">
        <f>IF(F22=0,"",VLOOKUP(F22,Employés!$A$2:$B$186,2,0))</f>
        <v/>
      </c>
      <c r="H22" s="82"/>
      <c r="I22" s="35"/>
      <c r="J22" s="29"/>
      <c r="K22" s="19"/>
      <c r="L22" s="20"/>
      <c r="M22" s="37" t="str">
        <f>IF(I22=0,"",VLOOKUP(I22,Municipalités!$A$2:$B$1290,2,TRUE))</f>
        <v/>
      </c>
    </row>
    <row r="23" spans="1:13" ht="30" customHeight="1" x14ac:dyDescent="0.25">
      <c r="A23" s="45"/>
      <c r="B23" s="45"/>
      <c r="C23" s="39"/>
      <c r="D23" s="46"/>
      <c r="E23" s="27"/>
      <c r="F23" s="31"/>
      <c r="G23" s="82" t="str">
        <f>IF(F23=0,"",VLOOKUP(F23,Employés!$A$2:$B$186,2,0))</f>
        <v/>
      </c>
      <c r="H23" s="82"/>
      <c r="I23" s="35"/>
      <c r="J23" s="29"/>
      <c r="K23" s="19"/>
      <c r="L23" s="20"/>
      <c r="M23" s="37" t="str">
        <f>IF(I23=0,"",VLOOKUP(I23,Municipalités!$A$2:$B$1290,2,TRUE))</f>
        <v/>
      </c>
    </row>
    <row r="24" spans="1:13" ht="30" customHeight="1" x14ac:dyDescent="0.25">
      <c r="A24" s="45"/>
      <c r="B24" s="45"/>
      <c r="C24" s="39"/>
      <c r="D24" s="46"/>
      <c r="E24" s="27"/>
      <c r="F24" s="31"/>
      <c r="G24" s="82" t="str">
        <f>IF(F24=0,"",VLOOKUP(F24,Employés!$A$2:$B$186,2,0))</f>
        <v/>
      </c>
      <c r="H24" s="82"/>
      <c r="I24" s="35"/>
      <c r="J24" s="29"/>
      <c r="K24" s="19"/>
      <c r="L24" s="20"/>
      <c r="M24" s="37" t="str">
        <f>IF(I24=0,"",VLOOKUP(I24,Municipalités!$A$2:$B$1290,2,TRUE))</f>
        <v/>
      </c>
    </row>
    <row r="25" spans="1:13" ht="30" customHeight="1" x14ac:dyDescent="0.25">
      <c r="A25" s="45"/>
      <c r="B25" s="45"/>
      <c r="C25" s="39"/>
      <c r="D25" s="46"/>
      <c r="E25" s="27"/>
      <c r="F25" s="31"/>
      <c r="G25" s="82" t="str">
        <f>IF(F25=0,"",VLOOKUP(F25,Employés!$A$2:$B$186,2,0))</f>
        <v/>
      </c>
      <c r="H25" s="82"/>
      <c r="I25" s="35"/>
      <c r="J25" s="29"/>
      <c r="K25" s="19"/>
      <c r="L25" s="20"/>
      <c r="M25" s="37" t="str">
        <f>IF(I25=0,"",VLOOKUP(I25,Municipalités!$A$2:$B$1290,2,TRUE))</f>
        <v/>
      </c>
    </row>
    <row r="26" spans="1:13" ht="30" customHeight="1" x14ac:dyDescent="0.25">
      <c r="A26" s="45"/>
      <c r="B26" s="45"/>
      <c r="C26" s="39"/>
      <c r="D26" s="46"/>
      <c r="E26" s="27"/>
      <c r="F26" s="31"/>
      <c r="G26" s="82" t="str">
        <f>IF(F26=0,"",VLOOKUP(F26,Employés!$A$2:$B$186,2,0))</f>
        <v/>
      </c>
      <c r="H26" s="82"/>
      <c r="I26" s="35"/>
      <c r="J26" s="29"/>
      <c r="K26" s="19"/>
      <c r="L26" s="20"/>
      <c r="M26" s="37" t="str">
        <f>IF(I26=0,"",VLOOKUP(I26,Municipalités!$A$2:$B$1290,2,TRUE))</f>
        <v/>
      </c>
    </row>
    <row r="27" spans="1:13" ht="30" customHeight="1" x14ac:dyDescent="0.25">
      <c r="A27" s="45"/>
      <c r="B27" s="45"/>
      <c r="C27" s="39"/>
      <c r="D27" s="46"/>
      <c r="E27" s="27"/>
      <c r="F27" s="31"/>
      <c r="G27" s="82" t="str">
        <f>IF(F27=0,"",VLOOKUP(F27,Employés!$A$2:$B$186,2,0))</f>
        <v/>
      </c>
      <c r="H27" s="82"/>
      <c r="I27" s="35"/>
      <c r="J27" s="29"/>
      <c r="K27" s="19"/>
      <c r="L27" s="20"/>
      <c r="M27" s="37" t="str">
        <f>IF(I27=0,"",VLOOKUP(I27,Municipalités!$A$2:$B$1290,2,TRUE))</f>
        <v/>
      </c>
    </row>
    <row r="28" spans="1:13" ht="30" customHeight="1" x14ac:dyDescent="0.25">
      <c r="A28" s="45"/>
      <c r="B28" s="45"/>
      <c r="C28" s="39"/>
      <c r="D28" s="46"/>
      <c r="E28" s="27"/>
      <c r="F28" s="31"/>
      <c r="G28" s="82" t="str">
        <f>IF(F28=0,"",VLOOKUP(F28,Employés!$A$2:$B$186,2,0))</f>
        <v/>
      </c>
      <c r="H28" s="82"/>
      <c r="I28" s="35"/>
      <c r="J28" s="29"/>
      <c r="K28" s="19"/>
      <c r="L28" s="20"/>
      <c r="M28" s="37" t="str">
        <f>IF(I28=0,"",VLOOKUP(I28,Municipalités!$A$2:$B$1290,2,TRUE))</f>
        <v/>
      </c>
    </row>
    <row r="29" spans="1:13" ht="30" customHeight="1" x14ac:dyDescent="0.25">
      <c r="A29" s="45"/>
      <c r="B29" s="45"/>
      <c r="C29" s="39"/>
      <c r="D29" s="46"/>
      <c r="E29" s="27"/>
      <c r="F29" s="31"/>
      <c r="G29" s="82" t="str">
        <f>IF(F29=0,"",VLOOKUP(F29,Employés!$A$2:$B$186,2,0))</f>
        <v/>
      </c>
      <c r="H29" s="82"/>
      <c r="I29" s="35"/>
      <c r="J29" s="29"/>
      <c r="K29" s="19"/>
      <c r="L29" s="20"/>
      <c r="M29" s="37" t="str">
        <f>IF(I29=0,"",VLOOKUP(I29,Municipalités!$A$2:$B$1290,2,TRUE))</f>
        <v/>
      </c>
    </row>
    <row r="30" spans="1:13" ht="30" customHeight="1" x14ac:dyDescent="0.25">
      <c r="A30" s="45"/>
      <c r="B30" s="45"/>
      <c r="C30" s="39"/>
      <c r="D30" s="46"/>
      <c r="E30" s="27"/>
      <c r="F30" s="31"/>
      <c r="G30" s="82" t="str">
        <f>IF(F30=0,"",VLOOKUP(F30,Employés!$A$2:$B$186,2,0))</f>
        <v/>
      </c>
      <c r="H30" s="82"/>
      <c r="I30" s="35"/>
      <c r="J30" s="29"/>
      <c r="K30" s="19"/>
      <c r="L30" s="20"/>
      <c r="M30" s="37" t="str">
        <f>IF(I30=0,"",VLOOKUP(I30,Municipalités!$A$2:$B$1290,2,TRUE))</f>
        <v/>
      </c>
    </row>
    <row r="31" spans="1:13" ht="30" customHeight="1" x14ac:dyDescent="0.25">
      <c r="A31" s="45"/>
      <c r="B31" s="45"/>
      <c r="C31" s="39"/>
      <c r="D31" s="47"/>
      <c r="E31" s="27"/>
      <c r="F31" s="31"/>
      <c r="G31" s="82" t="str">
        <f>IF(F31=0,"",VLOOKUP(F31,Employés!$A$2:$B$186,2,0))</f>
        <v/>
      </c>
      <c r="H31" s="82"/>
      <c r="I31" s="35"/>
      <c r="J31" s="29"/>
      <c r="K31" s="19"/>
      <c r="L31" s="20"/>
      <c r="M31" s="37" t="str">
        <f>IF(I31=0,"",VLOOKUP(I31,Municipalités!$A$2:$B$1290,2,TRUE))</f>
        <v/>
      </c>
    </row>
    <row r="32" spans="1:13" ht="30" customHeight="1" x14ac:dyDescent="0.25">
      <c r="A32" s="45"/>
      <c r="B32" s="45"/>
      <c r="C32" s="39"/>
      <c r="D32" s="46"/>
      <c r="E32" s="27"/>
      <c r="F32" s="31"/>
      <c r="G32" s="82" t="str">
        <f>IF(F32=0,"",VLOOKUP(F32,Employés!$A$2:$B$186,2,0))</f>
        <v/>
      </c>
      <c r="H32" s="82"/>
      <c r="I32" s="35"/>
      <c r="J32" s="29"/>
      <c r="K32" s="19"/>
      <c r="L32" s="20"/>
      <c r="M32" s="37" t="str">
        <f>IF(I32=0,"",VLOOKUP(I32,Municipalités!$A$2:$B$1290,2,TRUE))</f>
        <v/>
      </c>
    </row>
    <row r="33" spans="1:13" ht="30" customHeight="1" x14ac:dyDescent="0.25">
      <c r="A33" s="45"/>
      <c r="B33" s="45"/>
      <c r="C33" s="39"/>
      <c r="D33" s="46"/>
      <c r="E33" s="27"/>
      <c r="F33" s="31"/>
      <c r="G33" s="82" t="str">
        <f>IF(F33=0,"",VLOOKUP(F33,Employés!$A$2:$B$186,2,0))</f>
        <v/>
      </c>
      <c r="H33" s="82"/>
      <c r="I33" s="35"/>
      <c r="J33" s="29"/>
      <c r="K33" s="19"/>
      <c r="L33" s="20"/>
      <c r="M33" s="37" t="str">
        <f>IF(I33=0,"",VLOOKUP(I33,Municipalités!$A$2:$B$1290,2,TRUE))</f>
        <v/>
      </c>
    </row>
    <row r="34" spans="1:13" ht="30" customHeight="1" x14ac:dyDescent="0.25">
      <c r="A34" s="45"/>
      <c r="B34" s="45"/>
      <c r="C34" s="39"/>
      <c r="D34" s="46"/>
      <c r="E34" s="27"/>
      <c r="F34" s="31"/>
      <c r="G34" s="82" t="str">
        <f>IF(F34=0,"",VLOOKUP(F34,Employés!$A$2:$B$186,2,0))</f>
        <v/>
      </c>
      <c r="H34" s="82"/>
      <c r="I34" s="35"/>
      <c r="J34" s="29"/>
      <c r="K34" s="19"/>
      <c r="L34" s="20"/>
      <c r="M34" s="37" t="str">
        <f>IF(I34=0,"",VLOOKUP(I34,Municipalités!$A$2:$B$1290,2,TRUE))</f>
        <v/>
      </c>
    </row>
    <row r="35" spans="1:13" ht="30" customHeight="1" x14ac:dyDescent="0.25">
      <c r="A35" s="45"/>
      <c r="B35" s="45"/>
      <c r="C35" s="30"/>
      <c r="D35" s="46"/>
      <c r="E35" s="27"/>
      <c r="F35" s="31"/>
      <c r="G35" s="82" t="str">
        <f>IF(F35=0,"",VLOOKUP(F35,Employés!$A$2:$B$186,2,0))</f>
        <v/>
      </c>
      <c r="H35" s="82"/>
      <c r="I35" s="35"/>
      <c r="J35" s="29"/>
      <c r="K35" s="19"/>
      <c r="L35" s="20"/>
      <c r="M35" s="37" t="str">
        <f>IF(I35=0,"",VLOOKUP(I35,Municipalités!$A$2:$B$1290,2,TRUE))</f>
        <v/>
      </c>
    </row>
    <row r="36" spans="1:13" ht="30" customHeight="1" x14ac:dyDescent="0.25">
      <c r="A36" s="45"/>
      <c r="B36" s="45"/>
      <c r="C36" s="30"/>
      <c r="D36" s="46"/>
      <c r="E36" s="27"/>
      <c r="F36" s="31"/>
      <c r="G36" s="82" t="str">
        <f>IF(F36=0,"",VLOOKUP(F36,Employés!$A$2:$B$186,2,0))</f>
        <v/>
      </c>
      <c r="H36" s="82"/>
      <c r="I36" s="35"/>
      <c r="J36" s="29"/>
      <c r="K36" s="19"/>
      <c r="L36" s="20"/>
      <c r="M36" s="37" t="str">
        <f>IF(I36=0,"",VLOOKUP(I36,Municipalités!$A$2:$B$1290,2,TRUE))</f>
        <v/>
      </c>
    </row>
    <row r="37" spans="1:13" ht="30" customHeight="1" x14ac:dyDescent="0.25">
      <c r="A37" s="45"/>
      <c r="B37" s="45"/>
      <c r="C37" s="39"/>
      <c r="D37" s="46"/>
      <c r="E37" s="27"/>
      <c r="F37" s="31"/>
      <c r="G37" s="82" t="str">
        <f>IF(F37=0,"",VLOOKUP(F37,Employés!$A$2:$B$186,2,0))</f>
        <v/>
      </c>
      <c r="H37" s="82"/>
      <c r="I37" s="35"/>
      <c r="J37" s="29"/>
      <c r="K37" s="19"/>
      <c r="L37" s="20"/>
      <c r="M37" s="37" t="str">
        <f>IF(I37=0,"",VLOOKUP(I37,Municipalités!$A$2:$B$1290,2,TRUE))</f>
        <v/>
      </c>
    </row>
    <row r="38" spans="1:13" ht="30" customHeight="1" x14ac:dyDescent="0.25">
      <c r="A38" s="45"/>
      <c r="B38" s="45"/>
      <c r="C38" s="39"/>
      <c r="D38" s="47"/>
      <c r="E38" s="27"/>
      <c r="F38" s="31"/>
      <c r="G38" s="82" t="str">
        <f>IF(F38=0,"",VLOOKUP(F38,Employés!$A$2:$B$186,2,0))</f>
        <v/>
      </c>
      <c r="H38" s="82"/>
      <c r="I38" s="35"/>
      <c r="J38" s="29"/>
      <c r="K38" s="19"/>
      <c r="L38" s="20"/>
      <c r="M38" s="37" t="str">
        <f>IF(I38=0,"",VLOOKUP(I38,Municipalités!$A$2:$B$1290,2,TRUE))</f>
        <v/>
      </c>
    </row>
    <row r="39" spans="1:13" ht="30" customHeight="1" x14ac:dyDescent="0.25">
      <c r="A39" s="45"/>
      <c r="B39" s="45"/>
      <c r="C39" s="39"/>
      <c r="D39" s="45"/>
      <c r="E39" s="27"/>
      <c r="F39" s="31"/>
      <c r="G39" s="82" t="str">
        <f>IF(F39=0,"",VLOOKUP(F39,Employés!$A$2:$B$186,2,0))</f>
        <v/>
      </c>
      <c r="H39" s="82"/>
      <c r="I39" s="35"/>
      <c r="J39" s="29"/>
      <c r="K39" s="26"/>
      <c r="L39" s="25"/>
      <c r="M39" s="37" t="str">
        <f>IF(I39=0,"",VLOOKUP(I39,Municipalités!$A$2:$B$1290,2,TRUE))</f>
        <v/>
      </c>
    </row>
    <row r="40" spans="1:13" ht="30" customHeight="1" x14ac:dyDescent="0.25">
      <c r="A40" s="8"/>
      <c r="B40" s="8"/>
      <c r="C40" s="30"/>
      <c r="D40" s="8"/>
      <c r="E40" s="27"/>
      <c r="F40" s="31"/>
      <c r="G40" s="82" t="str">
        <f>IF(F40=0,"",VLOOKUP(F40,Employés!$A$2:$B$186,2,0))</f>
        <v/>
      </c>
      <c r="H40" s="82"/>
      <c r="I40" s="35"/>
      <c r="J40" s="29"/>
      <c r="K40" s="26"/>
      <c r="L40" s="25"/>
      <c r="M40" s="37" t="str">
        <f>IF(I40=0,"",VLOOKUP(I40,Municipalités!$A$2:$B$1290,2,TRUE))</f>
        <v/>
      </c>
    </row>
    <row r="41" spans="1:13" ht="30" customHeight="1" x14ac:dyDescent="0.25">
      <c r="A41" s="8"/>
      <c r="B41" s="8"/>
      <c r="C41" s="30"/>
      <c r="D41" s="8"/>
      <c r="E41" s="27"/>
      <c r="F41" s="31"/>
      <c r="G41" s="82" t="str">
        <f>IF(F41=0,"",VLOOKUP(F41,Employés!$A$2:$B$186,2,0))</f>
        <v/>
      </c>
      <c r="H41" s="82"/>
      <c r="I41" s="35"/>
      <c r="J41" s="29"/>
      <c r="K41" s="26"/>
      <c r="L41" s="25"/>
      <c r="M41" s="37" t="str">
        <f>IF(I41=0,"",VLOOKUP(I41,Municipalités!$A$2:$B$1290,2,TRUE))</f>
        <v/>
      </c>
    </row>
    <row r="42" spans="1:13" ht="30" customHeight="1" x14ac:dyDescent="0.25">
      <c r="A42" s="8"/>
      <c r="B42" s="8"/>
      <c r="C42" s="30"/>
      <c r="D42" s="8"/>
      <c r="E42" s="27"/>
      <c r="F42" s="31"/>
      <c r="G42" s="82" t="str">
        <f>IF(F42=0,"",VLOOKUP(F42,Employés!$A$2:$B$186,2,0))</f>
        <v/>
      </c>
      <c r="H42" s="82"/>
      <c r="I42" s="35"/>
      <c r="J42" s="29"/>
      <c r="K42" s="26"/>
      <c r="L42" s="25"/>
      <c r="M42" s="37" t="str">
        <f>IF(I42=0,"",VLOOKUP(I42,Municipalités!$A$2:$B$1290,2,TRUE))</f>
        <v/>
      </c>
    </row>
    <row r="43" spans="1:13" ht="30" customHeight="1" x14ac:dyDescent="0.25">
      <c r="A43" s="8"/>
      <c r="B43" s="8"/>
      <c r="C43" s="30"/>
      <c r="D43" s="8"/>
      <c r="E43" s="27" t="s">
        <v>1420</v>
      </c>
      <c r="F43" s="31"/>
      <c r="G43" s="82" t="str">
        <f>IF(F43=0,"",VLOOKUP(F43,Employés!$A$2:$B$186,2,0))</f>
        <v/>
      </c>
      <c r="H43" s="82"/>
      <c r="I43" s="35"/>
      <c r="J43" s="29"/>
      <c r="K43" s="26"/>
      <c r="L43" s="25" t="s">
        <v>1420</v>
      </c>
      <c r="M43" s="37" t="str">
        <f>IF(I43=0,"",VLOOKUP(I43,Municipalités!$A$2:$B$1290,2,TRUE))</f>
        <v/>
      </c>
    </row>
    <row r="44" spans="1:13" ht="30" customHeight="1" x14ac:dyDescent="0.25">
      <c r="A44" s="8"/>
      <c r="B44" s="8"/>
      <c r="C44" s="30"/>
      <c r="D44" s="8"/>
      <c r="E44" s="27"/>
      <c r="F44" s="31"/>
      <c r="G44" s="82" t="str">
        <f>IF(F44=0,"",VLOOKUP(F44,Employés!$A$2:$B$186,2,0))</f>
        <v/>
      </c>
      <c r="H44" s="82"/>
      <c r="I44" s="35"/>
      <c r="J44" s="29"/>
      <c r="K44" s="26"/>
      <c r="L44" s="25"/>
      <c r="M44" s="37" t="str">
        <f>IF(I44=0,"",VLOOKUP(I44,Municipalités!$A$2:$B$1290,2,TRUE))</f>
        <v/>
      </c>
    </row>
    <row r="45" spans="1:13" ht="30" customHeight="1" x14ac:dyDescent="0.25">
      <c r="A45" s="8"/>
      <c r="B45" s="8"/>
      <c r="C45" s="30"/>
      <c r="D45" s="8"/>
      <c r="E45" s="27"/>
      <c r="F45" s="31"/>
      <c r="G45" s="82" t="str">
        <f>IF(F45=0,"",VLOOKUP(F45,Employés!$A$2:$B$186,2,0))</f>
        <v/>
      </c>
      <c r="H45" s="82"/>
      <c r="I45" s="35"/>
      <c r="J45" s="29"/>
      <c r="K45" s="26"/>
      <c r="L45" s="25"/>
      <c r="M45" s="37" t="str">
        <f>IF(I45=0,"",VLOOKUP(I45,Municipalités!$A$2:$B$1290,2,TRUE))</f>
        <v/>
      </c>
    </row>
    <row r="46" spans="1:13" ht="30" customHeight="1" x14ac:dyDescent="0.25">
      <c r="A46" s="8"/>
      <c r="B46" s="8"/>
      <c r="C46" s="30"/>
      <c r="D46" s="8"/>
      <c r="E46" s="27"/>
      <c r="F46" s="31"/>
      <c r="G46" s="82" t="str">
        <f>IF(F46=0,"",VLOOKUP(F46,Employés!$A$2:$B$186,2,0))</f>
        <v/>
      </c>
      <c r="H46" s="82"/>
      <c r="I46" s="35"/>
      <c r="J46" s="29"/>
      <c r="K46" s="26"/>
      <c r="L46" s="25"/>
      <c r="M46" s="37" t="str">
        <f>IF(I46=0,"",VLOOKUP(I46,Municipalités!$A$2:$B$1290,2,TRUE))</f>
        <v/>
      </c>
    </row>
    <row r="47" spans="1:13" ht="30" customHeight="1" x14ac:dyDescent="0.25">
      <c r="A47" s="8"/>
      <c r="B47" s="8"/>
      <c r="C47" s="30"/>
      <c r="D47" s="8"/>
      <c r="E47" s="27"/>
      <c r="F47" s="31"/>
      <c r="G47" s="82" t="str">
        <f>IF(F47=0,"",VLOOKUP(F47,Employés!$A$2:$B$186,2,0))</f>
        <v/>
      </c>
      <c r="H47" s="82"/>
      <c r="I47" s="35"/>
      <c r="J47" s="29"/>
      <c r="K47" s="26"/>
      <c r="L47" s="25"/>
      <c r="M47" s="37" t="str">
        <f>IF(I47=0,"",VLOOKUP(I47,Municipalités!$A$2:$B$1290,2,TRUE))</f>
        <v/>
      </c>
    </row>
    <row r="48" spans="1:13" ht="30" customHeight="1" x14ac:dyDescent="0.25">
      <c r="A48" s="8"/>
      <c r="B48" s="8"/>
      <c r="C48" s="30"/>
      <c r="D48" s="8"/>
      <c r="E48" s="27"/>
      <c r="F48" s="31"/>
      <c r="G48" s="82" t="str">
        <f>IF(F48=0,"",VLOOKUP(F48,Employés!$A$2:$B$186,2,0))</f>
        <v/>
      </c>
      <c r="H48" s="82"/>
      <c r="I48" s="35"/>
      <c r="J48" s="29"/>
      <c r="K48" s="26"/>
      <c r="L48" s="25"/>
      <c r="M48" s="37" t="str">
        <f>IF(I48=0,"",VLOOKUP(I48,Municipalités!$A$2:$B$1290,2,TRUE))</f>
        <v/>
      </c>
    </row>
    <row r="49" spans="1:13" ht="30" customHeight="1" x14ac:dyDescent="0.25">
      <c r="A49" s="8"/>
      <c r="B49" s="8"/>
      <c r="C49" s="30"/>
      <c r="D49" s="8"/>
      <c r="E49" s="27"/>
      <c r="F49" s="31"/>
      <c r="G49" s="82" t="str">
        <f>IF(F49=0,"",VLOOKUP(F49,Employés!$A$2:$B$186,2,0))</f>
        <v/>
      </c>
      <c r="H49" s="82"/>
      <c r="I49" s="35"/>
      <c r="J49" s="29"/>
      <c r="K49" s="26"/>
      <c r="L49" s="25"/>
      <c r="M49" s="37" t="str">
        <f>IF(I49=0,"",VLOOKUP(I49,Municipalités!$A$2:$B$1290,2,TRUE))</f>
        <v/>
      </c>
    </row>
    <row r="50" spans="1:13" ht="30" customHeight="1" x14ac:dyDescent="0.25">
      <c r="A50" s="8"/>
      <c r="B50" s="8"/>
      <c r="C50" s="30"/>
      <c r="D50" s="8"/>
      <c r="E50" s="27"/>
      <c r="F50" s="31"/>
      <c r="G50" s="82" t="str">
        <f>IF(F50=0,"",VLOOKUP(F50,Employés!$A$2:$B$186,2,0))</f>
        <v/>
      </c>
      <c r="H50" s="82"/>
      <c r="I50" s="35"/>
      <c r="J50" s="29"/>
      <c r="K50" s="26"/>
      <c r="L50" s="25"/>
      <c r="M50" s="37" t="str">
        <f>IF(I50=0,"",VLOOKUP(I50,Municipalités!$A$2:$B$1290,2,TRUE))</f>
        <v/>
      </c>
    </row>
    <row r="51" spans="1:13" ht="30" customHeight="1" x14ac:dyDescent="0.25">
      <c r="A51" s="8"/>
      <c r="B51" s="8"/>
      <c r="C51" s="30"/>
      <c r="D51" s="8"/>
      <c r="E51" s="27"/>
      <c r="F51" s="31"/>
      <c r="G51" s="82" t="str">
        <f>IF(F51=0,"",VLOOKUP(F51,Employés!$A$2:$B$186,2,0))</f>
        <v/>
      </c>
      <c r="H51" s="82"/>
      <c r="I51" s="35"/>
      <c r="J51" s="29"/>
      <c r="K51" s="26"/>
      <c r="L51" s="25"/>
      <c r="M51" s="37" t="str">
        <f>IF(I51=0,"",VLOOKUP(I51,Municipalités!$A$2:$B$1290,2,TRUE))</f>
        <v/>
      </c>
    </row>
    <row r="52" spans="1:13" ht="30" customHeight="1" x14ac:dyDescent="0.25">
      <c r="A52" s="8"/>
      <c r="B52" s="8"/>
      <c r="C52" s="30"/>
      <c r="D52" s="8"/>
      <c r="E52" s="27"/>
      <c r="F52" s="31"/>
      <c r="G52" s="82" t="str">
        <f>IF(F52=0,"",VLOOKUP(F52,Employés!$A$2:$B$186,2,0))</f>
        <v/>
      </c>
      <c r="H52" s="82"/>
      <c r="I52" s="35"/>
      <c r="J52" s="29"/>
      <c r="K52" s="26"/>
      <c r="L52" s="25"/>
      <c r="M52" s="37" t="str">
        <f>IF(I52=0,"",VLOOKUP(I52,Municipalités!$A$2:$B$1290,2,TRUE))</f>
        <v/>
      </c>
    </row>
    <row r="53" spans="1:13" ht="30" customHeight="1" x14ac:dyDescent="0.25">
      <c r="A53" s="8"/>
      <c r="B53" s="8"/>
      <c r="C53" s="30"/>
      <c r="D53" s="8"/>
      <c r="E53" s="27"/>
      <c r="F53" s="31"/>
      <c r="G53" s="82" t="str">
        <f>IF(F53=0,"",VLOOKUP(F53,Employés!$A$2:$B$186,2,0))</f>
        <v/>
      </c>
      <c r="H53" s="82"/>
      <c r="I53" s="35"/>
      <c r="J53" s="29"/>
      <c r="K53" s="26"/>
      <c r="L53" s="25"/>
      <c r="M53" s="37" t="str">
        <f>IF(I53=0,"",VLOOKUP(I53,Municipalités!$A$2:$B$1290,2,TRUE))</f>
        <v/>
      </c>
    </row>
    <row r="54" spans="1:13" ht="30" customHeight="1" x14ac:dyDescent="0.25">
      <c r="A54" s="8"/>
      <c r="B54" s="8"/>
      <c r="C54" s="30"/>
      <c r="D54" s="8"/>
      <c r="E54" s="27"/>
      <c r="F54" s="31"/>
      <c r="G54" s="82" t="str">
        <f>IF(F54=0,"",VLOOKUP(F54,Employés!$A$2:$B$186,2,0))</f>
        <v/>
      </c>
      <c r="H54" s="82"/>
      <c r="I54" s="35"/>
      <c r="J54" s="29"/>
      <c r="K54" s="26"/>
      <c r="L54" s="25"/>
      <c r="M54" s="37" t="str">
        <f>IF(I54=0,"",VLOOKUP(I54,Municipalités!$A$2:$B$1290,2,TRUE))</f>
        <v/>
      </c>
    </row>
    <row r="55" spans="1:13" ht="30" customHeight="1" x14ac:dyDescent="0.25">
      <c r="A55" s="8"/>
      <c r="B55" s="8"/>
      <c r="C55" s="30"/>
      <c r="D55" s="8"/>
      <c r="E55" s="27"/>
      <c r="F55" s="31"/>
      <c r="G55" s="82" t="str">
        <f>IF(F55=0,"",VLOOKUP(F55,Employés!$A$2:$B$186,2,0))</f>
        <v/>
      </c>
      <c r="H55" s="82"/>
      <c r="I55" s="35"/>
      <c r="J55" s="29"/>
      <c r="K55" s="26"/>
      <c r="L55" s="25"/>
      <c r="M55" s="37" t="str">
        <f>IF(I55=0,"",VLOOKUP(I55,Municipalités!$A$2:$B$1290,2,TRUE))</f>
        <v/>
      </c>
    </row>
    <row r="56" spans="1:13" ht="30" customHeight="1" x14ac:dyDescent="0.25">
      <c r="A56" s="8"/>
      <c r="B56" s="8"/>
      <c r="C56" s="30"/>
      <c r="D56" s="8"/>
      <c r="E56" s="27"/>
      <c r="F56" s="31"/>
      <c r="G56" s="82" t="str">
        <f>IF(F56=0,"",VLOOKUP(F56,Employés!$A$2:$B$186,2,0))</f>
        <v/>
      </c>
      <c r="H56" s="82"/>
      <c r="I56" s="35"/>
      <c r="J56" s="29"/>
      <c r="K56" s="26"/>
      <c r="L56" s="25"/>
      <c r="M56" s="37" t="str">
        <f>IF(I56=0,"",VLOOKUP(I56,Municipalités!$A$2:$B$1290,2,TRUE))</f>
        <v/>
      </c>
    </row>
    <row r="57" spans="1:13" ht="30" customHeight="1" x14ac:dyDescent="0.25">
      <c r="A57" s="8"/>
      <c r="B57" s="8"/>
      <c r="C57" s="30"/>
      <c r="D57" s="8"/>
      <c r="E57" s="27"/>
      <c r="F57" s="31"/>
      <c r="G57" s="82" t="str">
        <f>IF(F57=0,"",VLOOKUP(F57,Employés!$A$2:$B$186,2,0))</f>
        <v/>
      </c>
      <c r="H57" s="82"/>
      <c r="I57" s="35"/>
      <c r="J57" s="29"/>
      <c r="K57" s="26"/>
      <c r="L57" s="25"/>
      <c r="M57" s="37" t="str">
        <f>IF(I57=0,"",VLOOKUP(I57,Municipalités!$A$2:$B$1290,2,TRUE))</f>
        <v/>
      </c>
    </row>
    <row r="58" spans="1:13" ht="30" customHeight="1" x14ac:dyDescent="0.25">
      <c r="A58" s="8"/>
      <c r="B58" s="8"/>
      <c r="C58" s="30"/>
      <c r="D58" s="8"/>
      <c r="E58" s="27"/>
      <c r="F58" s="31"/>
      <c r="G58" s="82" t="str">
        <f>IF(F58=0,"",VLOOKUP(F58,Employés!$A$2:$B$186,2,0))</f>
        <v/>
      </c>
      <c r="H58" s="82"/>
      <c r="I58" s="35"/>
      <c r="J58" s="29"/>
      <c r="K58" s="26"/>
      <c r="L58" s="25"/>
      <c r="M58" s="37" t="str">
        <f>IF(I58=0,"",VLOOKUP(I58,Municipalités!$A$2:$B$1290,2,TRUE))</f>
        <v/>
      </c>
    </row>
    <row r="59" spans="1:13" ht="30" customHeight="1" x14ac:dyDescent="0.25">
      <c r="A59" s="8"/>
      <c r="B59" s="8"/>
      <c r="C59" s="30"/>
      <c r="D59" s="8"/>
      <c r="E59" s="27"/>
      <c r="F59" s="31"/>
      <c r="G59" s="82" t="str">
        <f>IF(F59=0,"",VLOOKUP(F59,Employés!$A$2:$B$186,2,0))</f>
        <v/>
      </c>
      <c r="H59" s="82"/>
      <c r="I59" s="35"/>
      <c r="J59" s="29"/>
      <c r="K59" s="26"/>
      <c r="L59" s="25"/>
      <c r="M59" s="37" t="str">
        <f>IF(I59=0,"",VLOOKUP(I59,Municipalités!$A$2:$B$1290,2,TRUE))</f>
        <v/>
      </c>
    </row>
    <row r="60" spans="1:13" ht="30" customHeight="1" x14ac:dyDescent="0.25">
      <c r="A60" s="8"/>
      <c r="B60" s="8"/>
      <c r="C60" s="30"/>
      <c r="D60" s="8"/>
      <c r="E60" s="27"/>
      <c r="F60" s="31"/>
      <c r="G60" s="82" t="str">
        <f>IF(F60=0,"",VLOOKUP(F60,Employés!$A$2:$B$186,2,0))</f>
        <v/>
      </c>
      <c r="H60" s="82"/>
      <c r="I60" s="35"/>
      <c r="J60" s="29"/>
      <c r="K60" s="26"/>
      <c r="L60" s="25"/>
      <c r="M60" s="37" t="str">
        <f>IF(I60=0,"",VLOOKUP(I60,Municipalités!$A$2:$B$1290,2,TRUE))</f>
        <v/>
      </c>
    </row>
    <row r="61" spans="1:13" ht="30" customHeight="1" x14ac:dyDescent="0.25">
      <c r="A61" s="8"/>
      <c r="B61" s="8"/>
      <c r="C61" s="30"/>
      <c r="D61" s="8"/>
      <c r="E61" s="27"/>
      <c r="F61" s="31"/>
      <c r="G61" s="82" t="str">
        <f>IF(F61=0,"",VLOOKUP(F61,Employés!$A$2:$B$186,2,0))</f>
        <v/>
      </c>
      <c r="H61" s="82"/>
      <c r="I61" s="35"/>
      <c r="J61" s="29"/>
      <c r="K61" s="26"/>
      <c r="L61" s="25"/>
      <c r="M61" s="37" t="str">
        <f>IF(I61=0,"",VLOOKUP(I61,Municipalités!$A$2:$B$1290,2,TRUE))</f>
        <v/>
      </c>
    </row>
    <row r="62" spans="1:13" x14ac:dyDescent="0.25">
      <c r="C62" s="14"/>
    </row>
    <row r="63" spans="1:13" x14ac:dyDescent="0.25">
      <c r="C63" s="14"/>
    </row>
    <row r="64" spans="1:13" x14ac:dyDescent="0.25">
      <c r="C64" s="14"/>
    </row>
    <row r="65" spans="3:5" x14ac:dyDescent="0.25">
      <c r="C65" s="14"/>
    </row>
    <row r="66" spans="3:5" x14ac:dyDescent="0.25">
      <c r="C66" s="14"/>
    </row>
    <row r="67" spans="3:5" x14ac:dyDescent="0.25">
      <c r="C67" s="14"/>
    </row>
    <row r="68" spans="3:5" x14ac:dyDescent="0.25">
      <c r="C68" s="14"/>
    </row>
    <row r="69" spans="3:5" x14ac:dyDescent="0.25">
      <c r="C69" s="14"/>
    </row>
    <row r="70" spans="3:5" x14ac:dyDescent="0.25">
      <c r="C70" s="14"/>
    </row>
    <row r="71" spans="3:5" x14ac:dyDescent="0.25">
      <c r="C71" s="14"/>
    </row>
    <row r="72" spans="3:5" x14ac:dyDescent="0.25">
      <c r="C72" s="14"/>
    </row>
    <row r="73" spans="3:5" x14ac:dyDescent="0.25">
      <c r="C73" s="14"/>
    </row>
    <row r="74" spans="3:5" x14ac:dyDescent="0.25">
      <c r="C74" s="14"/>
    </row>
    <row r="75" spans="3:5" x14ac:dyDescent="0.25">
      <c r="C75" s="14"/>
    </row>
    <row r="76" spans="3:5" x14ac:dyDescent="0.25">
      <c r="C76" s="14"/>
    </row>
    <row r="77" spans="3:5" x14ac:dyDescent="0.25">
      <c r="C77" s="14"/>
    </row>
    <row r="78" spans="3:5" x14ac:dyDescent="0.25">
      <c r="C78" s="14"/>
      <c r="E78" s="21" t="s">
        <v>1420</v>
      </c>
    </row>
    <row r="79" spans="3:5" x14ac:dyDescent="0.25">
      <c r="C79" s="14"/>
    </row>
    <row r="80" spans="3:5" x14ac:dyDescent="0.25">
      <c r="C80" s="14"/>
    </row>
    <row r="81" spans="3:3" x14ac:dyDescent="0.25">
      <c r="C81" s="14"/>
    </row>
    <row r="82" spans="3:3" x14ac:dyDescent="0.25">
      <c r="C82" s="14"/>
    </row>
    <row r="83" spans="3:3" x14ac:dyDescent="0.25">
      <c r="C83" s="14"/>
    </row>
    <row r="84" spans="3:3" x14ac:dyDescent="0.25">
      <c r="C84" s="14"/>
    </row>
    <row r="85" spans="3:3" x14ac:dyDescent="0.25">
      <c r="C85" s="14"/>
    </row>
    <row r="86" spans="3:3" x14ac:dyDescent="0.25">
      <c r="C86" s="14"/>
    </row>
    <row r="87" spans="3:3" x14ac:dyDescent="0.25">
      <c r="C87" s="14"/>
    </row>
    <row r="88" spans="3:3" x14ac:dyDescent="0.25">
      <c r="C88" s="14"/>
    </row>
    <row r="89" spans="3:3" x14ac:dyDescent="0.25">
      <c r="C89" s="14"/>
    </row>
    <row r="90" spans="3:3" x14ac:dyDescent="0.25">
      <c r="C90" s="14"/>
    </row>
    <row r="91" spans="3:3" x14ac:dyDescent="0.25">
      <c r="C91" s="14"/>
    </row>
    <row r="92" spans="3:3" x14ac:dyDescent="0.25">
      <c r="C92" s="14"/>
    </row>
    <row r="93" spans="3:3" x14ac:dyDescent="0.25">
      <c r="C93" s="14"/>
    </row>
    <row r="94" spans="3:3" x14ac:dyDescent="0.25">
      <c r="C94" s="14"/>
    </row>
    <row r="95" spans="3:3" x14ac:dyDescent="0.25">
      <c r="C95" s="14"/>
    </row>
    <row r="96" spans="3:3" x14ac:dyDescent="0.25">
      <c r="C96" s="14"/>
    </row>
    <row r="97" spans="3:3" x14ac:dyDescent="0.25">
      <c r="C97" s="14"/>
    </row>
    <row r="98" spans="3:3" x14ac:dyDescent="0.25">
      <c r="C98" s="14"/>
    </row>
  </sheetData>
  <mergeCells count="67">
    <mergeCell ref="M2:M4"/>
    <mergeCell ref="E1:F4"/>
    <mergeCell ref="L1:L2"/>
    <mergeCell ref="A6:A7"/>
    <mergeCell ref="B6:B7"/>
    <mergeCell ref="C6:C7"/>
    <mergeCell ref="D6:D7"/>
    <mergeCell ref="E6:E7"/>
    <mergeCell ref="F6:F7"/>
    <mergeCell ref="G6:H7"/>
    <mergeCell ref="G16:H16"/>
    <mergeCell ref="I6:I7"/>
    <mergeCell ref="J6:J7"/>
    <mergeCell ref="K6:M6"/>
    <mergeCell ref="G8:H8"/>
    <mergeCell ref="G9:H9"/>
    <mergeCell ref="G10:H10"/>
    <mergeCell ref="G11:H11"/>
    <mergeCell ref="G12:H12"/>
    <mergeCell ref="G13:H13"/>
    <mergeCell ref="G14:H14"/>
    <mergeCell ref="G15:H15"/>
    <mergeCell ref="G28:H28"/>
    <mergeCell ref="G17:H17"/>
    <mergeCell ref="G18:H18"/>
    <mergeCell ref="G19:H19"/>
    <mergeCell ref="G20:H20"/>
    <mergeCell ref="G21:H21"/>
    <mergeCell ref="G22:H22"/>
    <mergeCell ref="G23:H23"/>
    <mergeCell ref="G24:H24"/>
    <mergeCell ref="G25:H25"/>
    <mergeCell ref="G26:H26"/>
    <mergeCell ref="G27:H27"/>
    <mergeCell ref="G40:H40"/>
    <mergeCell ref="G29:H29"/>
    <mergeCell ref="G30:H30"/>
    <mergeCell ref="G31:H31"/>
    <mergeCell ref="G32:H32"/>
    <mergeCell ref="G33:H33"/>
    <mergeCell ref="G34:H34"/>
    <mergeCell ref="G35:H35"/>
    <mergeCell ref="G36:H36"/>
    <mergeCell ref="G37:H37"/>
    <mergeCell ref="G38:H38"/>
    <mergeCell ref="G39:H39"/>
    <mergeCell ref="G52:H52"/>
    <mergeCell ref="G41:H41"/>
    <mergeCell ref="G42:H42"/>
    <mergeCell ref="G43:H43"/>
    <mergeCell ref="G44:H44"/>
    <mergeCell ref="G45:H45"/>
    <mergeCell ref="G46:H46"/>
    <mergeCell ref="G47:H47"/>
    <mergeCell ref="G48:H48"/>
    <mergeCell ref="G49:H49"/>
    <mergeCell ref="G50:H50"/>
    <mergeCell ref="G51:H51"/>
    <mergeCell ref="G59:H59"/>
    <mergeCell ref="G60:H60"/>
    <mergeCell ref="G61:H61"/>
    <mergeCell ref="G53:H53"/>
    <mergeCell ref="G54:H54"/>
    <mergeCell ref="G55:H55"/>
    <mergeCell ref="G56:H56"/>
    <mergeCell ref="G57:H57"/>
    <mergeCell ref="G58:H58"/>
  </mergeCells>
  <conditionalFormatting sqref="C16:C21 C23:C45">
    <cfRule type="expression" dxfId="5" priority="7" stopIfTrue="1">
      <formula>#REF!=1</formula>
    </cfRule>
    <cfRule type="expression" priority="8" stopIfTrue="1">
      <formula>#REF!=2</formula>
    </cfRule>
    <cfRule type="expression" dxfId="4" priority="9" stopIfTrue="1">
      <formula>#REF!=3</formula>
    </cfRule>
  </conditionalFormatting>
  <conditionalFormatting sqref="C22">
    <cfRule type="expression" dxfId="3" priority="4" stopIfTrue="1">
      <formula>#REF!=1</formula>
    </cfRule>
    <cfRule type="expression" priority="5" stopIfTrue="1">
      <formula>#REF!=2</formula>
    </cfRule>
    <cfRule type="expression" dxfId="2" priority="6" stopIfTrue="1">
      <formula>#REF!=3</formula>
    </cfRule>
  </conditionalFormatting>
  <conditionalFormatting sqref="C46:C61">
    <cfRule type="expression" dxfId="1" priority="1" stopIfTrue="1">
      <formula>#REF!=1</formula>
    </cfRule>
    <cfRule type="expression" priority="2" stopIfTrue="1">
      <formula>#REF!=2</formula>
    </cfRule>
    <cfRule type="expression" dxfId="0" priority="3" stopIfTrue="1">
      <formula>#REF!=3</formula>
    </cfRule>
  </conditionalFormatting>
  <dataValidations count="2">
    <dataValidation operator="greaterThan" allowBlank="1" showDropDown="1" showInputMessage="1" showErrorMessage="1" errorTitle="Saisie incorrecte" error="Re-Saisir le numéro de dossier sous le format_x000a_000-000000-000" promptTitle="Saisie du numéro d'événement" prompt="000-000000-000_x000a_Ex. : 071-030901-001" sqref="J8:J39" xr:uid="{00000000-0002-0000-1E00-000000000000}"/>
    <dataValidation type="textLength" operator="greaterThanOrEqual" allowBlank="1" showInputMessage="1" showErrorMessage="1" errorTitle="Saisie incorrecte" error="Re-saisir le numéro d'entrée en utilisant 3 chiffres_x000a_Ex.: 001" promptTitle="Saisie du numéro d'entrée" prompt="Minimum 3 chiffres_x000a_Ex.: 001" sqref="C8:C39" xr:uid="{00000000-0002-0000-1E00-000001000000}">
      <formula1>3</formula1>
    </dataValidation>
  </dataValidations>
  <printOptions horizontalCentered="1" verticalCentered="1"/>
  <pageMargins left="0" right="0" top="0.31496062992125984" bottom="0.39370078740157483" header="0.15748031496062992" footer="0.19685039370078741"/>
  <pageSetup paperSize="5" scale="90" orientation="landscape" r:id="rId1"/>
  <headerFooter alignWithMargins="0">
    <oddFooter>&amp;R&amp;8Page &amp;P de &amp;N</oddFooter>
  </headerFooter>
  <drawing r:id="rId2"/>
  <legacyDrawing r:id="rId3"/>
  <controls>
    <mc:AlternateContent xmlns:mc="http://schemas.openxmlformats.org/markup-compatibility/2006">
      <mc:Choice Requires="x14">
        <control shapeId="177154" r:id="rId4" name="ComboBox1">
          <controlPr defaultSize="0" autoLine="0" r:id="rId5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11</xdr:col>
                <xdr:colOff>1803400</xdr:colOff>
                <xdr:row>9</xdr:row>
                <xdr:rowOff>38100</xdr:rowOff>
              </to>
            </anchor>
          </controlPr>
        </control>
      </mc:Choice>
      <mc:Fallback>
        <control shapeId="177154" r:id="rId4" name="ComboBox1"/>
      </mc:Fallback>
    </mc:AlternateContent>
    <mc:AlternateContent xmlns:mc="http://schemas.openxmlformats.org/markup-compatibility/2006">
      <mc:Choice Requires="x14">
        <control shapeId="177155" r:id="rId6" name="ComboBox2">
          <controlPr defaultSize="0" autoLine="0" r:id="rId7">
            <anchor moveWithCells="1">
              <from>
                <xdr:col>4</xdr:col>
                <xdr:colOff>0</xdr:colOff>
                <xdr:row>8</xdr:row>
                <xdr:rowOff>0</xdr:rowOff>
              </from>
              <to>
                <xdr:col>4</xdr:col>
                <xdr:colOff>2965450</xdr:colOff>
                <xdr:row>9</xdr:row>
                <xdr:rowOff>38100</xdr:rowOff>
              </to>
            </anchor>
          </controlPr>
        </control>
      </mc:Choice>
      <mc:Fallback>
        <control shapeId="177155" r:id="rId6" name="ComboBox2"/>
      </mc:Fallback>
    </mc:AlternateContent>
    <mc:AlternateContent xmlns:mc="http://schemas.openxmlformats.org/markup-compatibility/2006">
      <mc:Choice Requires="x14">
        <control shapeId="177153" r:id="rId8" name="Button 1">
          <controlPr defaultSize="0" print="0" autoFill="0" autoPict="0" macro="[0]!test2">
            <anchor moveWithCells="1">
              <from>
                <xdr:col>5</xdr:col>
                <xdr:colOff>222250</xdr:colOff>
                <xdr:row>1</xdr:row>
                <xdr:rowOff>139700</xdr:rowOff>
              </from>
              <to>
                <xdr:col>9</xdr:col>
                <xdr:colOff>1143000</xdr:colOff>
                <xdr:row>4</xdr:row>
                <xdr:rowOff>107950</xdr:rowOff>
              </to>
            </anchor>
          </controlPr>
        </control>
      </mc:Choice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Feuil2"/>
  <dimension ref="A1:AN385"/>
  <sheetViews>
    <sheetView showGridLines="0" workbookViewId="0">
      <selection activeCell="A2" sqref="A2:B9"/>
    </sheetView>
  </sheetViews>
  <sheetFormatPr baseColWidth="10" defaultRowHeight="12.5" x14ac:dyDescent="0.25"/>
  <cols>
    <col min="1" max="1" width="9.453125" style="3" bestFit="1" customWidth="1"/>
    <col min="2" max="2" width="29.54296875" style="3" bestFit="1" customWidth="1"/>
  </cols>
  <sheetData>
    <row r="1" spans="1:40" ht="13" x14ac:dyDescent="0.3">
      <c r="A1" s="4" t="s">
        <v>1024</v>
      </c>
      <c r="B1" s="4" t="s">
        <v>1025</v>
      </c>
    </row>
    <row r="2" spans="1:40" x14ac:dyDescent="0.25">
      <c r="A2" s="9">
        <v>7636</v>
      </c>
      <c r="B2" s="10" t="s">
        <v>1389</v>
      </c>
    </row>
    <row r="3" spans="1:40" x14ac:dyDescent="0.25">
      <c r="A3" s="9">
        <v>8079</v>
      </c>
      <c r="B3" s="10" t="s">
        <v>1382</v>
      </c>
    </row>
    <row r="4" spans="1:40" x14ac:dyDescent="0.25">
      <c r="A4" s="9">
        <v>8084</v>
      </c>
      <c r="B4" s="10" t="s">
        <v>1390</v>
      </c>
    </row>
    <row r="5" spans="1:40" x14ac:dyDescent="0.25">
      <c r="A5" s="9">
        <v>8311</v>
      </c>
      <c r="B5" s="10" t="s">
        <v>1384</v>
      </c>
    </row>
    <row r="6" spans="1:40" x14ac:dyDescent="0.25">
      <c r="A6" s="9">
        <v>8324</v>
      </c>
      <c r="B6" s="10" t="s">
        <v>1387</v>
      </c>
    </row>
    <row r="7" spans="1:40" x14ac:dyDescent="0.25">
      <c r="A7" s="9">
        <v>8465</v>
      </c>
      <c r="B7" s="10" t="s">
        <v>1383</v>
      </c>
    </row>
    <row r="8" spans="1:40" x14ac:dyDescent="0.25">
      <c r="A8" s="9">
        <v>8647</v>
      </c>
      <c r="B8" s="10" t="s">
        <v>1423</v>
      </c>
    </row>
    <row r="9" spans="1:40" x14ac:dyDescent="0.25">
      <c r="A9" s="9">
        <v>8886</v>
      </c>
      <c r="B9" s="10" t="s">
        <v>1422</v>
      </c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</row>
    <row r="10" spans="1:40" x14ac:dyDescent="0.25">
      <c r="A10" s="9">
        <v>9080</v>
      </c>
      <c r="B10" s="10" t="s">
        <v>1388</v>
      </c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</row>
    <row r="11" spans="1:40" x14ac:dyDescent="0.25">
      <c r="A11" s="12">
        <v>9439</v>
      </c>
      <c r="B11" s="40" t="s">
        <v>3056</v>
      </c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</row>
    <row r="12" spans="1:40" x14ac:dyDescent="0.25">
      <c r="A12" s="12">
        <v>9507</v>
      </c>
      <c r="B12" s="68" t="s">
        <v>3059</v>
      </c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</row>
    <row r="13" spans="1:40" x14ac:dyDescent="0.25">
      <c r="A13" s="12">
        <v>9763</v>
      </c>
      <c r="B13" s="40" t="s">
        <v>3040</v>
      </c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</row>
    <row r="14" spans="1:40" x14ac:dyDescent="0.25">
      <c r="A14" s="9">
        <v>9828</v>
      </c>
      <c r="B14" s="10" t="s">
        <v>1409</v>
      </c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</row>
    <row r="15" spans="1:40" x14ac:dyDescent="0.25">
      <c r="A15" s="12">
        <v>9897</v>
      </c>
      <c r="B15" s="13" t="s">
        <v>1449</v>
      </c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</row>
    <row r="16" spans="1:40" x14ac:dyDescent="0.25">
      <c r="A16" s="12">
        <v>9901</v>
      </c>
      <c r="B16" s="40" t="s">
        <v>3060</v>
      </c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</row>
    <row r="17" spans="1:40" x14ac:dyDescent="0.25">
      <c r="A17" s="12">
        <v>9971</v>
      </c>
      <c r="B17" s="40" t="s">
        <v>3061</v>
      </c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</row>
    <row r="18" spans="1:40" x14ac:dyDescent="0.25">
      <c r="A18" s="12">
        <v>10163</v>
      </c>
      <c r="B18" s="13" t="s">
        <v>1448</v>
      </c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</row>
    <row r="19" spans="1:40" x14ac:dyDescent="0.25">
      <c r="A19" s="9">
        <v>10643</v>
      </c>
      <c r="B19" s="10" t="s">
        <v>1435</v>
      </c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</row>
    <row r="20" spans="1:40" x14ac:dyDescent="0.25">
      <c r="A20" s="12">
        <v>10652</v>
      </c>
      <c r="B20" s="13" t="s">
        <v>1476</v>
      </c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</row>
    <row r="21" spans="1:40" x14ac:dyDescent="0.25">
      <c r="A21" s="9">
        <v>10655</v>
      </c>
      <c r="B21" s="10" t="s">
        <v>1391</v>
      </c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</row>
    <row r="22" spans="1:40" x14ac:dyDescent="0.25">
      <c r="A22" s="9">
        <v>10656</v>
      </c>
      <c r="B22" s="10" t="s">
        <v>1398</v>
      </c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</row>
    <row r="23" spans="1:40" x14ac:dyDescent="0.25">
      <c r="A23" s="9">
        <v>10661</v>
      </c>
      <c r="B23" s="10" t="s">
        <v>1385</v>
      </c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</row>
    <row r="24" spans="1:40" x14ac:dyDescent="0.25">
      <c r="A24" s="12">
        <v>10666</v>
      </c>
      <c r="B24" s="13" t="s">
        <v>1477</v>
      </c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</row>
    <row r="25" spans="1:40" x14ac:dyDescent="0.25">
      <c r="A25" s="9">
        <v>10675</v>
      </c>
      <c r="B25" s="10" t="s">
        <v>1392</v>
      </c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</row>
    <row r="26" spans="1:40" x14ac:dyDescent="0.25">
      <c r="A26" s="9">
        <v>10679</v>
      </c>
      <c r="B26" s="10" t="s">
        <v>1393</v>
      </c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</row>
    <row r="27" spans="1:40" x14ac:dyDescent="0.25">
      <c r="A27" s="9">
        <v>10680</v>
      </c>
      <c r="B27" s="10" t="s">
        <v>1394</v>
      </c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</row>
    <row r="28" spans="1:40" x14ac:dyDescent="0.25">
      <c r="A28" s="9">
        <v>10685</v>
      </c>
      <c r="B28" s="10" t="s">
        <v>1395</v>
      </c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</row>
    <row r="29" spans="1:40" x14ac:dyDescent="0.25">
      <c r="A29" s="9">
        <v>10836</v>
      </c>
      <c r="B29" s="10" t="s">
        <v>1436</v>
      </c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</row>
    <row r="30" spans="1:40" x14ac:dyDescent="0.25">
      <c r="A30" s="9">
        <v>10955</v>
      </c>
      <c r="B30" s="10" t="s">
        <v>1386</v>
      </c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</row>
    <row r="31" spans="1:40" x14ac:dyDescent="0.25">
      <c r="A31" s="9">
        <v>11198</v>
      </c>
      <c r="B31" s="10" t="s">
        <v>1410</v>
      </c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</row>
    <row r="32" spans="1:40" x14ac:dyDescent="0.25">
      <c r="A32" s="9">
        <v>11283</v>
      </c>
      <c r="B32" s="10" t="s">
        <v>1399</v>
      </c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</row>
    <row r="33" spans="1:40" x14ac:dyDescent="0.25">
      <c r="A33" s="9">
        <v>11359</v>
      </c>
      <c r="B33" s="10" t="s">
        <v>1400</v>
      </c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</row>
    <row r="34" spans="1:40" x14ac:dyDescent="0.25">
      <c r="A34" s="9">
        <v>11490</v>
      </c>
      <c r="B34" s="10" t="s">
        <v>1424</v>
      </c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</row>
    <row r="35" spans="1:40" x14ac:dyDescent="0.25">
      <c r="A35" s="9">
        <v>11494</v>
      </c>
      <c r="B35" s="10" t="s">
        <v>1396</v>
      </c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</row>
    <row r="36" spans="1:40" x14ac:dyDescent="0.25">
      <c r="A36" s="12">
        <v>11495</v>
      </c>
      <c r="B36" s="13" t="s">
        <v>1434</v>
      </c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</row>
    <row r="37" spans="1:40" x14ac:dyDescent="0.25">
      <c r="A37" s="12">
        <v>11518</v>
      </c>
      <c r="B37" s="13" t="s">
        <v>1450</v>
      </c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</row>
    <row r="38" spans="1:40" x14ac:dyDescent="0.25">
      <c r="A38" s="9">
        <v>11704</v>
      </c>
      <c r="B38" s="10" t="s">
        <v>1425</v>
      </c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</row>
    <row r="39" spans="1:40" x14ac:dyDescent="0.25">
      <c r="A39" s="12">
        <v>11713</v>
      </c>
      <c r="B39" s="13" t="s">
        <v>1451</v>
      </c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</row>
    <row r="40" spans="1:40" x14ac:dyDescent="0.25">
      <c r="A40" s="12">
        <v>11732</v>
      </c>
      <c r="B40" s="13" t="s">
        <v>1478</v>
      </c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</row>
    <row r="41" spans="1:40" x14ac:dyDescent="0.25">
      <c r="A41" s="9">
        <v>11743</v>
      </c>
      <c r="B41" s="10" t="s">
        <v>1397</v>
      </c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</row>
    <row r="42" spans="1:40" x14ac:dyDescent="0.25">
      <c r="A42" s="9">
        <v>11805</v>
      </c>
      <c r="B42" s="10" t="s">
        <v>1437</v>
      </c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</row>
    <row r="43" spans="1:40" x14ac:dyDescent="0.25">
      <c r="A43" s="9">
        <v>11823</v>
      </c>
      <c r="B43" s="10" t="s">
        <v>1411</v>
      </c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</row>
    <row r="44" spans="1:40" x14ac:dyDescent="0.25">
      <c r="A44" s="9">
        <v>11846</v>
      </c>
      <c r="B44" s="10" t="s">
        <v>1426</v>
      </c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</row>
    <row r="45" spans="1:40" x14ac:dyDescent="0.25">
      <c r="A45" s="9">
        <v>11865</v>
      </c>
      <c r="B45" s="10" t="s">
        <v>1438</v>
      </c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</row>
    <row r="46" spans="1:40" x14ac:dyDescent="0.25">
      <c r="A46" s="9">
        <v>11981</v>
      </c>
      <c r="B46" s="10" t="s">
        <v>1412</v>
      </c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</row>
    <row r="47" spans="1:40" x14ac:dyDescent="0.25">
      <c r="A47" s="9">
        <v>11983</v>
      </c>
      <c r="B47" s="10" t="s">
        <v>1401</v>
      </c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</row>
    <row r="48" spans="1:40" x14ac:dyDescent="0.25">
      <c r="A48" s="9">
        <v>12002</v>
      </c>
      <c r="B48" s="10" t="s">
        <v>1427</v>
      </c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</row>
    <row r="49" spans="1:40" x14ac:dyDescent="0.25">
      <c r="A49" s="9">
        <v>12136</v>
      </c>
      <c r="B49" s="10" t="s">
        <v>1428</v>
      </c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</row>
    <row r="50" spans="1:40" x14ac:dyDescent="0.25">
      <c r="A50" s="12">
        <v>12156</v>
      </c>
      <c r="B50" s="13" t="s">
        <v>1452</v>
      </c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</row>
    <row r="51" spans="1:40" x14ac:dyDescent="0.25">
      <c r="A51" s="9">
        <v>12161</v>
      </c>
      <c r="B51" s="10" t="s">
        <v>1413</v>
      </c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</row>
    <row r="52" spans="1:40" x14ac:dyDescent="0.25">
      <c r="A52" s="12">
        <v>12205</v>
      </c>
      <c r="B52" s="13" t="s">
        <v>1453</v>
      </c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</row>
    <row r="53" spans="1:40" x14ac:dyDescent="0.25">
      <c r="A53" s="12">
        <v>12225</v>
      </c>
      <c r="B53" s="13" t="s">
        <v>1454</v>
      </c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</row>
    <row r="54" spans="1:40" x14ac:dyDescent="0.25">
      <c r="A54" s="12">
        <v>12257</v>
      </c>
      <c r="B54" s="13" t="s">
        <v>1439</v>
      </c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</row>
    <row r="55" spans="1:40" x14ac:dyDescent="0.25">
      <c r="A55" s="9">
        <v>12291</v>
      </c>
      <c r="B55" s="10" t="s">
        <v>1414</v>
      </c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</row>
    <row r="56" spans="1:40" x14ac:dyDescent="0.25">
      <c r="A56" s="9">
        <v>12343</v>
      </c>
      <c r="B56" s="10" t="s">
        <v>1402</v>
      </c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</row>
    <row r="57" spans="1:40" x14ac:dyDescent="0.25">
      <c r="A57" s="9">
        <v>12370</v>
      </c>
      <c r="B57" s="10" t="s">
        <v>1403</v>
      </c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</row>
    <row r="58" spans="1:40" x14ac:dyDescent="0.25">
      <c r="A58" s="9">
        <v>12383</v>
      </c>
      <c r="B58" s="10" t="s">
        <v>1415</v>
      </c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</row>
    <row r="59" spans="1:40" x14ac:dyDescent="0.25">
      <c r="A59" s="12">
        <v>12388</v>
      </c>
      <c r="B59" s="13" t="s">
        <v>1455</v>
      </c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</row>
    <row r="60" spans="1:40" x14ac:dyDescent="0.25">
      <c r="A60" s="9">
        <v>12394</v>
      </c>
      <c r="B60" s="10" t="s">
        <v>1416</v>
      </c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</row>
    <row r="61" spans="1:40" x14ac:dyDescent="0.25">
      <c r="A61" s="9">
        <v>12411</v>
      </c>
      <c r="B61" s="10" t="s">
        <v>2568</v>
      </c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</row>
    <row r="62" spans="1:40" x14ac:dyDescent="0.25">
      <c r="A62" s="9">
        <v>12429</v>
      </c>
      <c r="B62" s="10" t="s">
        <v>1440</v>
      </c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</row>
    <row r="63" spans="1:40" x14ac:dyDescent="0.25">
      <c r="A63" s="9">
        <v>12479</v>
      </c>
      <c r="B63" s="10" t="s">
        <v>1441</v>
      </c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</row>
    <row r="64" spans="1:40" x14ac:dyDescent="0.25">
      <c r="A64" s="9">
        <v>12491</v>
      </c>
      <c r="B64" s="10" t="s">
        <v>1404</v>
      </c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</row>
    <row r="65" spans="1:40" x14ac:dyDescent="0.25">
      <c r="A65" s="9">
        <v>12503</v>
      </c>
      <c r="B65" s="10" t="s">
        <v>1405</v>
      </c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</row>
    <row r="66" spans="1:40" x14ac:dyDescent="0.25">
      <c r="A66" s="12">
        <v>12558</v>
      </c>
      <c r="B66" s="13" t="s">
        <v>1442</v>
      </c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</row>
    <row r="67" spans="1:40" x14ac:dyDescent="0.25">
      <c r="A67" s="9">
        <v>12629</v>
      </c>
      <c r="B67" s="10" t="s">
        <v>1443</v>
      </c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</row>
    <row r="68" spans="1:40" x14ac:dyDescent="0.25">
      <c r="A68" s="9">
        <v>12745</v>
      </c>
      <c r="B68" s="10" t="s">
        <v>1417</v>
      </c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</row>
    <row r="69" spans="1:40" x14ac:dyDescent="0.25">
      <c r="A69" s="12">
        <v>12748</v>
      </c>
      <c r="B69" s="13" t="s">
        <v>1456</v>
      </c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</row>
    <row r="70" spans="1:40" x14ac:dyDescent="0.25">
      <c r="A70" s="9">
        <v>12890</v>
      </c>
      <c r="B70" s="10" t="s">
        <v>1430</v>
      </c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</row>
    <row r="71" spans="1:40" x14ac:dyDescent="0.25">
      <c r="A71" s="9">
        <v>12933</v>
      </c>
      <c r="B71" s="10" t="s">
        <v>1431</v>
      </c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</row>
    <row r="72" spans="1:40" x14ac:dyDescent="0.25">
      <c r="A72" s="9">
        <v>13016</v>
      </c>
      <c r="B72" s="10" t="s">
        <v>1406</v>
      </c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</row>
    <row r="73" spans="1:40" x14ac:dyDescent="0.25">
      <c r="A73" s="9">
        <v>13102</v>
      </c>
      <c r="B73" s="10" t="s">
        <v>1418</v>
      </c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</row>
    <row r="74" spans="1:40" x14ac:dyDescent="0.25">
      <c r="A74" s="12">
        <v>13151</v>
      </c>
      <c r="B74" s="13" t="s">
        <v>1444</v>
      </c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</row>
    <row r="75" spans="1:40" x14ac:dyDescent="0.25">
      <c r="A75" s="9">
        <v>13211</v>
      </c>
      <c r="B75" s="10" t="s">
        <v>1407</v>
      </c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</row>
    <row r="76" spans="1:40" x14ac:dyDescent="0.25">
      <c r="A76" s="9">
        <v>13241</v>
      </c>
      <c r="B76" s="10" t="s">
        <v>1445</v>
      </c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</row>
    <row r="77" spans="1:40" x14ac:dyDescent="0.25">
      <c r="A77" s="9">
        <v>13244</v>
      </c>
      <c r="B77" s="10" t="s">
        <v>1446</v>
      </c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</row>
    <row r="78" spans="1:40" x14ac:dyDescent="0.25">
      <c r="A78" s="9">
        <v>13250</v>
      </c>
      <c r="B78" s="10" t="s">
        <v>1419</v>
      </c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</row>
    <row r="79" spans="1:40" x14ac:dyDescent="0.25">
      <c r="A79" s="9">
        <v>13305</v>
      </c>
      <c r="B79" s="10" t="s">
        <v>1408</v>
      </c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</row>
    <row r="80" spans="1:40" x14ac:dyDescent="0.25">
      <c r="A80" s="9">
        <v>13339</v>
      </c>
      <c r="B80" s="10" t="s">
        <v>1421</v>
      </c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</row>
    <row r="81" spans="1:40" x14ac:dyDescent="0.25">
      <c r="A81" s="12">
        <v>13351</v>
      </c>
      <c r="B81" s="13" t="s">
        <v>1457</v>
      </c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</row>
    <row r="82" spans="1:40" x14ac:dyDescent="0.25">
      <c r="A82" s="9">
        <v>13365</v>
      </c>
      <c r="B82" s="10" t="s">
        <v>1432</v>
      </c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</row>
    <row r="83" spans="1:40" x14ac:dyDescent="0.25">
      <c r="A83" s="9">
        <v>13376</v>
      </c>
      <c r="B83" s="10" t="s">
        <v>1433</v>
      </c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</row>
    <row r="84" spans="1:40" x14ac:dyDescent="0.25">
      <c r="A84" s="9">
        <v>13416</v>
      </c>
      <c r="B84" s="10" t="s">
        <v>1447</v>
      </c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</row>
    <row r="85" spans="1:40" x14ac:dyDescent="0.25">
      <c r="A85" s="12">
        <v>13421</v>
      </c>
      <c r="B85" s="13" t="s">
        <v>1458</v>
      </c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</row>
    <row r="86" spans="1:40" x14ac:dyDescent="0.25">
      <c r="A86" s="12">
        <v>13525</v>
      </c>
      <c r="B86" s="13" t="s">
        <v>1460</v>
      </c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</row>
    <row r="87" spans="1:40" x14ac:dyDescent="0.25">
      <c r="A87" s="12">
        <v>13526</v>
      </c>
      <c r="B87" s="13" t="s">
        <v>1461</v>
      </c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</row>
    <row r="88" spans="1:40" x14ac:dyDescent="0.25">
      <c r="A88" s="12">
        <v>13549</v>
      </c>
      <c r="B88" s="13" t="s">
        <v>1462</v>
      </c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</row>
    <row r="89" spans="1:40" x14ac:dyDescent="0.25">
      <c r="A89" s="12">
        <v>13550</v>
      </c>
      <c r="B89" s="13" t="s">
        <v>1463</v>
      </c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</row>
    <row r="90" spans="1:40" x14ac:dyDescent="0.25">
      <c r="A90" s="12">
        <v>13577</v>
      </c>
      <c r="B90" s="13" t="s">
        <v>1459</v>
      </c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</row>
    <row r="91" spans="1:40" x14ac:dyDescent="0.25">
      <c r="A91" s="12">
        <v>13588</v>
      </c>
      <c r="B91" s="13" t="s">
        <v>1464</v>
      </c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</row>
    <row r="92" spans="1:40" x14ac:dyDescent="0.25">
      <c r="A92" s="9">
        <v>13598</v>
      </c>
      <c r="B92" s="10" t="s">
        <v>1465</v>
      </c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</row>
    <row r="93" spans="1:40" x14ac:dyDescent="0.25">
      <c r="A93" s="12">
        <v>13603</v>
      </c>
      <c r="B93" s="40" t="s">
        <v>3062</v>
      </c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</row>
    <row r="94" spans="1:40" x14ac:dyDescent="0.25">
      <c r="A94" s="9">
        <v>13615</v>
      </c>
      <c r="B94" s="10" t="s">
        <v>1466</v>
      </c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</row>
    <row r="95" spans="1:40" x14ac:dyDescent="0.25">
      <c r="A95" s="15">
        <v>13637</v>
      </c>
      <c r="B95" s="16" t="s">
        <v>1467</v>
      </c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</row>
    <row r="96" spans="1:40" x14ac:dyDescent="0.25">
      <c r="A96" s="12">
        <v>13731</v>
      </c>
      <c r="B96" s="13" t="s">
        <v>1468</v>
      </c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</row>
    <row r="97" spans="1:40" x14ac:dyDescent="0.25">
      <c r="A97" s="9">
        <v>13795</v>
      </c>
      <c r="B97" s="10" t="s">
        <v>1469</v>
      </c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</row>
    <row r="98" spans="1:40" x14ac:dyDescent="0.25">
      <c r="A98" s="9">
        <v>13802</v>
      </c>
      <c r="B98" s="10" t="s">
        <v>1381</v>
      </c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</row>
    <row r="99" spans="1:40" x14ac:dyDescent="0.25">
      <c r="A99" s="9">
        <v>13854</v>
      </c>
      <c r="B99" s="10" t="s">
        <v>1470</v>
      </c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</row>
    <row r="100" spans="1:40" x14ac:dyDescent="0.25">
      <c r="A100" s="15">
        <v>13926</v>
      </c>
      <c r="B100" s="16" t="s">
        <v>1471</v>
      </c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</row>
    <row r="101" spans="1:40" x14ac:dyDescent="0.25">
      <c r="A101" s="12">
        <v>13954</v>
      </c>
      <c r="B101" s="13" t="s">
        <v>1429</v>
      </c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</row>
    <row r="102" spans="1:40" x14ac:dyDescent="0.25">
      <c r="A102" s="12">
        <v>13969</v>
      </c>
      <c r="B102" s="40" t="s">
        <v>3023</v>
      </c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</row>
    <row r="103" spans="1:40" x14ac:dyDescent="0.25">
      <c r="A103" s="12">
        <v>13979</v>
      </c>
      <c r="B103" s="13" t="s">
        <v>1472</v>
      </c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</row>
    <row r="104" spans="1:40" x14ac:dyDescent="0.25">
      <c r="A104" s="12">
        <v>13995</v>
      </c>
      <c r="B104" s="13" t="s">
        <v>1473</v>
      </c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</row>
    <row r="105" spans="1:40" x14ac:dyDescent="0.25">
      <c r="A105" s="12">
        <v>14020</v>
      </c>
      <c r="B105" s="13" t="s">
        <v>1474</v>
      </c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</row>
    <row r="106" spans="1:40" x14ac:dyDescent="0.25">
      <c r="A106" s="12">
        <v>14024</v>
      </c>
      <c r="B106" s="13" t="s">
        <v>1475</v>
      </c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</row>
    <row r="107" spans="1:40" x14ac:dyDescent="0.25">
      <c r="A107" s="12">
        <v>14123</v>
      </c>
      <c r="B107" s="40" t="s">
        <v>3063</v>
      </c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</row>
    <row r="108" spans="1:40" x14ac:dyDescent="0.25">
      <c r="A108" s="12">
        <v>14190</v>
      </c>
      <c r="B108" s="40" t="s">
        <v>3057</v>
      </c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</row>
    <row r="109" spans="1:40" x14ac:dyDescent="0.25">
      <c r="A109" s="12">
        <v>14199</v>
      </c>
      <c r="B109" s="40" t="s">
        <v>3058</v>
      </c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</row>
    <row r="110" spans="1:40" x14ac:dyDescent="0.25">
      <c r="A110" s="12">
        <v>14230</v>
      </c>
      <c r="B110" s="40" t="s">
        <v>3041</v>
      </c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</row>
    <row r="111" spans="1:40" x14ac:dyDescent="0.25">
      <c r="A111" s="12">
        <v>14286</v>
      </c>
      <c r="B111" s="40" t="s">
        <v>3064</v>
      </c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</row>
    <row r="112" spans="1:40" x14ac:dyDescent="0.25"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</row>
    <row r="113" spans="24:40" x14ac:dyDescent="0.25"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</row>
    <row r="114" spans="24:40" x14ac:dyDescent="0.25"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</row>
    <row r="115" spans="24:40" x14ac:dyDescent="0.25"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</row>
    <row r="116" spans="24:40" x14ac:dyDescent="0.25"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</row>
    <row r="117" spans="24:40" x14ac:dyDescent="0.25"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</row>
    <row r="118" spans="24:40" x14ac:dyDescent="0.25"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</row>
    <row r="119" spans="24:40" x14ac:dyDescent="0.25"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</row>
    <row r="120" spans="24:40" x14ac:dyDescent="0.25"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</row>
    <row r="121" spans="24:40" x14ac:dyDescent="0.25"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</row>
    <row r="122" spans="24:40" x14ac:dyDescent="0.25"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</row>
    <row r="123" spans="24:40" x14ac:dyDescent="0.25"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</row>
    <row r="124" spans="24:40" x14ac:dyDescent="0.25"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</row>
    <row r="125" spans="24:40" x14ac:dyDescent="0.25"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</row>
    <row r="126" spans="24:40" x14ac:dyDescent="0.25"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</row>
    <row r="127" spans="24:40" x14ac:dyDescent="0.25"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</row>
    <row r="128" spans="24:40" x14ac:dyDescent="0.25"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</row>
    <row r="129" spans="24:40" x14ac:dyDescent="0.25"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</row>
    <row r="130" spans="24:40" x14ac:dyDescent="0.25"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</row>
    <row r="131" spans="24:40" x14ac:dyDescent="0.25"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</row>
    <row r="132" spans="24:40" x14ac:dyDescent="0.25"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</row>
    <row r="133" spans="24:40" x14ac:dyDescent="0.25"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</row>
    <row r="134" spans="24:40" x14ac:dyDescent="0.25"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</row>
    <row r="135" spans="24:40" x14ac:dyDescent="0.25"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</row>
    <row r="136" spans="24:40" x14ac:dyDescent="0.25"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</row>
    <row r="137" spans="24:40" x14ac:dyDescent="0.25"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</row>
    <row r="138" spans="24:40" x14ac:dyDescent="0.25"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</row>
    <row r="139" spans="24:40" x14ac:dyDescent="0.25"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</row>
    <row r="140" spans="24:40" x14ac:dyDescent="0.25"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</row>
    <row r="141" spans="24:40" x14ac:dyDescent="0.25"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</row>
    <row r="142" spans="24:40" x14ac:dyDescent="0.25"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</row>
    <row r="143" spans="24:40" x14ac:dyDescent="0.25"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</row>
    <row r="144" spans="24:40" x14ac:dyDescent="0.25"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</row>
    <row r="145" spans="24:40" x14ac:dyDescent="0.25"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</row>
    <row r="146" spans="24:40" x14ac:dyDescent="0.25"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</row>
    <row r="147" spans="24:40" x14ac:dyDescent="0.25"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</row>
    <row r="148" spans="24:40" x14ac:dyDescent="0.25"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</row>
    <row r="149" spans="24:40" x14ac:dyDescent="0.25"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</row>
    <row r="150" spans="24:40" x14ac:dyDescent="0.25"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</row>
    <row r="151" spans="24:40" x14ac:dyDescent="0.25"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</row>
    <row r="152" spans="24:40" x14ac:dyDescent="0.25"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</row>
    <row r="153" spans="24:40" x14ac:dyDescent="0.25"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</row>
    <row r="154" spans="24:40" x14ac:dyDescent="0.25"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</row>
    <row r="155" spans="24:40" x14ac:dyDescent="0.25"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</row>
    <row r="156" spans="24:40" x14ac:dyDescent="0.25"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</row>
    <row r="157" spans="24:40" x14ac:dyDescent="0.25"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</row>
    <row r="158" spans="24:40" x14ac:dyDescent="0.25"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</row>
    <row r="159" spans="24:40" x14ac:dyDescent="0.25"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</row>
    <row r="160" spans="24:40" x14ac:dyDescent="0.25"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</row>
    <row r="161" spans="24:40" x14ac:dyDescent="0.25"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</row>
    <row r="162" spans="24:40" x14ac:dyDescent="0.25"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</row>
    <row r="163" spans="24:40" x14ac:dyDescent="0.25"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</row>
    <row r="164" spans="24:40" x14ac:dyDescent="0.25"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</row>
    <row r="165" spans="24:40" x14ac:dyDescent="0.25"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</row>
    <row r="166" spans="24:40" x14ac:dyDescent="0.25"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</row>
    <row r="167" spans="24:40" x14ac:dyDescent="0.25"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</row>
    <row r="168" spans="24:40" x14ac:dyDescent="0.25"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</row>
    <row r="169" spans="24:40" x14ac:dyDescent="0.25"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</row>
    <row r="170" spans="24:40" x14ac:dyDescent="0.25"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</row>
    <row r="171" spans="24:40" x14ac:dyDescent="0.25"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</row>
    <row r="172" spans="24:40" x14ac:dyDescent="0.25"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</row>
    <row r="173" spans="24:40" x14ac:dyDescent="0.25"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</row>
    <row r="174" spans="24:40" x14ac:dyDescent="0.25"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</row>
    <row r="175" spans="24:40" x14ac:dyDescent="0.25"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</row>
    <row r="176" spans="24:40" x14ac:dyDescent="0.25"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</row>
    <row r="177" spans="24:40" x14ac:dyDescent="0.25"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</row>
    <row r="178" spans="24:40" x14ac:dyDescent="0.25"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</row>
    <row r="179" spans="24:40" x14ac:dyDescent="0.25"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</row>
    <row r="180" spans="24:40" x14ac:dyDescent="0.25"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</row>
    <row r="181" spans="24:40" x14ac:dyDescent="0.25"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</row>
    <row r="182" spans="24:40" x14ac:dyDescent="0.25"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</row>
    <row r="183" spans="24:40" x14ac:dyDescent="0.25"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</row>
    <row r="184" spans="24:40" x14ac:dyDescent="0.25"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</row>
    <row r="185" spans="24:40" x14ac:dyDescent="0.25"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</row>
    <row r="186" spans="24:40" x14ac:dyDescent="0.25"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</row>
    <row r="187" spans="24:40" x14ac:dyDescent="0.25"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</row>
    <row r="188" spans="24:40" x14ac:dyDescent="0.25"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</row>
    <row r="189" spans="24:40" x14ac:dyDescent="0.25"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</row>
    <row r="190" spans="24:40" x14ac:dyDescent="0.25"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</row>
    <row r="191" spans="24:40" x14ac:dyDescent="0.25"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</row>
    <row r="192" spans="24:40" x14ac:dyDescent="0.25"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</row>
    <row r="193" spans="24:40" x14ac:dyDescent="0.25"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</row>
    <row r="194" spans="24:40" x14ac:dyDescent="0.25"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</row>
    <row r="195" spans="24:40" x14ac:dyDescent="0.25"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</row>
    <row r="196" spans="24:40" x14ac:dyDescent="0.25"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</row>
    <row r="197" spans="24:40" x14ac:dyDescent="0.25"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</row>
    <row r="198" spans="24:40" x14ac:dyDescent="0.25"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</row>
    <row r="199" spans="24:40" x14ac:dyDescent="0.25"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</row>
    <row r="200" spans="24:40" x14ac:dyDescent="0.25"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</row>
    <row r="201" spans="24:40" x14ac:dyDescent="0.25"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</row>
    <row r="202" spans="24:40" x14ac:dyDescent="0.25"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</row>
    <row r="203" spans="24:40" x14ac:dyDescent="0.25"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</row>
    <row r="204" spans="24:40" x14ac:dyDescent="0.25"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</row>
    <row r="205" spans="24:40" x14ac:dyDescent="0.25"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</row>
    <row r="206" spans="24:40" x14ac:dyDescent="0.25"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</row>
    <row r="207" spans="24:40" x14ac:dyDescent="0.25"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</row>
    <row r="208" spans="24:40" x14ac:dyDescent="0.25"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</row>
    <row r="209" spans="24:40" x14ac:dyDescent="0.25"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</row>
    <row r="210" spans="24:40" x14ac:dyDescent="0.25"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</row>
    <row r="211" spans="24:40" x14ac:dyDescent="0.25"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</row>
    <row r="212" spans="24:40" x14ac:dyDescent="0.25"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</row>
    <row r="213" spans="24:40" x14ac:dyDescent="0.25"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</row>
    <row r="214" spans="24:40" x14ac:dyDescent="0.25"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</row>
    <row r="215" spans="24:40" x14ac:dyDescent="0.25"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</row>
    <row r="216" spans="24:40" x14ac:dyDescent="0.25"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</row>
    <row r="217" spans="24:40" x14ac:dyDescent="0.25"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</row>
    <row r="218" spans="24:40" x14ac:dyDescent="0.25"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</row>
    <row r="219" spans="24:40" x14ac:dyDescent="0.25"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</row>
    <row r="220" spans="24:40" x14ac:dyDescent="0.25"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</row>
    <row r="221" spans="24:40" x14ac:dyDescent="0.25"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</row>
    <row r="222" spans="24:40" x14ac:dyDescent="0.25"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</row>
    <row r="223" spans="24:40" x14ac:dyDescent="0.25"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</row>
    <row r="224" spans="24:40" x14ac:dyDescent="0.25"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</row>
    <row r="225" spans="24:40" x14ac:dyDescent="0.25"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</row>
    <row r="226" spans="24:40" x14ac:dyDescent="0.25"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</row>
    <row r="227" spans="24:40" x14ac:dyDescent="0.25"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</row>
    <row r="228" spans="24:40" x14ac:dyDescent="0.25"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</row>
    <row r="229" spans="24:40" x14ac:dyDescent="0.25"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</row>
    <row r="230" spans="24:40" x14ac:dyDescent="0.25"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</row>
    <row r="231" spans="24:40" x14ac:dyDescent="0.25"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</row>
    <row r="232" spans="24:40" x14ac:dyDescent="0.25"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</row>
    <row r="233" spans="24:40" x14ac:dyDescent="0.25"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</row>
    <row r="234" spans="24:40" x14ac:dyDescent="0.25"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</row>
    <row r="235" spans="24:40" x14ac:dyDescent="0.25"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</row>
    <row r="236" spans="24:40" x14ac:dyDescent="0.25"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</row>
    <row r="237" spans="24:40" x14ac:dyDescent="0.25"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</row>
    <row r="238" spans="24:40" x14ac:dyDescent="0.25"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</row>
    <row r="239" spans="24:40" x14ac:dyDescent="0.25"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</row>
    <row r="240" spans="24:40" x14ac:dyDescent="0.25"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</row>
    <row r="241" spans="24:40" x14ac:dyDescent="0.25"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</row>
    <row r="242" spans="24:40" x14ac:dyDescent="0.25"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</row>
    <row r="243" spans="24:40" x14ac:dyDescent="0.25"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</row>
    <row r="244" spans="24:40" x14ac:dyDescent="0.25"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</row>
    <row r="245" spans="24:40" x14ac:dyDescent="0.25"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</row>
    <row r="246" spans="24:40" x14ac:dyDescent="0.25"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</row>
    <row r="247" spans="24:40" x14ac:dyDescent="0.25"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</row>
    <row r="248" spans="24:40" x14ac:dyDescent="0.25"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</row>
    <row r="249" spans="24:40" x14ac:dyDescent="0.25"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</row>
    <row r="250" spans="24:40" x14ac:dyDescent="0.25"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</row>
    <row r="251" spans="24:40" x14ac:dyDescent="0.25"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</row>
    <row r="252" spans="24:40" x14ac:dyDescent="0.25"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</row>
    <row r="253" spans="24:40" x14ac:dyDescent="0.25"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</row>
    <row r="254" spans="24:40" x14ac:dyDescent="0.25"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</row>
    <row r="255" spans="24:40" x14ac:dyDescent="0.25"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</row>
    <row r="256" spans="24:40" x14ac:dyDescent="0.25"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</row>
    <row r="257" spans="24:40" x14ac:dyDescent="0.25"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</row>
    <row r="258" spans="24:40" x14ac:dyDescent="0.25"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</row>
    <row r="259" spans="24:40" x14ac:dyDescent="0.25"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</row>
    <row r="260" spans="24:40" x14ac:dyDescent="0.25"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</row>
    <row r="261" spans="24:40" x14ac:dyDescent="0.25"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</row>
    <row r="262" spans="24:40" x14ac:dyDescent="0.25"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</row>
    <row r="263" spans="24:40" x14ac:dyDescent="0.25"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</row>
    <row r="264" spans="24:40" x14ac:dyDescent="0.25"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</row>
    <row r="265" spans="24:40" x14ac:dyDescent="0.25"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</row>
    <row r="266" spans="24:40" x14ac:dyDescent="0.25"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</row>
    <row r="267" spans="24:40" x14ac:dyDescent="0.25"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</row>
    <row r="268" spans="24:40" x14ac:dyDescent="0.25"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</row>
    <row r="269" spans="24:40" x14ac:dyDescent="0.25"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</row>
    <row r="270" spans="24:40" x14ac:dyDescent="0.25"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</row>
    <row r="271" spans="24:40" x14ac:dyDescent="0.25"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</row>
    <row r="272" spans="24:40" x14ac:dyDescent="0.25"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</row>
    <row r="273" spans="24:40" x14ac:dyDescent="0.25"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</row>
    <row r="274" spans="24:40" x14ac:dyDescent="0.25"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</row>
    <row r="275" spans="24:40" x14ac:dyDescent="0.25"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</row>
    <row r="276" spans="24:40" x14ac:dyDescent="0.25"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</row>
    <row r="277" spans="24:40" x14ac:dyDescent="0.25"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</row>
    <row r="278" spans="24:40" x14ac:dyDescent="0.25"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</row>
    <row r="279" spans="24:40" x14ac:dyDescent="0.25"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</row>
    <row r="280" spans="24:40" x14ac:dyDescent="0.25"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</row>
    <row r="281" spans="24:40" x14ac:dyDescent="0.25"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</row>
    <row r="282" spans="24:40" x14ac:dyDescent="0.25"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</row>
    <row r="283" spans="24:40" x14ac:dyDescent="0.25"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</row>
    <row r="284" spans="24:40" x14ac:dyDescent="0.25"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</row>
    <row r="285" spans="24:40" x14ac:dyDescent="0.25"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</row>
    <row r="286" spans="24:40" x14ac:dyDescent="0.25"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</row>
    <row r="287" spans="24:40" x14ac:dyDescent="0.25"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</row>
    <row r="288" spans="24:40" x14ac:dyDescent="0.25"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</row>
    <row r="289" spans="24:40" x14ac:dyDescent="0.25"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</row>
    <row r="290" spans="24:40" x14ac:dyDescent="0.25"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</row>
    <row r="291" spans="24:40" x14ac:dyDescent="0.25"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</row>
    <row r="292" spans="24:40" x14ac:dyDescent="0.25"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</row>
    <row r="293" spans="24:40" x14ac:dyDescent="0.25"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</row>
    <row r="294" spans="24:40" x14ac:dyDescent="0.25"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</row>
    <row r="295" spans="24:40" x14ac:dyDescent="0.25"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</row>
    <row r="296" spans="24:40" x14ac:dyDescent="0.25"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</row>
    <row r="297" spans="24:40" x14ac:dyDescent="0.25"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</row>
    <row r="298" spans="24:40" x14ac:dyDescent="0.25"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</row>
    <row r="299" spans="24:40" x14ac:dyDescent="0.25"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</row>
    <row r="300" spans="24:40" x14ac:dyDescent="0.25"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</row>
    <row r="301" spans="24:40" x14ac:dyDescent="0.25"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</row>
    <row r="302" spans="24:40" x14ac:dyDescent="0.25"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</row>
    <row r="303" spans="24:40" x14ac:dyDescent="0.25"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</row>
    <row r="304" spans="24:40" x14ac:dyDescent="0.25"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</row>
    <row r="305" spans="24:40" x14ac:dyDescent="0.25"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</row>
    <row r="306" spans="24:40" x14ac:dyDescent="0.25"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</row>
    <row r="307" spans="24:40" x14ac:dyDescent="0.25"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</row>
    <row r="308" spans="24:40" x14ac:dyDescent="0.25"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</row>
    <row r="309" spans="24:40" x14ac:dyDescent="0.25"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</row>
    <row r="310" spans="24:40" x14ac:dyDescent="0.25"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</row>
    <row r="311" spans="24:40" x14ac:dyDescent="0.25"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</row>
    <row r="312" spans="24:40" x14ac:dyDescent="0.25"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</row>
    <row r="313" spans="24:40" x14ac:dyDescent="0.25"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</row>
    <row r="314" spans="24:40" x14ac:dyDescent="0.25"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</row>
    <row r="315" spans="24:40" x14ac:dyDescent="0.25"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</row>
    <row r="316" spans="24:40" x14ac:dyDescent="0.25"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</row>
    <row r="317" spans="24:40" x14ac:dyDescent="0.25"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</row>
    <row r="318" spans="24:40" x14ac:dyDescent="0.25"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</row>
    <row r="319" spans="24:40" x14ac:dyDescent="0.25"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</row>
    <row r="320" spans="24:40" x14ac:dyDescent="0.25"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</row>
    <row r="321" spans="24:40" x14ac:dyDescent="0.25"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</row>
    <row r="322" spans="24:40" x14ac:dyDescent="0.25"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</row>
    <row r="323" spans="24:40" x14ac:dyDescent="0.25"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</row>
    <row r="324" spans="24:40" x14ac:dyDescent="0.25"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</row>
    <row r="325" spans="24:40" x14ac:dyDescent="0.25"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</row>
    <row r="326" spans="24:40" x14ac:dyDescent="0.25"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</row>
    <row r="327" spans="24:40" x14ac:dyDescent="0.25"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</row>
    <row r="328" spans="24:40" x14ac:dyDescent="0.25"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</row>
    <row r="329" spans="24:40" x14ac:dyDescent="0.25"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</row>
    <row r="330" spans="24:40" x14ac:dyDescent="0.25"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</row>
    <row r="331" spans="24:40" x14ac:dyDescent="0.25"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</row>
    <row r="332" spans="24:40" x14ac:dyDescent="0.25"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</row>
    <row r="333" spans="24:40" x14ac:dyDescent="0.25"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</row>
    <row r="334" spans="24:40" x14ac:dyDescent="0.25"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</row>
    <row r="335" spans="24:40" x14ac:dyDescent="0.25"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</row>
    <row r="336" spans="24:40" x14ac:dyDescent="0.25"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</row>
    <row r="337" spans="24:40" x14ac:dyDescent="0.25"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</row>
    <row r="338" spans="24:40" x14ac:dyDescent="0.25"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</row>
    <row r="339" spans="24:40" x14ac:dyDescent="0.25"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</row>
    <row r="340" spans="24:40" x14ac:dyDescent="0.25"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</row>
    <row r="341" spans="24:40" x14ac:dyDescent="0.25"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</row>
    <row r="342" spans="24:40" x14ac:dyDescent="0.25"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</row>
    <row r="343" spans="24:40" x14ac:dyDescent="0.25"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</row>
    <row r="344" spans="24:40" x14ac:dyDescent="0.25"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</row>
    <row r="345" spans="24:40" x14ac:dyDescent="0.25"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</row>
    <row r="346" spans="24:40" x14ac:dyDescent="0.25"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</row>
    <row r="347" spans="24:40" x14ac:dyDescent="0.25"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</row>
    <row r="348" spans="24:40" x14ac:dyDescent="0.25"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  <c r="AN348" s="2"/>
    </row>
    <row r="349" spans="24:40" x14ac:dyDescent="0.25"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</row>
    <row r="350" spans="24:40" x14ac:dyDescent="0.25"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</row>
    <row r="351" spans="24:40" x14ac:dyDescent="0.25"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</row>
    <row r="352" spans="24:40" x14ac:dyDescent="0.25"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</row>
    <row r="353" spans="24:40" x14ac:dyDescent="0.25"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</row>
    <row r="354" spans="24:40" x14ac:dyDescent="0.25"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</row>
    <row r="355" spans="24:40" x14ac:dyDescent="0.25"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</row>
    <row r="356" spans="24:40" x14ac:dyDescent="0.25"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</row>
    <row r="357" spans="24:40" x14ac:dyDescent="0.25"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  <c r="AN357" s="2"/>
    </row>
    <row r="358" spans="24:40" x14ac:dyDescent="0.25"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  <c r="AN358" s="2"/>
    </row>
    <row r="359" spans="24:40" x14ac:dyDescent="0.25"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  <c r="AN359" s="2"/>
    </row>
    <row r="360" spans="24:40" x14ac:dyDescent="0.25"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  <c r="AN360" s="2"/>
    </row>
    <row r="361" spans="24:40" x14ac:dyDescent="0.25"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  <c r="AN361" s="2"/>
    </row>
    <row r="362" spans="24:40" x14ac:dyDescent="0.25"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</row>
    <row r="363" spans="24:40" x14ac:dyDescent="0.25"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  <c r="AN363" s="2"/>
    </row>
    <row r="364" spans="24:40" x14ac:dyDescent="0.25"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</row>
    <row r="365" spans="24:40" x14ac:dyDescent="0.25"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  <c r="AN365" s="2"/>
    </row>
    <row r="366" spans="24:40" x14ac:dyDescent="0.25"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</row>
    <row r="367" spans="24:40" x14ac:dyDescent="0.25"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</row>
    <row r="368" spans="24:40" x14ac:dyDescent="0.25"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  <c r="AN368" s="2"/>
    </row>
    <row r="369" spans="24:40" x14ac:dyDescent="0.25"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  <c r="AN369" s="2"/>
    </row>
    <row r="370" spans="24:40" x14ac:dyDescent="0.25"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  <c r="AN370" s="2"/>
    </row>
    <row r="371" spans="24:40" x14ac:dyDescent="0.25"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  <c r="AN371" s="2"/>
    </row>
    <row r="372" spans="24:40" x14ac:dyDescent="0.25"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  <c r="AN372" s="2"/>
    </row>
    <row r="373" spans="24:40" x14ac:dyDescent="0.25"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  <c r="AN373" s="2"/>
    </row>
    <row r="374" spans="24:40" x14ac:dyDescent="0.25"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  <c r="AN374" s="2"/>
    </row>
    <row r="375" spans="24:40" x14ac:dyDescent="0.25"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  <c r="AN375" s="2"/>
    </row>
    <row r="376" spans="24:40" x14ac:dyDescent="0.25"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  <c r="AN376" s="2"/>
    </row>
    <row r="377" spans="24:40" x14ac:dyDescent="0.25"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  <c r="AN377" s="2"/>
    </row>
    <row r="378" spans="24:40" x14ac:dyDescent="0.25"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  <c r="AN378" s="2"/>
    </row>
    <row r="379" spans="24:40" x14ac:dyDescent="0.25"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  <c r="AN379" s="2"/>
    </row>
    <row r="380" spans="24:40" x14ac:dyDescent="0.25"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  <c r="AN380" s="2"/>
    </row>
    <row r="381" spans="24:40" x14ac:dyDescent="0.25"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  <c r="AN381" s="2"/>
    </row>
    <row r="382" spans="24:40" x14ac:dyDescent="0.25"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  <c r="AN382" s="2"/>
    </row>
    <row r="383" spans="24:40" x14ac:dyDescent="0.25"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  <c r="AN383" s="2"/>
    </row>
    <row r="384" spans="24:40" x14ac:dyDescent="0.25"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  <c r="AN384" s="2"/>
    </row>
    <row r="385" spans="24:40" x14ac:dyDescent="0.25"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  <c r="AN385" s="2"/>
    </row>
  </sheetData>
  <sortState xmlns:xlrd2="http://schemas.microsoft.com/office/spreadsheetml/2017/richdata2" ref="A2:B385">
    <sortCondition ref="A72"/>
  </sortState>
  <customSheetViews>
    <customSheetView guid="{365A4B53-0F9B-4E16-872D-B4CE741B671E}" showGridLines="0" topLeftCell="A85">
      <selection activeCell="C100" sqref="C100"/>
      <pageMargins left="0.38" right="0.33" top="0.31496062992125984" bottom="0.39370078740157483" header="0.15748031496062992" footer="0.19685039370078741"/>
      <printOptions horizontalCentered="1"/>
      <pageSetup paperSize="5" scale="94" orientation="landscape" r:id="rId1"/>
      <headerFooter alignWithMargins="0">
        <oddFooter>&amp;R&amp;8Page &amp;P de &amp;N</oddFooter>
      </headerFooter>
    </customSheetView>
  </customSheetViews>
  <phoneticPr fontId="5" type="noConversion"/>
  <printOptions horizontalCentered="1"/>
  <pageMargins left="0.38" right="0.33" top="0.31496062992125984" bottom="0.39370078740157483" header="0.15748031496062992" footer="0.19685039370078741"/>
  <pageSetup paperSize="5" scale="94" orientation="landscape" r:id="rId2"/>
  <headerFooter alignWithMargins="0">
    <oddFooter>&amp;R&amp;8Page &amp;P de &amp;N</odd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Feuil33"/>
  <dimension ref="A1:B482"/>
  <sheetViews>
    <sheetView topLeftCell="A2" workbookViewId="0">
      <selection activeCell="A2" sqref="A2:B482"/>
    </sheetView>
  </sheetViews>
  <sheetFormatPr baseColWidth="10" defaultColWidth="11.453125" defaultRowHeight="12.5" x14ac:dyDescent="0.25"/>
  <cols>
    <col min="1" max="1" width="11.453125" style="53"/>
    <col min="2" max="2" width="62.36328125" style="56" customWidth="1"/>
    <col min="3" max="16384" width="11.453125" style="6"/>
  </cols>
  <sheetData>
    <row r="1" spans="1:2" x14ac:dyDescent="0.25">
      <c r="A1" s="5" t="s">
        <v>1026</v>
      </c>
      <c r="B1" s="54" t="s">
        <v>1027</v>
      </c>
    </row>
    <row r="2" spans="1:2" x14ac:dyDescent="0.25">
      <c r="B2" s="55" t="s">
        <v>2569</v>
      </c>
    </row>
    <row r="3" spans="1:2" x14ac:dyDescent="0.25">
      <c r="A3" s="53">
        <v>1120</v>
      </c>
      <c r="B3" s="55" t="s">
        <v>2570</v>
      </c>
    </row>
    <row r="4" spans="1:2" x14ac:dyDescent="0.25">
      <c r="A4" s="53">
        <v>1130</v>
      </c>
      <c r="B4" s="55" t="s">
        <v>2571</v>
      </c>
    </row>
    <row r="5" spans="1:2" x14ac:dyDescent="0.25">
      <c r="A5" s="53">
        <v>1140</v>
      </c>
      <c r="B5" s="55" t="s">
        <v>2572</v>
      </c>
    </row>
    <row r="6" spans="1:2" x14ac:dyDescent="0.25">
      <c r="A6" s="53">
        <v>1150</v>
      </c>
      <c r="B6" s="55" t="s">
        <v>2573</v>
      </c>
    </row>
    <row r="7" spans="1:2" x14ac:dyDescent="0.25">
      <c r="A7" s="53">
        <v>1160</v>
      </c>
      <c r="B7" s="55" t="s">
        <v>2574</v>
      </c>
    </row>
    <row r="8" spans="1:2" x14ac:dyDescent="0.25">
      <c r="A8" s="53">
        <v>1210</v>
      </c>
      <c r="B8" s="55" t="s">
        <v>2575</v>
      </c>
    </row>
    <row r="9" spans="1:2" x14ac:dyDescent="0.25">
      <c r="A9" s="53">
        <v>1220</v>
      </c>
      <c r="B9" s="55" t="s">
        <v>2576</v>
      </c>
    </row>
    <row r="10" spans="1:2" x14ac:dyDescent="0.25">
      <c r="A10" s="53">
        <v>1310</v>
      </c>
      <c r="B10" s="55" t="s">
        <v>2577</v>
      </c>
    </row>
    <row r="11" spans="1:2" x14ac:dyDescent="0.25">
      <c r="A11" s="53">
        <v>1320</v>
      </c>
      <c r="B11" s="55" t="s">
        <v>2578</v>
      </c>
    </row>
    <row r="12" spans="1:2" x14ac:dyDescent="0.25">
      <c r="A12" s="53">
        <v>1330</v>
      </c>
      <c r="B12" s="55" t="s">
        <v>2579</v>
      </c>
    </row>
    <row r="13" spans="1:2" x14ac:dyDescent="0.25">
      <c r="A13" s="53">
        <v>1345</v>
      </c>
      <c r="B13" s="55" t="s">
        <v>2580</v>
      </c>
    </row>
    <row r="14" spans="1:2" x14ac:dyDescent="0.25">
      <c r="A14" s="53">
        <v>1350</v>
      </c>
      <c r="B14" s="55" t="s">
        <v>2581</v>
      </c>
    </row>
    <row r="15" spans="1:2" x14ac:dyDescent="0.25">
      <c r="A15" s="53">
        <v>1355</v>
      </c>
      <c r="B15" s="55" t="s">
        <v>2582</v>
      </c>
    </row>
    <row r="16" spans="1:2" x14ac:dyDescent="0.25">
      <c r="A16" s="53">
        <v>1356</v>
      </c>
      <c r="B16" s="55" t="s">
        <v>2583</v>
      </c>
    </row>
    <row r="17" spans="1:2" x14ac:dyDescent="0.25">
      <c r="A17" s="53">
        <v>1360</v>
      </c>
      <c r="B17" s="55" t="s">
        <v>2584</v>
      </c>
    </row>
    <row r="18" spans="1:2" x14ac:dyDescent="0.25">
      <c r="A18" s="53">
        <v>1365</v>
      </c>
      <c r="B18" s="55" t="s">
        <v>2585</v>
      </c>
    </row>
    <row r="19" spans="1:2" x14ac:dyDescent="0.25">
      <c r="A19" s="53">
        <v>1367</v>
      </c>
      <c r="B19" s="55" t="s">
        <v>2586</v>
      </c>
    </row>
    <row r="20" spans="1:2" x14ac:dyDescent="0.25">
      <c r="A20" s="53">
        <v>1370</v>
      </c>
      <c r="B20" s="55" t="s">
        <v>2587</v>
      </c>
    </row>
    <row r="21" spans="1:2" x14ac:dyDescent="0.25">
      <c r="A21" s="53">
        <v>1375</v>
      </c>
      <c r="B21" s="55" t="s">
        <v>2588</v>
      </c>
    </row>
    <row r="22" spans="1:2" x14ac:dyDescent="0.25">
      <c r="A22" s="53">
        <v>1380</v>
      </c>
      <c r="B22" s="55" t="s">
        <v>2589</v>
      </c>
    </row>
    <row r="23" spans="1:2" x14ac:dyDescent="0.25">
      <c r="A23" s="53">
        <v>1385</v>
      </c>
      <c r="B23" s="55" t="s">
        <v>2590</v>
      </c>
    </row>
    <row r="24" spans="1:2" x14ac:dyDescent="0.25">
      <c r="A24" s="53">
        <v>1390</v>
      </c>
      <c r="B24" s="55" t="s">
        <v>2591</v>
      </c>
    </row>
    <row r="25" spans="1:2" x14ac:dyDescent="0.25">
      <c r="A25" s="53">
        <v>1410</v>
      </c>
      <c r="B25" s="55" t="s">
        <v>2592</v>
      </c>
    </row>
    <row r="26" spans="1:2" x14ac:dyDescent="0.25">
      <c r="A26" s="53">
        <v>1411</v>
      </c>
      <c r="B26" s="55" t="s">
        <v>2593</v>
      </c>
    </row>
    <row r="27" spans="1:2" x14ac:dyDescent="0.25">
      <c r="A27" s="53">
        <v>1420</v>
      </c>
      <c r="B27" s="55" t="s">
        <v>2594</v>
      </c>
    </row>
    <row r="28" spans="1:2" x14ac:dyDescent="0.25">
      <c r="A28" s="53">
        <v>1421</v>
      </c>
      <c r="B28" s="55" t="s">
        <v>2595</v>
      </c>
    </row>
    <row r="29" spans="1:2" x14ac:dyDescent="0.25">
      <c r="A29" s="53">
        <v>1430</v>
      </c>
      <c r="B29" s="55" t="s">
        <v>2596</v>
      </c>
    </row>
    <row r="30" spans="1:2" x14ac:dyDescent="0.25">
      <c r="A30" s="53">
        <v>1440</v>
      </c>
      <c r="B30" s="55" t="s">
        <v>2597</v>
      </c>
    </row>
    <row r="31" spans="1:2" x14ac:dyDescent="0.25">
      <c r="A31" s="53">
        <v>1450</v>
      </c>
      <c r="B31" s="55" t="s">
        <v>2598</v>
      </c>
    </row>
    <row r="32" spans="1:2" x14ac:dyDescent="0.25">
      <c r="A32" s="53">
        <v>1470</v>
      </c>
      <c r="B32" s="55" t="s">
        <v>2603</v>
      </c>
    </row>
    <row r="33" spans="1:2" x14ac:dyDescent="0.25">
      <c r="A33" s="53">
        <v>1475</v>
      </c>
      <c r="B33" s="55" t="s">
        <v>2604</v>
      </c>
    </row>
    <row r="34" spans="1:2" x14ac:dyDescent="0.25">
      <c r="A34" s="53">
        <v>1480</v>
      </c>
      <c r="B34" s="55" t="s">
        <v>2605</v>
      </c>
    </row>
    <row r="35" spans="1:2" x14ac:dyDescent="0.25">
      <c r="A35" s="53">
        <v>1520</v>
      </c>
      <c r="B35" s="55" t="s">
        <v>2608</v>
      </c>
    </row>
    <row r="36" spans="1:2" x14ac:dyDescent="0.25">
      <c r="A36" s="53">
        <v>1525</v>
      </c>
      <c r="B36" s="55" t="s">
        <v>2609</v>
      </c>
    </row>
    <row r="37" spans="1:2" x14ac:dyDescent="0.25">
      <c r="A37" s="53">
        <v>1530</v>
      </c>
      <c r="B37" s="55" t="s">
        <v>2610</v>
      </c>
    </row>
    <row r="38" spans="1:2" x14ac:dyDescent="0.25">
      <c r="A38" s="53">
        <v>1540</v>
      </c>
      <c r="B38" s="55" t="s">
        <v>2611</v>
      </c>
    </row>
    <row r="39" spans="1:2" x14ac:dyDescent="0.25">
      <c r="A39" s="53">
        <v>1550</v>
      </c>
      <c r="B39" s="55" t="s">
        <v>2612</v>
      </c>
    </row>
    <row r="40" spans="1:2" x14ac:dyDescent="0.25">
      <c r="A40" s="53">
        <v>1560</v>
      </c>
      <c r="B40" s="55" t="s">
        <v>2613</v>
      </c>
    </row>
    <row r="41" spans="1:2" x14ac:dyDescent="0.25">
      <c r="A41" s="53">
        <v>1570</v>
      </c>
      <c r="B41" s="55" t="s">
        <v>2614</v>
      </c>
    </row>
    <row r="42" spans="1:2" x14ac:dyDescent="0.25">
      <c r="A42" s="53">
        <v>1611</v>
      </c>
      <c r="B42" s="55" t="s">
        <v>2622</v>
      </c>
    </row>
    <row r="43" spans="1:2" x14ac:dyDescent="0.25">
      <c r="A43" s="53">
        <v>1625</v>
      </c>
      <c r="B43" s="55" t="s">
        <v>2625</v>
      </c>
    </row>
    <row r="44" spans="1:2" x14ac:dyDescent="0.25">
      <c r="A44" s="53">
        <v>1626</v>
      </c>
      <c r="B44" s="55" t="s">
        <v>2626</v>
      </c>
    </row>
    <row r="45" spans="1:2" x14ac:dyDescent="0.25">
      <c r="A45" s="53">
        <v>1630</v>
      </c>
      <c r="B45" s="55" t="s">
        <v>2627</v>
      </c>
    </row>
    <row r="46" spans="1:2" x14ac:dyDescent="0.25">
      <c r="A46" s="53">
        <v>1640</v>
      </c>
      <c r="B46" s="55" t="s">
        <v>2628</v>
      </c>
    </row>
    <row r="47" spans="1:2" x14ac:dyDescent="0.25">
      <c r="A47" s="53">
        <v>1650</v>
      </c>
      <c r="B47" s="55" t="s">
        <v>2629</v>
      </c>
    </row>
    <row r="48" spans="1:2" x14ac:dyDescent="0.25">
      <c r="A48" s="53">
        <v>1660</v>
      </c>
      <c r="B48" s="55" t="s">
        <v>2630</v>
      </c>
    </row>
    <row r="49" spans="1:2" x14ac:dyDescent="0.25">
      <c r="A49" s="53">
        <v>2121</v>
      </c>
      <c r="B49" s="55" t="s">
        <v>2641</v>
      </c>
    </row>
    <row r="50" spans="1:2" x14ac:dyDescent="0.25">
      <c r="A50" s="53">
        <v>2122</v>
      </c>
      <c r="B50" s="55" t="s">
        <v>2642</v>
      </c>
    </row>
    <row r="51" spans="1:2" x14ac:dyDescent="0.25">
      <c r="A51" s="53">
        <v>3140</v>
      </c>
      <c r="B51" s="55" t="s">
        <v>2684</v>
      </c>
    </row>
    <row r="52" spans="1:2" x14ac:dyDescent="0.25">
      <c r="A52" s="53">
        <v>3141</v>
      </c>
      <c r="B52" s="55" t="s">
        <v>2685</v>
      </c>
    </row>
    <row r="53" spans="1:2" x14ac:dyDescent="0.25">
      <c r="A53" s="53">
        <v>3145</v>
      </c>
      <c r="B53" s="55" t="s">
        <v>2686</v>
      </c>
    </row>
    <row r="54" spans="1:2" x14ac:dyDescent="0.25">
      <c r="A54" s="53">
        <v>3146</v>
      </c>
      <c r="B54" s="55" t="s">
        <v>2687</v>
      </c>
    </row>
    <row r="55" spans="1:2" x14ac:dyDescent="0.25">
      <c r="A55" s="53">
        <v>3150</v>
      </c>
      <c r="B55" s="55" t="s">
        <v>2688</v>
      </c>
    </row>
    <row r="56" spans="1:2" x14ac:dyDescent="0.25">
      <c r="A56" s="53">
        <v>3151</v>
      </c>
      <c r="B56" s="55" t="s">
        <v>2689</v>
      </c>
    </row>
    <row r="57" spans="1:2" x14ac:dyDescent="0.25">
      <c r="A57" s="53">
        <v>3155</v>
      </c>
      <c r="B57" s="55" t="s">
        <v>2690</v>
      </c>
    </row>
    <row r="58" spans="1:2" x14ac:dyDescent="0.25">
      <c r="A58" s="53">
        <v>3156</v>
      </c>
      <c r="B58" s="55" t="s">
        <v>2691</v>
      </c>
    </row>
    <row r="59" spans="1:2" x14ac:dyDescent="0.25">
      <c r="A59" s="53">
        <v>3160</v>
      </c>
      <c r="B59" s="55" t="s">
        <v>2692</v>
      </c>
    </row>
    <row r="60" spans="1:2" x14ac:dyDescent="0.25">
      <c r="A60" s="53">
        <v>3165</v>
      </c>
      <c r="B60" s="55" t="s">
        <v>2693</v>
      </c>
    </row>
    <row r="61" spans="1:2" x14ac:dyDescent="0.25">
      <c r="A61" s="53">
        <v>3166</v>
      </c>
      <c r="B61" s="55" t="s">
        <v>2694</v>
      </c>
    </row>
    <row r="62" spans="1:2" x14ac:dyDescent="0.25">
      <c r="A62" s="53">
        <v>3167</v>
      </c>
      <c r="B62" s="55" t="s">
        <v>2695</v>
      </c>
    </row>
    <row r="63" spans="1:2" x14ac:dyDescent="0.25">
      <c r="A63" s="53">
        <v>3168</v>
      </c>
      <c r="B63" s="55" t="s">
        <v>2696</v>
      </c>
    </row>
    <row r="64" spans="1:2" x14ac:dyDescent="0.25">
      <c r="A64" s="53">
        <v>3210</v>
      </c>
      <c r="B64" s="55" t="s">
        <v>2697</v>
      </c>
    </row>
    <row r="65" spans="1:2" x14ac:dyDescent="0.25">
      <c r="A65" s="53">
        <v>3220</v>
      </c>
      <c r="B65" s="55" t="s">
        <v>2698</v>
      </c>
    </row>
    <row r="66" spans="1:2" x14ac:dyDescent="0.25">
      <c r="A66" s="53">
        <v>3310</v>
      </c>
      <c r="B66" s="55" t="s">
        <v>2702</v>
      </c>
    </row>
    <row r="67" spans="1:2" x14ac:dyDescent="0.25">
      <c r="A67" s="53">
        <v>3365</v>
      </c>
      <c r="B67" s="55" t="s">
        <v>2703</v>
      </c>
    </row>
    <row r="68" spans="1:2" x14ac:dyDescent="0.25">
      <c r="A68" s="53">
        <v>3370</v>
      </c>
      <c r="B68" s="55" t="s">
        <v>2704</v>
      </c>
    </row>
    <row r="69" spans="1:2" x14ac:dyDescent="0.25">
      <c r="A69" s="53">
        <v>3375</v>
      </c>
      <c r="B69" s="55" t="s">
        <v>2705</v>
      </c>
    </row>
    <row r="70" spans="1:2" x14ac:dyDescent="0.25">
      <c r="A70" s="53">
        <v>3380</v>
      </c>
      <c r="B70" s="55" t="s">
        <v>2706</v>
      </c>
    </row>
    <row r="71" spans="1:2" x14ac:dyDescent="0.25">
      <c r="A71" s="53">
        <v>3385</v>
      </c>
      <c r="B71" s="55" t="s">
        <v>2707</v>
      </c>
    </row>
    <row r="72" spans="1:2" x14ac:dyDescent="0.25">
      <c r="A72" s="53">
        <v>3390</v>
      </c>
      <c r="B72" s="55" t="s">
        <v>2708</v>
      </c>
    </row>
    <row r="73" spans="1:2" x14ac:dyDescent="0.25">
      <c r="A73" s="53">
        <v>3395</v>
      </c>
      <c r="B73" s="55" t="s">
        <v>2709</v>
      </c>
    </row>
    <row r="74" spans="1:2" x14ac:dyDescent="0.25">
      <c r="A74" s="53">
        <v>3410</v>
      </c>
      <c r="B74" s="55" t="s">
        <v>2710</v>
      </c>
    </row>
    <row r="75" spans="1:2" x14ac:dyDescent="0.25">
      <c r="A75" s="53">
        <v>3420</v>
      </c>
      <c r="B75" s="55" t="s">
        <v>2711</v>
      </c>
    </row>
    <row r="76" spans="1:2" x14ac:dyDescent="0.25">
      <c r="A76" s="53">
        <v>3430</v>
      </c>
      <c r="B76" s="55" t="s">
        <v>2712</v>
      </c>
    </row>
    <row r="77" spans="1:2" x14ac:dyDescent="0.25">
      <c r="A77" s="53">
        <v>3440</v>
      </c>
      <c r="B77" s="55" t="s">
        <v>2713</v>
      </c>
    </row>
    <row r="78" spans="1:2" x14ac:dyDescent="0.25">
      <c r="A78" s="53">
        <v>3450</v>
      </c>
      <c r="B78" s="55" t="s">
        <v>2714</v>
      </c>
    </row>
    <row r="79" spans="1:2" x14ac:dyDescent="0.25">
      <c r="A79" s="53">
        <v>3460</v>
      </c>
      <c r="B79" s="55" t="s">
        <v>2719</v>
      </c>
    </row>
    <row r="80" spans="1:2" x14ac:dyDescent="0.25">
      <c r="A80" s="53">
        <v>3470</v>
      </c>
      <c r="B80" s="55" t="s">
        <v>2720</v>
      </c>
    </row>
    <row r="81" spans="1:2" x14ac:dyDescent="0.25">
      <c r="A81" s="53">
        <v>3480</v>
      </c>
      <c r="B81" s="55" t="s">
        <v>2721</v>
      </c>
    </row>
    <row r="82" spans="1:2" x14ac:dyDescent="0.25">
      <c r="A82" s="53">
        <v>3490</v>
      </c>
      <c r="B82" s="55" t="s">
        <v>2722</v>
      </c>
    </row>
    <row r="83" spans="1:2" x14ac:dyDescent="0.25">
      <c r="A83" s="53">
        <v>3510</v>
      </c>
      <c r="B83" s="55" t="s">
        <v>2723</v>
      </c>
    </row>
    <row r="84" spans="1:2" x14ac:dyDescent="0.25">
      <c r="A84" s="53">
        <v>3520</v>
      </c>
      <c r="B84" s="55" t="s">
        <v>2724</v>
      </c>
    </row>
    <row r="85" spans="1:2" x14ac:dyDescent="0.25">
      <c r="A85" s="53">
        <v>3540</v>
      </c>
      <c r="B85" s="55" t="s">
        <v>1166</v>
      </c>
    </row>
    <row r="86" spans="1:2" x14ac:dyDescent="0.25">
      <c r="A86" s="53">
        <v>3550</v>
      </c>
      <c r="B86" s="55" t="s">
        <v>2725</v>
      </c>
    </row>
    <row r="87" spans="1:2" x14ac:dyDescent="0.25">
      <c r="A87" s="53">
        <v>3560</v>
      </c>
      <c r="B87" s="55" t="s">
        <v>2726</v>
      </c>
    </row>
    <row r="88" spans="1:2" x14ac:dyDescent="0.25">
      <c r="A88" s="53">
        <v>3570</v>
      </c>
      <c r="B88" s="55" t="s">
        <v>2727</v>
      </c>
    </row>
    <row r="89" spans="1:2" x14ac:dyDescent="0.25">
      <c r="A89" s="53">
        <v>3735</v>
      </c>
      <c r="B89" s="55" t="s">
        <v>2747</v>
      </c>
    </row>
    <row r="90" spans="1:2" x14ac:dyDescent="0.25">
      <c r="A90" s="53">
        <v>3740</v>
      </c>
      <c r="B90" s="55" t="s">
        <v>2746</v>
      </c>
    </row>
    <row r="91" spans="1:2" x14ac:dyDescent="0.25">
      <c r="A91" s="53">
        <v>3750</v>
      </c>
      <c r="B91" s="55" t="s">
        <v>2748</v>
      </c>
    </row>
    <row r="92" spans="1:2" x14ac:dyDescent="0.25">
      <c r="A92" s="53">
        <v>3770</v>
      </c>
      <c r="B92" s="55" t="s">
        <v>2749</v>
      </c>
    </row>
    <row r="93" spans="1:2" x14ac:dyDescent="0.25">
      <c r="A93" s="53">
        <v>3780</v>
      </c>
      <c r="B93" s="55" t="s">
        <v>1028</v>
      </c>
    </row>
    <row r="94" spans="1:2" x14ac:dyDescent="0.25">
      <c r="A94" s="53">
        <v>3820</v>
      </c>
      <c r="B94" s="55" t="s">
        <v>2759</v>
      </c>
    </row>
    <row r="95" spans="1:2" x14ac:dyDescent="0.25">
      <c r="A95" s="53">
        <v>3830</v>
      </c>
      <c r="B95" s="55" t="s">
        <v>1029</v>
      </c>
    </row>
    <row r="96" spans="1:2" x14ac:dyDescent="0.25">
      <c r="A96" s="53">
        <v>3890</v>
      </c>
      <c r="B96" s="55" t="s">
        <v>2764</v>
      </c>
    </row>
    <row r="97" spans="1:2" x14ac:dyDescent="0.25">
      <c r="A97" s="53">
        <v>4110</v>
      </c>
      <c r="B97" s="55" t="s">
        <v>3034</v>
      </c>
    </row>
    <row r="98" spans="1:2" x14ac:dyDescent="0.25">
      <c r="A98" s="53">
        <v>4120</v>
      </c>
      <c r="B98" s="55" t="s">
        <v>3035</v>
      </c>
    </row>
    <row r="99" spans="1:2" x14ac:dyDescent="0.25">
      <c r="A99" s="53">
        <v>4130</v>
      </c>
      <c r="B99" s="55" t="s">
        <v>2766</v>
      </c>
    </row>
    <row r="100" spans="1:2" x14ac:dyDescent="0.25">
      <c r="A100" s="53">
        <v>4140</v>
      </c>
      <c r="B100" s="55" t="s">
        <v>3037</v>
      </c>
    </row>
    <row r="101" spans="1:2" x14ac:dyDescent="0.25">
      <c r="A101" s="53">
        <v>4150</v>
      </c>
      <c r="B101" s="55" t="s">
        <v>3038</v>
      </c>
    </row>
    <row r="102" spans="1:2" x14ac:dyDescent="0.25">
      <c r="A102" s="53">
        <v>4160</v>
      </c>
      <c r="B102" s="55" t="s">
        <v>3039</v>
      </c>
    </row>
    <row r="103" spans="1:2" x14ac:dyDescent="0.25">
      <c r="A103" s="53">
        <v>4210</v>
      </c>
      <c r="B103" s="55" t="s">
        <v>3024</v>
      </c>
    </row>
    <row r="104" spans="1:2" x14ac:dyDescent="0.25">
      <c r="A104" s="53">
        <v>4220</v>
      </c>
      <c r="B104" s="55" t="s">
        <v>3025</v>
      </c>
    </row>
    <row r="105" spans="1:2" x14ac:dyDescent="0.25">
      <c r="A105" s="53">
        <v>4230</v>
      </c>
      <c r="B105" s="55" t="s">
        <v>2767</v>
      </c>
    </row>
    <row r="106" spans="1:2" x14ac:dyDescent="0.25">
      <c r="A106" s="53">
        <v>4240</v>
      </c>
      <c r="B106" s="55" t="s">
        <v>3027</v>
      </c>
    </row>
    <row r="107" spans="1:2" x14ac:dyDescent="0.25">
      <c r="A107" s="53">
        <v>4250</v>
      </c>
      <c r="B107" s="55" t="s">
        <v>2768</v>
      </c>
    </row>
    <row r="108" spans="1:2" x14ac:dyDescent="0.25">
      <c r="A108" s="53">
        <v>4260</v>
      </c>
      <c r="B108" s="55" t="s">
        <v>2769</v>
      </c>
    </row>
    <row r="109" spans="1:2" x14ac:dyDescent="0.25">
      <c r="A109" s="53">
        <v>4310</v>
      </c>
      <c r="B109" s="55" t="s">
        <v>2776</v>
      </c>
    </row>
    <row r="110" spans="1:2" x14ac:dyDescent="0.25">
      <c r="A110" s="53">
        <v>4320</v>
      </c>
      <c r="B110" s="55" t="s">
        <v>2777</v>
      </c>
    </row>
    <row r="111" spans="1:2" x14ac:dyDescent="0.25">
      <c r="A111" s="53">
        <v>4330</v>
      </c>
      <c r="B111" s="55" t="s">
        <v>2778</v>
      </c>
    </row>
    <row r="112" spans="1:2" x14ac:dyDescent="0.25">
      <c r="A112" s="53">
        <v>4340</v>
      </c>
      <c r="B112" s="55" t="s">
        <v>2780</v>
      </c>
    </row>
    <row r="113" spans="1:2" x14ac:dyDescent="0.25">
      <c r="A113" s="53">
        <v>4350</v>
      </c>
      <c r="B113" s="55" t="s">
        <v>2781</v>
      </c>
    </row>
    <row r="114" spans="1:2" x14ac:dyDescent="0.25">
      <c r="A114" s="53">
        <v>4360</v>
      </c>
      <c r="B114" s="55" t="s">
        <v>2782</v>
      </c>
    </row>
    <row r="115" spans="1:2" x14ac:dyDescent="0.25">
      <c r="A115" s="53">
        <v>4410</v>
      </c>
      <c r="B115" s="55" t="s">
        <v>2783</v>
      </c>
    </row>
    <row r="116" spans="1:2" x14ac:dyDescent="0.25">
      <c r="A116" s="53">
        <v>4420</v>
      </c>
      <c r="B116" s="55" t="s">
        <v>2784</v>
      </c>
    </row>
    <row r="117" spans="1:2" x14ac:dyDescent="0.25">
      <c r="A117" s="53">
        <v>4430</v>
      </c>
      <c r="B117" s="55" t="s">
        <v>2785</v>
      </c>
    </row>
    <row r="118" spans="1:2" x14ac:dyDescent="0.25">
      <c r="A118" s="53">
        <v>4450</v>
      </c>
      <c r="B118" s="55" t="s">
        <v>2789</v>
      </c>
    </row>
    <row r="119" spans="1:2" x14ac:dyDescent="0.25">
      <c r="A119" s="53">
        <v>4460</v>
      </c>
      <c r="B119" s="55" t="s">
        <v>2790</v>
      </c>
    </row>
    <row r="120" spans="1:2" x14ac:dyDescent="0.25">
      <c r="A120" s="53">
        <v>4470</v>
      </c>
      <c r="B120" s="55" t="s">
        <v>2791</v>
      </c>
    </row>
    <row r="121" spans="1:2" x14ac:dyDescent="0.25">
      <c r="A121" s="53">
        <v>4520</v>
      </c>
      <c r="B121" s="55" t="s">
        <v>2792</v>
      </c>
    </row>
    <row r="122" spans="1:2" x14ac:dyDescent="0.25">
      <c r="A122" s="53">
        <v>4530</v>
      </c>
      <c r="B122" s="55" t="s">
        <v>2793</v>
      </c>
    </row>
    <row r="123" spans="1:2" x14ac:dyDescent="0.25">
      <c r="A123" s="53">
        <v>4540</v>
      </c>
      <c r="B123" s="55" t="s">
        <v>2794</v>
      </c>
    </row>
    <row r="124" spans="1:2" x14ac:dyDescent="0.25">
      <c r="A124" s="53">
        <v>4990</v>
      </c>
      <c r="B124" s="55" t="s">
        <v>2795</v>
      </c>
    </row>
    <row r="125" spans="1:2" x14ac:dyDescent="0.25">
      <c r="A125" s="53">
        <v>6100</v>
      </c>
      <c r="B125" s="55" t="s">
        <v>2796</v>
      </c>
    </row>
    <row r="126" spans="1:2" x14ac:dyDescent="0.25">
      <c r="A126" s="53">
        <v>6150</v>
      </c>
      <c r="B126" s="55" t="s">
        <v>2797</v>
      </c>
    </row>
    <row r="127" spans="1:2" x14ac:dyDescent="0.25">
      <c r="A127" s="53">
        <v>6200</v>
      </c>
      <c r="B127" s="55" t="s">
        <v>2798</v>
      </c>
    </row>
    <row r="128" spans="1:2" x14ac:dyDescent="0.25">
      <c r="A128" s="53">
        <v>6250</v>
      </c>
      <c r="B128" s="55" t="s">
        <v>2799</v>
      </c>
    </row>
    <row r="129" spans="1:2" x14ac:dyDescent="0.25">
      <c r="A129" s="53">
        <v>6300</v>
      </c>
      <c r="B129" s="55" t="s">
        <v>2800</v>
      </c>
    </row>
    <row r="130" spans="1:2" x14ac:dyDescent="0.25">
      <c r="A130" s="53">
        <v>6350</v>
      </c>
      <c r="B130" s="55" t="s">
        <v>2801</v>
      </c>
    </row>
    <row r="131" spans="1:2" x14ac:dyDescent="0.25">
      <c r="A131" s="53">
        <v>6400</v>
      </c>
      <c r="B131" s="55" t="s">
        <v>2802</v>
      </c>
    </row>
    <row r="132" spans="1:2" x14ac:dyDescent="0.25">
      <c r="A132" s="53">
        <v>6450</v>
      </c>
      <c r="B132" s="55" t="s">
        <v>2803</v>
      </c>
    </row>
    <row r="133" spans="1:2" x14ac:dyDescent="0.25">
      <c r="A133" s="53">
        <v>6500</v>
      </c>
      <c r="B133" s="55" t="s">
        <v>2804</v>
      </c>
    </row>
    <row r="134" spans="1:2" x14ac:dyDescent="0.25">
      <c r="A134" s="53">
        <v>6510</v>
      </c>
      <c r="B134" s="55" t="s">
        <v>2805</v>
      </c>
    </row>
    <row r="135" spans="1:2" x14ac:dyDescent="0.25">
      <c r="A135" s="53">
        <v>6520</v>
      </c>
      <c r="B135" s="55" t="s">
        <v>2806</v>
      </c>
    </row>
    <row r="136" spans="1:2" x14ac:dyDescent="0.25">
      <c r="A136" s="53">
        <v>6530</v>
      </c>
      <c r="B136" s="55" t="s">
        <v>2807</v>
      </c>
    </row>
    <row r="137" spans="1:2" x14ac:dyDescent="0.25">
      <c r="A137" s="53">
        <v>6550</v>
      </c>
      <c r="B137" s="55" t="s">
        <v>2808</v>
      </c>
    </row>
    <row r="138" spans="1:2" x14ac:dyDescent="0.25">
      <c r="A138" s="53">
        <v>6560</v>
      </c>
      <c r="B138" s="55" t="s">
        <v>2809</v>
      </c>
    </row>
    <row r="139" spans="1:2" x14ac:dyDescent="0.25">
      <c r="A139" s="53">
        <v>7200</v>
      </c>
      <c r="B139" s="55" t="s">
        <v>2819</v>
      </c>
    </row>
    <row r="140" spans="1:2" x14ac:dyDescent="0.25">
      <c r="A140" s="53">
        <v>7600</v>
      </c>
      <c r="B140" s="55" t="s">
        <v>2837</v>
      </c>
    </row>
    <row r="141" spans="1:2" x14ac:dyDescent="0.25">
      <c r="A141" s="53">
        <v>7605</v>
      </c>
      <c r="B141" s="55" t="s">
        <v>2838</v>
      </c>
    </row>
    <row r="142" spans="1:2" x14ac:dyDescent="0.25">
      <c r="A142" s="53">
        <v>7650</v>
      </c>
      <c r="B142" s="55" t="s">
        <v>2839</v>
      </c>
    </row>
    <row r="143" spans="1:2" x14ac:dyDescent="0.25">
      <c r="A143" s="53">
        <v>8100</v>
      </c>
      <c r="B143" s="55" t="s">
        <v>2840</v>
      </c>
    </row>
    <row r="144" spans="1:2" x14ac:dyDescent="0.25">
      <c r="A144" s="53">
        <v>9210</v>
      </c>
      <c r="B144" s="55" t="s">
        <v>2849</v>
      </c>
    </row>
    <row r="145" spans="1:2" x14ac:dyDescent="0.25">
      <c r="A145" s="53">
        <v>9215</v>
      </c>
      <c r="B145" s="55" t="s">
        <v>2850</v>
      </c>
    </row>
    <row r="146" spans="1:2" x14ac:dyDescent="0.25">
      <c r="A146" s="53">
        <v>9220</v>
      </c>
      <c r="B146" s="55" t="s">
        <v>2851</v>
      </c>
    </row>
    <row r="147" spans="1:2" x14ac:dyDescent="0.25">
      <c r="A147" s="53">
        <v>9225</v>
      </c>
      <c r="B147" s="55" t="s">
        <v>2852</v>
      </c>
    </row>
    <row r="148" spans="1:2" x14ac:dyDescent="0.25">
      <c r="A148" s="53">
        <v>9250</v>
      </c>
      <c r="B148" s="55" t="s">
        <v>2863</v>
      </c>
    </row>
    <row r="149" spans="1:2" x14ac:dyDescent="0.25">
      <c r="A149" s="53">
        <v>9255</v>
      </c>
      <c r="B149" s="55" t="s">
        <v>2864</v>
      </c>
    </row>
    <row r="150" spans="1:2" x14ac:dyDescent="0.25">
      <c r="A150" s="53">
        <v>9260</v>
      </c>
      <c r="B150" s="55" t="s">
        <v>2865</v>
      </c>
    </row>
    <row r="151" spans="1:2" x14ac:dyDescent="0.25">
      <c r="A151" s="53">
        <v>9311</v>
      </c>
      <c r="B151" s="55" t="s">
        <v>2869</v>
      </c>
    </row>
    <row r="152" spans="1:2" x14ac:dyDescent="0.25">
      <c r="A152" s="53">
        <v>9320</v>
      </c>
      <c r="B152" s="55" t="s">
        <v>2870</v>
      </c>
    </row>
    <row r="153" spans="1:2" x14ac:dyDescent="0.25">
      <c r="A153" s="53">
        <v>9330</v>
      </c>
      <c r="B153" s="55" t="s">
        <v>2871</v>
      </c>
    </row>
    <row r="154" spans="1:2" x14ac:dyDescent="0.25">
      <c r="A154" s="53">
        <v>9410</v>
      </c>
      <c r="B154" s="55" t="s">
        <v>2872</v>
      </c>
    </row>
    <row r="155" spans="1:2" x14ac:dyDescent="0.25">
      <c r="A155" s="53">
        <v>9420</v>
      </c>
      <c r="B155" s="55" t="s">
        <v>2873</v>
      </c>
    </row>
    <row r="156" spans="1:2" x14ac:dyDescent="0.25">
      <c r="A156" s="53">
        <v>9430</v>
      </c>
      <c r="B156" s="55" t="s">
        <v>2874</v>
      </c>
    </row>
    <row r="157" spans="1:2" x14ac:dyDescent="0.25">
      <c r="A157" s="53">
        <v>9440</v>
      </c>
      <c r="B157" s="55" t="s">
        <v>2875</v>
      </c>
    </row>
    <row r="158" spans="1:2" x14ac:dyDescent="0.25">
      <c r="A158" s="53">
        <v>9450</v>
      </c>
      <c r="B158" s="55" t="s">
        <v>2876</v>
      </c>
    </row>
    <row r="159" spans="1:2" x14ac:dyDescent="0.25">
      <c r="A159" s="53">
        <v>14551</v>
      </c>
      <c r="B159" s="55" t="s">
        <v>2599</v>
      </c>
    </row>
    <row r="160" spans="1:2" x14ac:dyDescent="0.25">
      <c r="A160" s="53">
        <v>14552</v>
      </c>
      <c r="B160" s="55" t="s">
        <v>2600</v>
      </c>
    </row>
    <row r="161" spans="1:2" x14ac:dyDescent="0.25">
      <c r="A161" s="53">
        <v>14601</v>
      </c>
      <c r="B161" s="55" t="s">
        <v>2601</v>
      </c>
    </row>
    <row r="162" spans="1:2" x14ac:dyDescent="0.25">
      <c r="A162" s="53">
        <v>14602</v>
      </c>
      <c r="B162" s="55" t="s">
        <v>2602</v>
      </c>
    </row>
    <row r="163" spans="1:2" x14ac:dyDescent="0.25">
      <c r="A163" s="53">
        <v>15101</v>
      </c>
      <c r="B163" s="55" t="s">
        <v>2606</v>
      </c>
    </row>
    <row r="164" spans="1:2" x14ac:dyDescent="0.25">
      <c r="A164" s="53">
        <v>15102</v>
      </c>
      <c r="B164" s="55" t="s">
        <v>2607</v>
      </c>
    </row>
    <row r="165" spans="1:2" x14ac:dyDescent="0.25">
      <c r="A165" s="53">
        <v>16101</v>
      </c>
      <c r="B165" s="55" t="s">
        <v>2615</v>
      </c>
    </row>
    <row r="166" spans="1:2" x14ac:dyDescent="0.25">
      <c r="A166" s="53">
        <v>16102</v>
      </c>
      <c r="B166" s="55" t="s">
        <v>2616</v>
      </c>
    </row>
    <row r="167" spans="1:2" x14ac:dyDescent="0.25">
      <c r="A167" s="53">
        <v>16103</v>
      </c>
      <c r="B167" s="55" t="s">
        <v>2617</v>
      </c>
    </row>
    <row r="168" spans="1:2" x14ac:dyDescent="0.25">
      <c r="A168" s="53">
        <v>16104</v>
      </c>
      <c r="B168" s="55" t="s">
        <v>2618</v>
      </c>
    </row>
    <row r="169" spans="1:2" x14ac:dyDescent="0.25">
      <c r="A169" s="53">
        <v>16105</v>
      </c>
      <c r="B169" s="55" t="s">
        <v>2619</v>
      </c>
    </row>
    <row r="170" spans="1:2" x14ac:dyDescent="0.25">
      <c r="A170" s="53">
        <v>16106</v>
      </c>
      <c r="B170" s="55" t="s">
        <v>2620</v>
      </c>
    </row>
    <row r="171" spans="1:2" x14ac:dyDescent="0.25">
      <c r="A171" s="53">
        <v>16109</v>
      </c>
      <c r="B171" s="55" t="s">
        <v>2621</v>
      </c>
    </row>
    <row r="172" spans="1:2" x14ac:dyDescent="0.25">
      <c r="A172" s="53">
        <v>16201</v>
      </c>
      <c r="B172" s="55" t="s">
        <v>2623</v>
      </c>
    </row>
    <row r="173" spans="1:2" x14ac:dyDescent="0.25">
      <c r="A173" s="53">
        <v>16209</v>
      </c>
      <c r="B173" s="55" t="s">
        <v>2624</v>
      </c>
    </row>
    <row r="174" spans="1:2" x14ac:dyDescent="0.25">
      <c r="A174" s="53">
        <v>16701</v>
      </c>
      <c r="B174" s="55" t="s">
        <v>2631</v>
      </c>
    </row>
    <row r="175" spans="1:2" x14ac:dyDescent="0.25">
      <c r="A175" s="53">
        <v>16702</v>
      </c>
      <c r="B175" s="55" t="s">
        <v>2632</v>
      </c>
    </row>
    <row r="176" spans="1:2" x14ac:dyDescent="0.25">
      <c r="A176" s="53">
        <v>21101</v>
      </c>
      <c r="B176" s="55" t="s">
        <v>2633</v>
      </c>
    </row>
    <row r="177" spans="1:2" x14ac:dyDescent="0.25">
      <c r="A177" s="53">
        <v>21102</v>
      </c>
      <c r="B177" s="55" t="s">
        <v>2634</v>
      </c>
    </row>
    <row r="178" spans="1:2" x14ac:dyDescent="0.25">
      <c r="A178" s="53">
        <v>21103</v>
      </c>
      <c r="B178" s="55" t="s">
        <v>2635</v>
      </c>
    </row>
    <row r="179" spans="1:2" x14ac:dyDescent="0.25">
      <c r="A179" s="53">
        <v>21109</v>
      </c>
      <c r="B179" s="55" t="s">
        <v>2636</v>
      </c>
    </row>
    <row r="180" spans="1:2" x14ac:dyDescent="0.25">
      <c r="A180" s="53">
        <v>21201</v>
      </c>
      <c r="B180" s="55" t="s">
        <v>2637</v>
      </c>
    </row>
    <row r="181" spans="1:2" x14ac:dyDescent="0.25">
      <c r="A181" s="53">
        <v>21202</v>
      </c>
      <c r="B181" s="55" t="s">
        <v>2638</v>
      </c>
    </row>
    <row r="182" spans="1:2" x14ac:dyDescent="0.25">
      <c r="A182" s="53">
        <v>21203</v>
      </c>
      <c r="B182" s="55" t="s">
        <v>2639</v>
      </c>
    </row>
    <row r="183" spans="1:2" x14ac:dyDescent="0.25">
      <c r="A183" s="53">
        <v>21209</v>
      </c>
      <c r="B183" s="55" t="s">
        <v>2640</v>
      </c>
    </row>
    <row r="184" spans="1:2" x14ac:dyDescent="0.25">
      <c r="A184" s="53">
        <v>21301</v>
      </c>
      <c r="B184" s="55" t="s">
        <v>2643</v>
      </c>
    </row>
    <row r="185" spans="1:2" x14ac:dyDescent="0.25">
      <c r="A185" s="53">
        <v>21303</v>
      </c>
      <c r="B185" s="55" t="s">
        <v>2644</v>
      </c>
    </row>
    <row r="186" spans="1:2" x14ac:dyDescent="0.25">
      <c r="A186" s="53">
        <v>21304</v>
      </c>
      <c r="B186" s="55" t="s">
        <v>2645</v>
      </c>
    </row>
    <row r="187" spans="1:2" x14ac:dyDescent="0.25">
      <c r="A187" s="53">
        <v>21305</v>
      </c>
      <c r="B187" s="55" t="s">
        <v>2646</v>
      </c>
    </row>
    <row r="188" spans="1:2" x14ac:dyDescent="0.25">
      <c r="A188" s="53">
        <v>21306</v>
      </c>
      <c r="B188" s="55" t="s">
        <v>2647</v>
      </c>
    </row>
    <row r="189" spans="1:2" x14ac:dyDescent="0.25">
      <c r="A189" s="53">
        <v>21309</v>
      </c>
      <c r="B189" s="55" t="s">
        <v>2648</v>
      </c>
    </row>
    <row r="190" spans="1:2" x14ac:dyDescent="0.25">
      <c r="A190" s="53">
        <v>21351</v>
      </c>
      <c r="B190" s="55" t="s">
        <v>2649</v>
      </c>
    </row>
    <row r="191" spans="1:2" x14ac:dyDescent="0.25">
      <c r="A191" s="53">
        <v>21352</v>
      </c>
      <c r="B191" s="55" t="s">
        <v>2650</v>
      </c>
    </row>
    <row r="192" spans="1:2" x14ac:dyDescent="0.25">
      <c r="A192" s="53">
        <v>21353</v>
      </c>
      <c r="B192" s="55" t="s">
        <v>2651</v>
      </c>
    </row>
    <row r="193" spans="1:2" x14ac:dyDescent="0.25">
      <c r="A193" s="53">
        <v>21354</v>
      </c>
      <c r="B193" s="55" t="s">
        <v>2652</v>
      </c>
    </row>
    <row r="194" spans="1:2" x14ac:dyDescent="0.25">
      <c r="A194" s="53">
        <v>21355</v>
      </c>
      <c r="B194" s="55" t="s">
        <v>2653</v>
      </c>
    </row>
    <row r="195" spans="1:2" x14ac:dyDescent="0.25">
      <c r="A195" s="53">
        <v>21356</v>
      </c>
      <c r="B195" s="55" t="s">
        <v>2654</v>
      </c>
    </row>
    <row r="196" spans="1:2" x14ac:dyDescent="0.25">
      <c r="A196" s="53">
        <v>21357</v>
      </c>
      <c r="B196" s="55" t="s">
        <v>2655</v>
      </c>
    </row>
    <row r="197" spans="1:2" x14ac:dyDescent="0.25">
      <c r="A197" s="53">
        <v>21359</v>
      </c>
      <c r="B197" s="55" t="s">
        <v>2656</v>
      </c>
    </row>
    <row r="198" spans="1:2" x14ac:dyDescent="0.25">
      <c r="A198" s="53">
        <v>21401</v>
      </c>
      <c r="B198" s="55" t="s">
        <v>2657</v>
      </c>
    </row>
    <row r="199" spans="1:2" x14ac:dyDescent="0.25">
      <c r="A199" s="53">
        <v>21403</v>
      </c>
      <c r="B199" s="55" t="s">
        <v>2658</v>
      </c>
    </row>
    <row r="200" spans="1:2" x14ac:dyDescent="0.25">
      <c r="A200" s="53">
        <v>21404</v>
      </c>
      <c r="B200" s="55" t="s">
        <v>2659</v>
      </c>
    </row>
    <row r="201" spans="1:2" x14ac:dyDescent="0.25">
      <c r="A201" s="53">
        <v>21405</v>
      </c>
      <c r="B201" s="55" t="s">
        <v>2660</v>
      </c>
    </row>
    <row r="202" spans="1:2" x14ac:dyDescent="0.25">
      <c r="A202" s="53">
        <v>21406</v>
      </c>
      <c r="B202" s="55" t="s">
        <v>2661</v>
      </c>
    </row>
    <row r="203" spans="1:2" x14ac:dyDescent="0.25">
      <c r="A203" s="53">
        <v>21409</v>
      </c>
      <c r="B203" s="55" t="s">
        <v>2662</v>
      </c>
    </row>
    <row r="204" spans="1:2" x14ac:dyDescent="0.25">
      <c r="A204" s="53">
        <v>21501</v>
      </c>
      <c r="B204" s="55" t="s">
        <v>2663</v>
      </c>
    </row>
    <row r="205" spans="1:2" x14ac:dyDescent="0.25">
      <c r="A205" s="53">
        <v>21502</v>
      </c>
      <c r="B205" s="55" t="s">
        <v>2664</v>
      </c>
    </row>
    <row r="206" spans="1:2" x14ac:dyDescent="0.25">
      <c r="A206" s="53">
        <v>21505</v>
      </c>
      <c r="B206" s="55" t="s">
        <v>2665</v>
      </c>
    </row>
    <row r="207" spans="1:2" x14ac:dyDescent="0.25">
      <c r="A207" s="53">
        <v>21506</v>
      </c>
      <c r="B207" s="55" t="s">
        <v>2666</v>
      </c>
    </row>
    <row r="208" spans="1:2" x14ac:dyDescent="0.25">
      <c r="A208" s="53">
        <v>21601</v>
      </c>
      <c r="B208" s="55" t="s">
        <v>3047</v>
      </c>
    </row>
    <row r="209" spans="1:2" x14ac:dyDescent="0.25">
      <c r="A209" s="53">
        <v>21602</v>
      </c>
      <c r="B209" s="55" t="s">
        <v>3048</v>
      </c>
    </row>
    <row r="210" spans="1:2" x14ac:dyDescent="0.25">
      <c r="A210" s="53">
        <v>21603</v>
      </c>
      <c r="B210" s="55" t="s">
        <v>3049</v>
      </c>
    </row>
    <row r="211" spans="1:2" x14ac:dyDescent="0.25">
      <c r="A211" s="53">
        <v>21604</v>
      </c>
      <c r="B211" s="55" t="s">
        <v>3050</v>
      </c>
    </row>
    <row r="212" spans="1:2" x14ac:dyDescent="0.25">
      <c r="A212" s="53">
        <v>21605</v>
      </c>
      <c r="B212" s="55" t="s">
        <v>2667</v>
      </c>
    </row>
    <row r="213" spans="1:2" x14ac:dyDescent="0.25">
      <c r="A213" s="53">
        <v>21606</v>
      </c>
      <c r="B213" s="55" t="s">
        <v>3051</v>
      </c>
    </row>
    <row r="214" spans="1:2" x14ac:dyDescent="0.25">
      <c r="A214" s="53">
        <v>21607</v>
      </c>
      <c r="B214" s="55" t="s">
        <v>3052</v>
      </c>
    </row>
    <row r="215" spans="1:2" x14ac:dyDescent="0.25">
      <c r="A215" s="53">
        <v>21608</v>
      </c>
      <c r="B215" s="55" t="s">
        <v>2668</v>
      </c>
    </row>
    <row r="216" spans="1:2" x14ac:dyDescent="0.25">
      <c r="A216" s="53">
        <v>21610</v>
      </c>
      <c r="B216" s="55" t="s">
        <v>3053</v>
      </c>
    </row>
    <row r="217" spans="1:2" x14ac:dyDescent="0.25">
      <c r="A217" s="53">
        <v>21611</v>
      </c>
      <c r="B217" s="55" t="s">
        <v>3054</v>
      </c>
    </row>
    <row r="218" spans="1:2" x14ac:dyDescent="0.25">
      <c r="A218" s="53">
        <v>21612</v>
      </c>
      <c r="B218" s="55" t="s">
        <v>3055</v>
      </c>
    </row>
    <row r="219" spans="1:2" x14ac:dyDescent="0.25">
      <c r="A219" s="53">
        <v>21613</v>
      </c>
      <c r="B219" s="55" t="s">
        <v>2669</v>
      </c>
    </row>
    <row r="220" spans="1:2" x14ac:dyDescent="0.25">
      <c r="A220" s="53">
        <v>21614</v>
      </c>
      <c r="B220" s="55" t="s">
        <v>2670</v>
      </c>
    </row>
    <row r="221" spans="1:2" x14ac:dyDescent="0.25">
      <c r="A221" s="53">
        <v>21615</v>
      </c>
      <c r="B221" s="55" t="s">
        <v>2671</v>
      </c>
    </row>
    <row r="222" spans="1:2" x14ac:dyDescent="0.25">
      <c r="A222" s="53">
        <v>21699</v>
      </c>
      <c r="B222" s="55" t="s">
        <v>2672</v>
      </c>
    </row>
    <row r="223" spans="1:2" x14ac:dyDescent="0.25">
      <c r="A223" s="53">
        <v>21701</v>
      </c>
      <c r="B223" s="55" t="s">
        <v>2673</v>
      </c>
    </row>
    <row r="224" spans="1:2" x14ac:dyDescent="0.25">
      <c r="A224" s="53">
        <v>21702</v>
      </c>
      <c r="B224" s="55" t="s">
        <v>2674</v>
      </c>
    </row>
    <row r="225" spans="1:2" x14ac:dyDescent="0.25">
      <c r="A225" s="53">
        <v>21703</v>
      </c>
      <c r="B225" s="55" t="s">
        <v>2675</v>
      </c>
    </row>
    <row r="226" spans="1:2" x14ac:dyDescent="0.25">
      <c r="A226" s="53">
        <v>21704</v>
      </c>
      <c r="B226" s="55" t="s">
        <v>2676</v>
      </c>
    </row>
    <row r="227" spans="1:2" x14ac:dyDescent="0.25">
      <c r="A227" s="53">
        <v>21705</v>
      </c>
      <c r="B227" s="55" t="s">
        <v>2677</v>
      </c>
    </row>
    <row r="228" spans="1:2" x14ac:dyDescent="0.25">
      <c r="A228" s="53">
        <v>21706</v>
      </c>
      <c r="B228" s="55" t="s">
        <v>2678</v>
      </c>
    </row>
    <row r="229" spans="1:2" x14ac:dyDescent="0.25">
      <c r="A229" s="53">
        <v>21707</v>
      </c>
      <c r="B229" s="55" t="s">
        <v>2679</v>
      </c>
    </row>
    <row r="230" spans="1:2" x14ac:dyDescent="0.25">
      <c r="A230" s="53">
        <v>21708</v>
      </c>
      <c r="B230" s="55" t="s">
        <v>2680</v>
      </c>
    </row>
    <row r="231" spans="1:2" x14ac:dyDescent="0.25">
      <c r="A231" s="53">
        <v>21709</v>
      </c>
      <c r="B231" s="55" t="s">
        <v>2681</v>
      </c>
    </row>
    <row r="232" spans="1:2" x14ac:dyDescent="0.25">
      <c r="A232" s="53">
        <v>21710</v>
      </c>
      <c r="B232" s="55" t="s">
        <v>2682</v>
      </c>
    </row>
    <row r="233" spans="1:2" x14ac:dyDescent="0.25">
      <c r="A233" s="53">
        <v>21711</v>
      </c>
      <c r="B233" s="55" t="s">
        <v>2683</v>
      </c>
    </row>
    <row r="234" spans="1:2" x14ac:dyDescent="0.25">
      <c r="A234" s="53">
        <v>32301</v>
      </c>
      <c r="B234" s="55" t="s">
        <v>2699</v>
      </c>
    </row>
    <row r="235" spans="1:2" x14ac:dyDescent="0.25">
      <c r="A235" s="53">
        <v>32302</v>
      </c>
      <c r="B235" s="55" t="s">
        <v>2700</v>
      </c>
    </row>
    <row r="236" spans="1:2" x14ac:dyDescent="0.25">
      <c r="A236" s="53">
        <v>32303</v>
      </c>
      <c r="B236" s="55" t="s">
        <v>2701</v>
      </c>
    </row>
    <row r="237" spans="1:2" x14ac:dyDescent="0.25">
      <c r="A237" s="53">
        <v>34551</v>
      </c>
      <c r="B237" s="55" t="s">
        <v>2715</v>
      </c>
    </row>
    <row r="238" spans="1:2" x14ac:dyDescent="0.25">
      <c r="A238" s="53">
        <v>34552</v>
      </c>
      <c r="B238" s="55" t="s">
        <v>2716</v>
      </c>
    </row>
    <row r="239" spans="1:2" x14ac:dyDescent="0.25">
      <c r="A239" s="53">
        <v>34553</v>
      </c>
      <c r="B239" s="55" t="s">
        <v>2717</v>
      </c>
    </row>
    <row r="240" spans="1:2" x14ac:dyDescent="0.25">
      <c r="A240" s="53">
        <v>34555</v>
      </c>
      <c r="B240" s="55" t="s">
        <v>2718</v>
      </c>
    </row>
    <row r="241" spans="1:2" x14ac:dyDescent="0.25">
      <c r="A241" s="53">
        <v>37109</v>
      </c>
      <c r="B241" s="55" t="s">
        <v>2728</v>
      </c>
    </row>
    <row r="242" spans="1:2" x14ac:dyDescent="0.25">
      <c r="A242" s="53">
        <v>37201</v>
      </c>
      <c r="B242" s="55" t="s">
        <v>2729</v>
      </c>
    </row>
    <row r="243" spans="1:2" x14ac:dyDescent="0.25">
      <c r="A243" s="53">
        <v>37202</v>
      </c>
      <c r="B243" s="55" t="s">
        <v>2730</v>
      </c>
    </row>
    <row r="244" spans="1:2" x14ac:dyDescent="0.25">
      <c r="A244" s="53">
        <v>37203</v>
      </c>
      <c r="B244" s="55" t="s">
        <v>2731</v>
      </c>
    </row>
    <row r="245" spans="1:2" x14ac:dyDescent="0.25">
      <c r="A245" s="53">
        <v>37204</v>
      </c>
      <c r="B245" s="55" t="s">
        <v>2732</v>
      </c>
    </row>
    <row r="246" spans="1:2" x14ac:dyDescent="0.25">
      <c r="A246" s="53">
        <v>37205</v>
      </c>
      <c r="B246" s="55" t="s">
        <v>2733</v>
      </c>
    </row>
    <row r="247" spans="1:2" x14ac:dyDescent="0.25">
      <c r="A247" s="53">
        <v>37206</v>
      </c>
      <c r="B247" s="55" t="s">
        <v>2734</v>
      </c>
    </row>
    <row r="248" spans="1:2" x14ac:dyDescent="0.25">
      <c r="A248" s="53">
        <v>37207</v>
      </c>
      <c r="B248" s="55" t="s">
        <v>2735</v>
      </c>
    </row>
    <row r="249" spans="1:2" x14ac:dyDescent="0.25">
      <c r="A249" s="53">
        <v>37208</v>
      </c>
      <c r="B249" s="55" t="s">
        <v>2736</v>
      </c>
    </row>
    <row r="250" spans="1:2" x14ac:dyDescent="0.25">
      <c r="A250" s="53">
        <v>37209</v>
      </c>
      <c r="B250" s="55" t="s">
        <v>2737</v>
      </c>
    </row>
    <row r="251" spans="1:2" x14ac:dyDescent="0.25">
      <c r="A251" s="53">
        <v>37210</v>
      </c>
      <c r="B251" s="55" t="s">
        <v>2738</v>
      </c>
    </row>
    <row r="252" spans="1:2" x14ac:dyDescent="0.25">
      <c r="A252" s="53">
        <v>37211</v>
      </c>
      <c r="B252" s="55" t="s">
        <v>2739</v>
      </c>
    </row>
    <row r="253" spans="1:2" x14ac:dyDescent="0.25">
      <c r="A253" s="53">
        <v>37212</v>
      </c>
      <c r="B253" s="55" t="s">
        <v>2740</v>
      </c>
    </row>
    <row r="254" spans="1:2" x14ac:dyDescent="0.25">
      <c r="A254" s="53">
        <v>37213</v>
      </c>
      <c r="B254" s="55" t="s">
        <v>2741</v>
      </c>
    </row>
    <row r="255" spans="1:2" x14ac:dyDescent="0.25">
      <c r="A255" s="53">
        <v>37214</v>
      </c>
      <c r="B255" s="55" t="s">
        <v>2742</v>
      </c>
    </row>
    <row r="256" spans="1:2" x14ac:dyDescent="0.25">
      <c r="A256" s="53">
        <v>37301</v>
      </c>
      <c r="B256" s="55" t="s">
        <v>2743</v>
      </c>
    </row>
    <row r="257" spans="1:2" x14ac:dyDescent="0.25">
      <c r="A257" s="53">
        <v>37302</v>
      </c>
      <c r="B257" s="55" t="s">
        <v>2744</v>
      </c>
    </row>
    <row r="258" spans="1:2" x14ac:dyDescent="0.25">
      <c r="A258" s="53">
        <v>37309</v>
      </c>
      <c r="B258" s="55" t="s">
        <v>2745</v>
      </c>
    </row>
    <row r="259" spans="1:2" x14ac:dyDescent="0.25">
      <c r="A259" s="53">
        <v>37901</v>
      </c>
      <c r="B259" s="55" t="s">
        <v>2750</v>
      </c>
    </row>
    <row r="260" spans="1:2" x14ac:dyDescent="0.25">
      <c r="A260" s="53">
        <v>37902</v>
      </c>
      <c r="B260" s="55" t="s">
        <v>2751</v>
      </c>
    </row>
    <row r="261" spans="1:2" x14ac:dyDescent="0.25">
      <c r="A261" s="53">
        <v>37903</v>
      </c>
      <c r="B261" s="55" t="s">
        <v>2752</v>
      </c>
    </row>
    <row r="262" spans="1:2" x14ac:dyDescent="0.25">
      <c r="A262" s="53">
        <v>37904</v>
      </c>
      <c r="B262" s="55" t="s">
        <v>2753</v>
      </c>
    </row>
    <row r="263" spans="1:2" x14ac:dyDescent="0.25">
      <c r="A263" s="53">
        <v>37905</v>
      </c>
      <c r="B263" s="55" t="s">
        <v>2754</v>
      </c>
    </row>
    <row r="264" spans="1:2" x14ac:dyDescent="0.25">
      <c r="A264" s="53">
        <v>37909</v>
      </c>
      <c r="B264" s="55" t="s">
        <v>2755</v>
      </c>
    </row>
    <row r="265" spans="1:2" x14ac:dyDescent="0.25">
      <c r="A265" s="53">
        <v>38101</v>
      </c>
      <c r="B265" s="55" t="s">
        <v>2756</v>
      </c>
    </row>
    <row r="266" spans="1:2" x14ac:dyDescent="0.25">
      <c r="A266" s="53">
        <v>38102</v>
      </c>
      <c r="B266" s="55" t="s">
        <v>2757</v>
      </c>
    </row>
    <row r="267" spans="1:2" x14ac:dyDescent="0.25">
      <c r="A267" s="53">
        <v>38109</v>
      </c>
      <c r="B267" s="55" t="s">
        <v>2758</v>
      </c>
    </row>
    <row r="268" spans="1:2" x14ac:dyDescent="0.25">
      <c r="A268" s="53">
        <v>38401</v>
      </c>
      <c r="B268" s="55" t="s">
        <v>2760</v>
      </c>
    </row>
    <row r="269" spans="1:2" x14ac:dyDescent="0.25">
      <c r="A269" s="53">
        <v>38402</v>
      </c>
      <c r="B269" s="55" t="s">
        <v>2761</v>
      </c>
    </row>
    <row r="270" spans="1:2" x14ac:dyDescent="0.25">
      <c r="A270" s="53">
        <v>38403</v>
      </c>
      <c r="B270" s="55" t="s">
        <v>2762</v>
      </c>
    </row>
    <row r="271" spans="1:2" x14ac:dyDescent="0.25">
      <c r="A271" s="53">
        <v>38404</v>
      </c>
      <c r="B271" s="55" t="s">
        <v>2763</v>
      </c>
    </row>
    <row r="272" spans="1:2" x14ac:dyDescent="0.25">
      <c r="A272" s="53">
        <v>39999</v>
      </c>
      <c r="B272" s="55" t="s">
        <v>2765</v>
      </c>
    </row>
    <row r="273" spans="1:2" x14ac:dyDescent="0.25">
      <c r="A273" s="53">
        <v>41301</v>
      </c>
      <c r="B273" s="55" t="s">
        <v>3036</v>
      </c>
    </row>
    <row r="274" spans="1:2" x14ac:dyDescent="0.25">
      <c r="A274" s="53">
        <v>42101</v>
      </c>
      <c r="B274" s="55" t="s">
        <v>2770</v>
      </c>
    </row>
    <row r="275" spans="1:2" x14ac:dyDescent="0.25">
      <c r="A275" s="53">
        <v>42201</v>
      </c>
      <c r="B275" s="55" t="s">
        <v>2771</v>
      </c>
    </row>
    <row r="276" spans="1:2" x14ac:dyDescent="0.25">
      <c r="A276" s="53">
        <v>42301</v>
      </c>
      <c r="B276" s="55" t="s">
        <v>2772</v>
      </c>
    </row>
    <row r="277" spans="1:2" x14ac:dyDescent="0.25">
      <c r="A277" s="53">
        <v>42302</v>
      </c>
      <c r="B277" s="55" t="s">
        <v>3026</v>
      </c>
    </row>
    <row r="278" spans="1:2" x14ac:dyDescent="0.25">
      <c r="A278" s="53">
        <v>42303</v>
      </c>
      <c r="B278" s="55" t="s">
        <v>2773</v>
      </c>
    </row>
    <row r="279" spans="1:2" x14ac:dyDescent="0.25">
      <c r="A279" s="53">
        <v>42401</v>
      </c>
      <c r="B279" s="55" t="s">
        <v>2774</v>
      </c>
    </row>
    <row r="280" spans="1:2" x14ac:dyDescent="0.25">
      <c r="A280" s="53">
        <v>42501</v>
      </c>
      <c r="B280" s="55" t="s">
        <v>2775</v>
      </c>
    </row>
    <row r="281" spans="1:2" x14ac:dyDescent="0.25">
      <c r="A281" s="53">
        <v>43301</v>
      </c>
      <c r="B281" s="55" t="s">
        <v>2779</v>
      </c>
    </row>
    <row r="282" spans="1:2" x14ac:dyDescent="0.25">
      <c r="A282" s="53">
        <v>44301</v>
      </c>
      <c r="B282" s="55" t="s">
        <v>2786</v>
      </c>
    </row>
    <row r="283" spans="1:2" x14ac:dyDescent="0.25">
      <c r="A283" s="53">
        <v>44401</v>
      </c>
      <c r="B283" s="55" t="s">
        <v>2787</v>
      </c>
    </row>
    <row r="284" spans="1:2" x14ac:dyDescent="0.25">
      <c r="A284" s="53">
        <v>44402</v>
      </c>
      <c r="B284" s="55" t="s">
        <v>2788</v>
      </c>
    </row>
    <row r="285" spans="1:2" x14ac:dyDescent="0.25">
      <c r="A285" s="53">
        <v>69001</v>
      </c>
      <c r="B285" s="55" t="s">
        <v>2810</v>
      </c>
    </row>
    <row r="286" spans="1:2" x14ac:dyDescent="0.25">
      <c r="A286" s="53">
        <v>69002</v>
      </c>
      <c r="B286" s="55" t="s">
        <v>2811</v>
      </c>
    </row>
    <row r="287" spans="1:2" x14ac:dyDescent="0.25">
      <c r="A287" s="53">
        <v>69009</v>
      </c>
      <c r="B287" s="55" t="s">
        <v>2812</v>
      </c>
    </row>
    <row r="288" spans="1:2" x14ac:dyDescent="0.25">
      <c r="A288" s="53">
        <v>71002</v>
      </c>
      <c r="B288" s="55" t="s">
        <v>2813</v>
      </c>
    </row>
    <row r="289" spans="1:2" x14ac:dyDescent="0.25">
      <c r="A289" s="53">
        <v>71003</v>
      </c>
      <c r="B289" s="55" t="s">
        <v>2814</v>
      </c>
    </row>
    <row r="290" spans="1:2" x14ac:dyDescent="0.25">
      <c r="A290" s="53">
        <v>71004</v>
      </c>
      <c r="B290" s="55" t="s">
        <v>1030</v>
      </c>
    </row>
    <row r="291" spans="1:2" x14ac:dyDescent="0.25">
      <c r="A291" s="53">
        <v>71005</v>
      </c>
      <c r="B291" s="55" t="s">
        <v>2815</v>
      </c>
    </row>
    <row r="292" spans="1:2" x14ac:dyDescent="0.25">
      <c r="A292" s="53">
        <v>71007</v>
      </c>
      <c r="B292" s="55" t="s">
        <v>2816</v>
      </c>
    </row>
    <row r="293" spans="1:2" x14ac:dyDescent="0.25">
      <c r="A293" s="53">
        <v>71008</v>
      </c>
      <c r="B293" s="55" t="s">
        <v>2817</v>
      </c>
    </row>
    <row r="294" spans="1:2" x14ac:dyDescent="0.25">
      <c r="A294" s="53">
        <v>71009</v>
      </c>
      <c r="B294" s="55" t="s">
        <v>2818</v>
      </c>
    </row>
    <row r="295" spans="1:2" x14ac:dyDescent="0.25">
      <c r="A295" s="53">
        <v>73001</v>
      </c>
      <c r="B295" s="55" t="s">
        <v>2810</v>
      </c>
    </row>
    <row r="296" spans="1:2" x14ac:dyDescent="0.25">
      <c r="A296" s="53">
        <v>73002</v>
      </c>
      <c r="B296" s="55" t="s">
        <v>2820</v>
      </c>
    </row>
    <row r="297" spans="1:2" x14ac:dyDescent="0.25">
      <c r="A297" s="53">
        <v>73003</v>
      </c>
      <c r="B297" s="55" t="s">
        <v>2821</v>
      </c>
    </row>
    <row r="298" spans="1:2" x14ac:dyDescent="0.25">
      <c r="A298" s="53">
        <v>73004</v>
      </c>
      <c r="B298" s="55" t="s">
        <v>2822</v>
      </c>
    </row>
    <row r="299" spans="1:2" x14ac:dyDescent="0.25">
      <c r="A299" s="53">
        <v>73005</v>
      </c>
      <c r="B299" s="55" t="s">
        <v>2823</v>
      </c>
    </row>
    <row r="300" spans="1:2" x14ac:dyDescent="0.25">
      <c r="A300" s="53">
        <v>73007</v>
      </c>
      <c r="B300" s="55" t="s">
        <v>2824</v>
      </c>
    </row>
    <row r="301" spans="1:2" x14ac:dyDescent="0.25">
      <c r="A301" s="53">
        <v>73008</v>
      </c>
      <c r="B301" s="55" t="s">
        <v>2825</v>
      </c>
    </row>
    <row r="302" spans="1:2" x14ac:dyDescent="0.25">
      <c r="A302" s="53">
        <v>73009</v>
      </c>
      <c r="B302" s="55" t="s">
        <v>2826</v>
      </c>
    </row>
    <row r="303" spans="1:2" x14ac:dyDescent="0.25">
      <c r="A303" s="53">
        <v>73010</v>
      </c>
      <c r="B303" s="55" t="s">
        <v>2827</v>
      </c>
    </row>
    <row r="304" spans="1:2" x14ac:dyDescent="0.25">
      <c r="A304" s="53">
        <v>73011</v>
      </c>
      <c r="B304" s="55" t="s">
        <v>2828</v>
      </c>
    </row>
    <row r="305" spans="1:2" x14ac:dyDescent="0.25">
      <c r="A305" s="53">
        <v>73012</v>
      </c>
      <c r="B305" s="55" t="s">
        <v>2829</v>
      </c>
    </row>
    <row r="306" spans="1:2" x14ac:dyDescent="0.25">
      <c r="A306" s="53">
        <v>73013</v>
      </c>
      <c r="B306" s="55" t="s">
        <v>2830</v>
      </c>
    </row>
    <row r="307" spans="1:2" x14ac:dyDescent="0.25">
      <c r="A307" s="53">
        <v>73098</v>
      </c>
      <c r="B307" s="55" t="s">
        <v>2831</v>
      </c>
    </row>
    <row r="308" spans="1:2" x14ac:dyDescent="0.25">
      <c r="A308" s="53">
        <v>73099</v>
      </c>
      <c r="B308" s="55" t="s">
        <v>2832</v>
      </c>
    </row>
    <row r="309" spans="1:2" x14ac:dyDescent="0.25">
      <c r="A309" s="53">
        <v>74001</v>
      </c>
      <c r="B309" s="55" t="s">
        <v>2833</v>
      </c>
    </row>
    <row r="310" spans="1:2" x14ac:dyDescent="0.25">
      <c r="A310" s="53">
        <v>74002</v>
      </c>
      <c r="B310" s="55" t="s">
        <v>2834</v>
      </c>
    </row>
    <row r="311" spans="1:2" x14ac:dyDescent="0.25">
      <c r="A311" s="53">
        <v>75001</v>
      </c>
      <c r="B311" s="55" t="s">
        <v>2835</v>
      </c>
    </row>
    <row r="312" spans="1:2" x14ac:dyDescent="0.25">
      <c r="A312" s="53">
        <v>75003</v>
      </c>
      <c r="B312" s="55" t="s">
        <v>2836</v>
      </c>
    </row>
    <row r="313" spans="1:2" x14ac:dyDescent="0.25">
      <c r="A313" s="53">
        <v>91101</v>
      </c>
      <c r="B313" s="55" t="s">
        <v>2841</v>
      </c>
    </row>
    <row r="314" spans="1:2" x14ac:dyDescent="0.25">
      <c r="A314" s="53">
        <v>91102</v>
      </c>
      <c r="B314" s="55" t="s">
        <v>2842</v>
      </c>
    </row>
    <row r="315" spans="1:2" x14ac:dyDescent="0.25">
      <c r="A315" s="53">
        <v>91201</v>
      </c>
      <c r="B315" s="55" t="s">
        <v>2843</v>
      </c>
    </row>
    <row r="316" spans="1:2" x14ac:dyDescent="0.25">
      <c r="A316" s="53">
        <v>91202</v>
      </c>
      <c r="B316" s="55" t="s">
        <v>2844</v>
      </c>
    </row>
    <row r="317" spans="1:2" x14ac:dyDescent="0.25">
      <c r="A317" s="53">
        <v>91301</v>
      </c>
      <c r="B317" s="55" t="s">
        <v>2845</v>
      </c>
    </row>
    <row r="318" spans="1:2" x14ac:dyDescent="0.25">
      <c r="A318" s="53">
        <v>91302</v>
      </c>
      <c r="B318" s="55" t="s">
        <v>2846</v>
      </c>
    </row>
    <row r="319" spans="1:2" x14ac:dyDescent="0.25">
      <c r="A319" s="53">
        <v>91303</v>
      </c>
      <c r="B319" s="55" t="s">
        <v>2847</v>
      </c>
    </row>
    <row r="320" spans="1:2" x14ac:dyDescent="0.25">
      <c r="A320" s="53">
        <v>91309</v>
      </c>
      <c r="B320" s="55" t="s">
        <v>2848</v>
      </c>
    </row>
    <row r="321" spans="1:2" x14ac:dyDescent="0.25">
      <c r="A321" s="53">
        <v>92301</v>
      </c>
      <c r="B321" s="55" t="s">
        <v>2853</v>
      </c>
    </row>
    <row r="322" spans="1:2" x14ac:dyDescent="0.25">
      <c r="A322" s="53">
        <v>92302</v>
      </c>
      <c r="B322" s="55" t="s">
        <v>2854</v>
      </c>
    </row>
    <row r="323" spans="1:2" x14ac:dyDescent="0.25">
      <c r="A323" s="53">
        <v>92309</v>
      </c>
      <c r="B323" s="55" t="s">
        <v>2855</v>
      </c>
    </row>
    <row r="324" spans="1:2" x14ac:dyDescent="0.25">
      <c r="A324" s="53">
        <v>92351</v>
      </c>
      <c r="B324" s="55" t="s">
        <v>2856</v>
      </c>
    </row>
    <row r="325" spans="1:2" x14ac:dyDescent="0.25">
      <c r="A325" s="53">
        <v>92352</v>
      </c>
      <c r="B325" s="55" t="s">
        <v>2857</v>
      </c>
    </row>
    <row r="326" spans="1:2" x14ac:dyDescent="0.25">
      <c r="A326" s="53">
        <v>92359</v>
      </c>
      <c r="B326" s="55" t="s">
        <v>2858</v>
      </c>
    </row>
    <row r="327" spans="1:2" x14ac:dyDescent="0.25">
      <c r="A327" s="53">
        <v>92401</v>
      </c>
      <c r="B327" s="55" t="s">
        <v>3065</v>
      </c>
    </row>
    <row r="328" spans="1:2" x14ac:dyDescent="0.25">
      <c r="A328" s="53">
        <v>92402</v>
      </c>
      <c r="B328" s="55" t="s">
        <v>2859</v>
      </c>
    </row>
    <row r="329" spans="1:2" x14ac:dyDescent="0.25">
      <c r="A329" s="53">
        <v>92403</v>
      </c>
      <c r="B329" s="55" t="s">
        <v>2860</v>
      </c>
    </row>
    <row r="330" spans="1:2" x14ac:dyDescent="0.25">
      <c r="A330" s="53">
        <v>92451</v>
      </c>
      <c r="B330" s="55" t="s">
        <v>2861</v>
      </c>
    </row>
    <row r="331" spans="1:2" x14ac:dyDescent="0.25">
      <c r="A331" s="53">
        <v>92452</v>
      </c>
      <c r="B331" s="55" t="s">
        <v>2862</v>
      </c>
    </row>
    <row r="332" spans="1:2" x14ac:dyDescent="0.25">
      <c r="A332" s="53">
        <v>93101</v>
      </c>
      <c r="B332" s="55" t="s">
        <v>2866</v>
      </c>
    </row>
    <row r="333" spans="1:2" x14ac:dyDescent="0.25">
      <c r="A333" s="53">
        <v>93102</v>
      </c>
      <c r="B333" s="55" t="s">
        <v>2867</v>
      </c>
    </row>
    <row r="334" spans="1:2" x14ac:dyDescent="0.25">
      <c r="A334" s="53">
        <v>93103</v>
      </c>
      <c r="B334" s="55" t="s">
        <v>2868</v>
      </c>
    </row>
    <row r="335" spans="1:2" x14ac:dyDescent="0.25">
      <c r="A335" s="62" t="s">
        <v>3029</v>
      </c>
      <c r="B335" s="56" t="s">
        <v>3030</v>
      </c>
    </row>
    <row r="336" spans="1:2" x14ac:dyDescent="0.25">
      <c r="A336" s="53" t="s">
        <v>2887</v>
      </c>
      <c r="B336" s="55" t="s">
        <v>2888</v>
      </c>
    </row>
    <row r="337" spans="1:2" x14ac:dyDescent="0.25">
      <c r="A337" s="53" t="s">
        <v>1031</v>
      </c>
      <c r="B337" s="55" t="s">
        <v>2877</v>
      </c>
    </row>
    <row r="338" spans="1:2" x14ac:dyDescent="0.25">
      <c r="A338" s="53" t="s">
        <v>1032</v>
      </c>
      <c r="B338" s="55" t="s">
        <v>2878</v>
      </c>
    </row>
    <row r="339" spans="1:2" x14ac:dyDescent="0.25">
      <c r="A339" s="53" t="s">
        <v>1033</v>
      </c>
      <c r="B339" s="55" t="s">
        <v>2879</v>
      </c>
    </row>
    <row r="340" spans="1:2" x14ac:dyDescent="0.25">
      <c r="A340" s="53" t="s">
        <v>1034</v>
      </c>
      <c r="B340" s="55" t="s">
        <v>2880</v>
      </c>
    </row>
    <row r="341" spans="1:2" x14ac:dyDescent="0.25">
      <c r="A341" s="53" t="s">
        <v>1035</v>
      </c>
      <c r="B341" s="55" t="s">
        <v>2881</v>
      </c>
    </row>
    <row r="342" spans="1:2" x14ac:dyDescent="0.25">
      <c r="A342" s="53" t="s">
        <v>1036</v>
      </c>
      <c r="B342" s="55" t="s">
        <v>2882</v>
      </c>
    </row>
    <row r="343" spans="1:2" x14ac:dyDescent="0.25">
      <c r="A343" s="53" t="s">
        <v>1037</v>
      </c>
      <c r="B343" s="55" t="s">
        <v>2883</v>
      </c>
    </row>
    <row r="344" spans="1:2" x14ac:dyDescent="0.25">
      <c r="A344" s="53" t="s">
        <v>1357</v>
      </c>
      <c r="B344" s="55" t="s">
        <v>2884</v>
      </c>
    </row>
    <row r="345" spans="1:2" x14ac:dyDescent="0.25">
      <c r="A345" s="53" t="s">
        <v>1038</v>
      </c>
      <c r="B345" s="55" t="s">
        <v>2885</v>
      </c>
    </row>
    <row r="346" spans="1:2" x14ac:dyDescent="0.25">
      <c r="A346" s="53" t="s">
        <v>1039</v>
      </c>
      <c r="B346" s="55" t="s">
        <v>2886</v>
      </c>
    </row>
    <row r="347" spans="1:2" x14ac:dyDescent="0.25">
      <c r="A347" s="53" t="s">
        <v>1040</v>
      </c>
      <c r="B347" s="55" t="s">
        <v>2889</v>
      </c>
    </row>
    <row r="348" spans="1:2" x14ac:dyDescent="0.25">
      <c r="A348" s="53" t="s">
        <v>1041</v>
      </c>
      <c r="B348" s="55" t="s">
        <v>2890</v>
      </c>
    </row>
    <row r="349" spans="1:2" x14ac:dyDescent="0.25">
      <c r="A349" s="53" t="s">
        <v>1042</v>
      </c>
      <c r="B349" s="55" t="s">
        <v>2891</v>
      </c>
    </row>
    <row r="350" spans="1:2" x14ac:dyDescent="0.25">
      <c r="A350" s="53" t="s">
        <v>2892</v>
      </c>
      <c r="B350" s="55" t="s">
        <v>2893</v>
      </c>
    </row>
    <row r="351" spans="1:2" x14ac:dyDescent="0.25">
      <c r="A351" s="53" t="s">
        <v>1043</v>
      </c>
      <c r="B351" s="55" t="s">
        <v>2894</v>
      </c>
    </row>
    <row r="352" spans="1:2" x14ac:dyDescent="0.25">
      <c r="A352" s="53" t="s">
        <v>1044</v>
      </c>
      <c r="B352" s="55" t="s">
        <v>2895</v>
      </c>
    </row>
    <row r="353" spans="1:2" x14ac:dyDescent="0.25">
      <c r="A353" s="53" t="s">
        <v>1045</v>
      </c>
      <c r="B353" s="55" t="s">
        <v>2896</v>
      </c>
    </row>
    <row r="354" spans="1:2" x14ac:dyDescent="0.25">
      <c r="A354" s="53" t="s">
        <v>52</v>
      </c>
      <c r="B354" s="55" t="s">
        <v>2897</v>
      </c>
    </row>
    <row r="355" spans="1:2" x14ac:dyDescent="0.25">
      <c r="A355" s="53" t="s">
        <v>53</v>
      </c>
      <c r="B355" s="55" t="s">
        <v>2898</v>
      </c>
    </row>
    <row r="356" spans="1:2" x14ac:dyDescent="0.25">
      <c r="A356" s="53" t="s">
        <v>1046</v>
      </c>
      <c r="B356" s="55" t="s">
        <v>2899</v>
      </c>
    </row>
    <row r="357" spans="1:2" x14ac:dyDescent="0.25">
      <c r="A357" s="53" t="s">
        <v>1047</v>
      </c>
      <c r="B357" s="55" t="s">
        <v>2900</v>
      </c>
    </row>
    <row r="358" spans="1:2" x14ac:dyDescent="0.25">
      <c r="A358" s="53" t="s">
        <v>1048</v>
      </c>
      <c r="B358" s="55" t="s">
        <v>116</v>
      </c>
    </row>
    <row r="359" spans="1:2" x14ac:dyDescent="0.25">
      <c r="A359" s="53" t="s">
        <v>1049</v>
      </c>
      <c r="B359" s="55" t="s">
        <v>3046</v>
      </c>
    </row>
    <row r="360" spans="1:2" x14ac:dyDescent="0.25">
      <c r="A360" s="53" t="s">
        <v>1050</v>
      </c>
      <c r="B360" s="55" t="s">
        <v>2901</v>
      </c>
    </row>
    <row r="361" spans="1:2" x14ac:dyDescent="0.25">
      <c r="A361" s="53" t="s">
        <v>1051</v>
      </c>
      <c r="B361" s="55" t="s">
        <v>2902</v>
      </c>
    </row>
    <row r="362" spans="1:2" x14ac:dyDescent="0.25">
      <c r="A362" s="53" t="s">
        <v>1052</v>
      </c>
      <c r="B362" s="55" t="s">
        <v>117</v>
      </c>
    </row>
    <row r="363" spans="1:2" x14ac:dyDescent="0.25">
      <c r="A363" s="53" t="s">
        <v>1053</v>
      </c>
      <c r="B363" s="55" t="s">
        <v>2903</v>
      </c>
    </row>
    <row r="364" spans="1:2" x14ac:dyDescent="0.25">
      <c r="A364" s="53" t="s">
        <v>2904</v>
      </c>
      <c r="B364" s="55" t="s">
        <v>2905</v>
      </c>
    </row>
    <row r="365" spans="1:2" x14ac:dyDescent="0.25">
      <c r="A365" s="53" t="s">
        <v>1054</v>
      </c>
      <c r="B365" s="55" t="s">
        <v>2906</v>
      </c>
    </row>
    <row r="366" spans="1:2" x14ac:dyDescent="0.25">
      <c r="A366" s="53" t="s">
        <v>1055</v>
      </c>
      <c r="B366" s="55" t="s">
        <v>2907</v>
      </c>
    </row>
    <row r="367" spans="1:2" x14ac:dyDescent="0.25">
      <c r="A367" s="53" t="s">
        <v>1056</v>
      </c>
      <c r="B367" s="55" t="s">
        <v>2908</v>
      </c>
    </row>
    <row r="368" spans="1:2" x14ac:dyDescent="0.25">
      <c r="A368" s="53" t="s">
        <v>1057</v>
      </c>
      <c r="B368" s="55" t="s">
        <v>2909</v>
      </c>
    </row>
    <row r="369" spans="1:2" x14ac:dyDescent="0.25">
      <c r="A369" s="53" t="s">
        <v>1058</v>
      </c>
      <c r="B369" s="55" t="s">
        <v>2910</v>
      </c>
    </row>
    <row r="370" spans="1:2" x14ac:dyDescent="0.25">
      <c r="A370" s="53" t="s">
        <v>1059</v>
      </c>
      <c r="B370" s="55" t="s">
        <v>2911</v>
      </c>
    </row>
    <row r="371" spans="1:2" x14ac:dyDescent="0.25">
      <c r="A371" s="53" t="s">
        <v>1060</v>
      </c>
      <c r="B371" s="55" t="s">
        <v>2912</v>
      </c>
    </row>
    <row r="372" spans="1:2" x14ac:dyDescent="0.25">
      <c r="A372" s="53" t="s">
        <v>1061</v>
      </c>
      <c r="B372" s="55" t="s">
        <v>2913</v>
      </c>
    </row>
    <row r="373" spans="1:2" x14ac:dyDescent="0.25">
      <c r="A373" s="53" t="s">
        <v>1</v>
      </c>
      <c r="B373" s="55" t="s">
        <v>2914</v>
      </c>
    </row>
    <row r="374" spans="1:2" x14ac:dyDescent="0.25">
      <c r="A374" s="53" t="s">
        <v>1062</v>
      </c>
      <c r="B374" s="55" t="s">
        <v>2915</v>
      </c>
    </row>
    <row r="375" spans="1:2" x14ac:dyDescent="0.25">
      <c r="A375" s="53" t="s">
        <v>1063</v>
      </c>
      <c r="B375" s="55" t="s">
        <v>2916</v>
      </c>
    </row>
    <row r="376" spans="1:2" x14ac:dyDescent="0.25">
      <c r="A376" s="53" t="s">
        <v>1064</v>
      </c>
      <c r="B376" s="55" t="s">
        <v>2917</v>
      </c>
    </row>
    <row r="377" spans="1:2" x14ac:dyDescent="0.25">
      <c r="A377" s="53" t="s">
        <v>1065</v>
      </c>
      <c r="B377" s="55" t="s">
        <v>2918</v>
      </c>
    </row>
    <row r="378" spans="1:2" x14ac:dyDescent="0.25">
      <c r="A378" s="53" t="s">
        <v>1066</v>
      </c>
      <c r="B378" s="55" t="s">
        <v>2919</v>
      </c>
    </row>
    <row r="379" spans="1:2" x14ac:dyDescent="0.25">
      <c r="A379" s="53" t="s">
        <v>1067</v>
      </c>
      <c r="B379" s="55" t="s">
        <v>2920</v>
      </c>
    </row>
    <row r="380" spans="1:2" x14ac:dyDescent="0.25">
      <c r="A380" s="53" t="s">
        <v>1068</v>
      </c>
      <c r="B380" s="55" t="s">
        <v>2921</v>
      </c>
    </row>
    <row r="381" spans="1:2" x14ac:dyDescent="0.25">
      <c r="A381" s="53" t="s">
        <v>1069</v>
      </c>
      <c r="B381" s="55" t="s">
        <v>2922</v>
      </c>
    </row>
    <row r="382" spans="1:2" x14ac:dyDescent="0.25">
      <c r="A382" s="53" t="s">
        <v>1070</v>
      </c>
      <c r="B382" s="55" t="s">
        <v>2923</v>
      </c>
    </row>
    <row r="383" spans="1:2" x14ac:dyDescent="0.25">
      <c r="A383" s="53" t="s">
        <v>1071</v>
      </c>
      <c r="B383" s="55" t="s">
        <v>2924</v>
      </c>
    </row>
    <row r="384" spans="1:2" x14ac:dyDescent="0.25">
      <c r="A384" s="53" t="s">
        <v>1072</v>
      </c>
      <c r="B384" s="55" t="s">
        <v>2925</v>
      </c>
    </row>
    <row r="385" spans="1:2" x14ac:dyDescent="0.25">
      <c r="A385" s="53" t="s">
        <v>1073</v>
      </c>
      <c r="B385" s="55" t="s">
        <v>2926</v>
      </c>
    </row>
    <row r="386" spans="1:2" x14ac:dyDescent="0.25">
      <c r="A386" s="53" t="s">
        <v>1074</v>
      </c>
      <c r="B386" s="55" t="s">
        <v>2927</v>
      </c>
    </row>
    <row r="387" spans="1:2" x14ac:dyDescent="0.25">
      <c r="A387" s="53" t="s">
        <v>1075</v>
      </c>
      <c r="B387" s="55" t="s">
        <v>2928</v>
      </c>
    </row>
    <row r="388" spans="1:2" x14ac:dyDescent="0.25">
      <c r="A388" s="53" t="s">
        <v>1076</v>
      </c>
      <c r="B388" s="55" t="s">
        <v>2929</v>
      </c>
    </row>
    <row r="389" spans="1:2" x14ac:dyDescent="0.25">
      <c r="A389" s="53" t="s">
        <v>1077</v>
      </c>
      <c r="B389" s="55" t="s">
        <v>2930</v>
      </c>
    </row>
    <row r="390" spans="1:2" x14ac:dyDescent="0.25">
      <c r="A390" s="53" t="s">
        <v>1078</v>
      </c>
      <c r="B390" s="55" t="s">
        <v>2931</v>
      </c>
    </row>
    <row r="391" spans="1:2" x14ac:dyDescent="0.25">
      <c r="A391" s="53" t="s">
        <v>1079</v>
      </c>
      <c r="B391" s="55" t="s">
        <v>2932</v>
      </c>
    </row>
    <row r="392" spans="1:2" x14ac:dyDescent="0.25">
      <c r="A392" s="53" t="s">
        <v>1080</v>
      </c>
      <c r="B392" s="55" t="s">
        <v>2933</v>
      </c>
    </row>
    <row r="393" spans="1:2" x14ac:dyDescent="0.25">
      <c r="A393" s="53" t="s">
        <v>1081</v>
      </c>
      <c r="B393" s="55" t="s">
        <v>2934</v>
      </c>
    </row>
    <row r="394" spans="1:2" x14ac:dyDescent="0.25">
      <c r="A394" s="53" t="s">
        <v>1082</v>
      </c>
      <c r="B394" s="55" t="s">
        <v>2935</v>
      </c>
    </row>
    <row r="395" spans="1:2" x14ac:dyDescent="0.25">
      <c r="A395" s="53" t="s">
        <v>1083</v>
      </c>
      <c r="B395" s="55" t="s">
        <v>2936</v>
      </c>
    </row>
    <row r="396" spans="1:2" x14ac:dyDescent="0.25">
      <c r="A396" s="53" t="s">
        <v>1084</v>
      </c>
      <c r="B396" s="55" t="s">
        <v>2937</v>
      </c>
    </row>
    <row r="397" spans="1:2" x14ac:dyDescent="0.25">
      <c r="A397" s="53" t="s">
        <v>1085</v>
      </c>
      <c r="B397" s="55" t="s">
        <v>2938</v>
      </c>
    </row>
    <row r="398" spans="1:2" x14ac:dyDescent="0.25">
      <c r="A398" s="53" t="s">
        <v>1086</v>
      </c>
      <c r="B398" s="55" t="s">
        <v>2939</v>
      </c>
    </row>
    <row r="399" spans="1:2" x14ac:dyDescent="0.25">
      <c r="A399" s="53" t="s">
        <v>1358</v>
      </c>
      <c r="B399" s="55" t="s">
        <v>2940</v>
      </c>
    </row>
    <row r="400" spans="1:2" x14ac:dyDescent="0.25">
      <c r="A400" s="53" t="s">
        <v>1087</v>
      </c>
      <c r="B400" s="55" t="s">
        <v>2941</v>
      </c>
    </row>
    <row r="401" spans="1:2" x14ac:dyDescent="0.25">
      <c r="A401" s="53" t="s">
        <v>1088</v>
      </c>
      <c r="B401" s="55" t="s">
        <v>2942</v>
      </c>
    </row>
    <row r="402" spans="1:2" x14ac:dyDescent="0.25">
      <c r="A402" s="53" t="s">
        <v>1089</v>
      </c>
      <c r="B402" s="55" t="s">
        <v>2943</v>
      </c>
    </row>
    <row r="403" spans="1:2" x14ac:dyDescent="0.25">
      <c r="A403" s="53" t="s">
        <v>67</v>
      </c>
      <c r="B403" s="55" t="s">
        <v>2944</v>
      </c>
    </row>
    <row r="404" spans="1:2" x14ac:dyDescent="0.25">
      <c r="A404" s="53" t="s">
        <v>0</v>
      </c>
      <c r="B404" s="55" t="s">
        <v>2945</v>
      </c>
    </row>
    <row r="405" spans="1:2" x14ac:dyDescent="0.25">
      <c r="A405" s="53" t="s">
        <v>1090</v>
      </c>
      <c r="B405" s="55" t="s">
        <v>2946</v>
      </c>
    </row>
    <row r="406" spans="1:2" x14ac:dyDescent="0.25">
      <c r="A406" s="53" t="s">
        <v>1359</v>
      </c>
      <c r="B406" s="55" t="s">
        <v>2947</v>
      </c>
    </row>
    <row r="407" spans="1:2" x14ac:dyDescent="0.25">
      <c r="A407" s="53" t="s">
        <v>2</v>
      </c>
      <c r="B407" s="55" t="s">
        <v>2948</v>
      </c>
    </row>
    <row r="408" spans="1:2" x14ac:dyDescent="0.25">
      <c r="A408" s="53" t="s">
        <v>1091</v>
      </c>
      <c r="B408" s="55" t="s">
        <v>2949</v>
      </c>
    </row>
    <row r="409" spans="1:2" x14ac:dyDescent="0.25">
      <c r="A409" s="53" t="s">
        <v>1092</v>
      </c>
      <c r="B409" s="55" t="s">
        <v>2950</v>
      </c>
    </row>
    <row r="410" spans="1:2" x14ac:dyDescent="0.25">
      <c r="A410" s="53" t="s">
        <v>1093</v>
      </c>
      <c r="B410" s="55" t="s">
        <v>2951</v>
      </c>
    </row>
    <row r="411" spans="1:2" x14ac:dyDescent="0.25">
      <c r="A411" s="53" t="s">
        <v>1094</v>
      </c>
      <c r="B411" s="55" t="s">
        <v>2952</v>
      </c>
    </row>
    <row r="412" spans="1:2" x14ac:dyDescent="0.25">
      <c r="A412" s="53" t="s">
        <v>1095</v>
      </c>
      <c r="B412" s="55" t="s">
        <v>2953</v>
      </c>
    </row>
    <row r="413" spans="1:2" x14ac:dyDescent="0.25">
      <c r="A413" s="53" t="s">
        <v>1096</v>
      </c>
      <c r="B413" s="55" t="s">
        <v>2954</v>
      </c>
    </row>
    <row r="414" spans="1:2" x14ac:dyDescent="0.25">
      <c r="A414" s="53" t="s">
        <v>1097</v>
      </c>
      <c r="B414" s="55" t="s">
        <v>2955</v>
      </c>
    </row>
    <row r="415" spans="1:2" x14ac:dyDescent="0.25">
      <c r="A415" s="53" t="s">
        <v>1098</v>
      </c>
      <c r="B415" s="55" t="s">
        <v>2956</v>
      </c>
    </row>
    <row r="416" spans="1:2" x14ac:dyDescent="0.25">
      <c r="A416" s="53" t="s">
        <v>1099</v>
      </c>
      <c r="B416" s="55" t="s">
        <v>2957</v>
      </c>
    </row>
    <row r="417" spans="1:2" x14ac:dyDescent="0.25">
      <c r="A417" s="53" t="s">
        <v>1100</v>
      </c>
      <c r="B417" s="55" t="s">
        <v>2958</v>
      </c>
    </row>
    <row r="418" spans="1:2" x14ac:dyDescent="0.25">
      <c r="A418" s="53" t="s">
        <v>1101</v>
      </c>
      <c r="B418" s="55" t="s">
        <v>2959</v>
      </c>
    </row>
    <row r="419" spans="1:2" x14ac:dyDescent="0.25">
      <c r="A419" s="53" t="s">
        <v>1102</v>
      </c>
      <c r="B419" s="55" t="s">
        <v>2960</v>
      </c>
    </row>
    <row r="420" spans="1:2" x14ac:dyDescent="0.25">
      <c r="A420" s="53" t="s">
        <v>1103</v>
      </c>
      <c r="B420" s="55" t="s">
        <v>2961</v>
      </c>
    </row>
    <row r="421" spans="1:2" x14ac:dyDescent="0.25">
      <c r="A421" s="53" t="s">
        <v>1104</v>
      </c>
      <c r="B421" s="55" t="s">
        <v>2962</v>
      </c>
    </row>
    <row r="422" spans="1:2" x14ac:dyDescent="0.25">
      <c r="A422" s="53" t="s">
        <v>1105</v>
      </c>
      <c r="B422" s="55" t="s">
        <v>2963</v>
      </c>
    </row>
    <row r="423" spans="1:2" x14ac:dyDescent="0.25">
      <c r="A423" s="53" t="s">
        <v>1207</v>
      </c>
      <c r="B423" s="55" t="s">
        <v>2964</v>
      </c>
    </row>
    <row r="424" spans="1:2" x14ac:dyDescent="0.25">
      <c r="A424" s="53" t="s">
        <v>1106</v>
      </c>
      <c r="B424" s="55" t="s">
        <v>2965</v>
      </c>
    </row>
    <row r="425" spans="1:2" x14ac:dyDescent="0.25">
      <c r="A425" s="53" t="s">
        <v>1107</v>
      </c>
      <c r="B425" s="55" t="s">
        <v>2966</v>
      </c>
    </row>
    <row r="426" spans="1:2" x14ac:dyDescent="0.25">
      <c r="A426" s="53" t="s">
        <v>1108</v>
      </c>
      <c r="B426" s="55" t="s">
        <v>2967</v>
      </c>
    </row>
    <row r="427" spans="1:2" x14ac:dyDescent="0.25">
      <c r="A427" s="53" t="s">
        <v>1109</v>
      </c>
      <c r="B427" s="55" t="s">
        <v>2968</v>
      </c>
    </row>
    <row r="428" spans="1:2" x14ac:dyDescent="0.25">
      <c r="A428" s="53" t="s">
        <v>1110</v>
      </c>
      <c r="B428" s="55" t="s">
        <v>2969</v>
      </c>
    </row>
    <row r="429" spans="1:2" x14ac:dyDescent="0.25">
      <c r="A429" s="53" t="s">
        <v>1111</v>
      </c>
      <c r="B429" s="55" t="s">
        <v>2970</v>
      </c>
    </row>
    <row r="430" spans="1:2" x14ac:dyDescent="0.25">
      <c r="A430" s="53" t="s">
        <v>1112</v>
      </c>
      <c r="B430" s="55" t="s">
        <v>2971</v>
      </c>
    </row>
    <row r="431" spans="1:2" x14ac:dyDescent="0.25">
      <c r="A431" s="53" t="s">
        <v>1113</v>
      </c>
      <c r="B431" s="55" t="s">
        <v>2972</v>
      </c>
    </row>
    <row r="432" spans="1:2" x14ac:dyDescent="0.25">
      <c r="A432" s="53" t="s">
        <v>1114</v>
      </c>
      <c r="B432" s="55" t="s">
        <v>2973</v>
      </c>
    </row>
    <row r="433" spans="1:2" x14ac:dyDescent="0.25">
      <c r="A433" s="53" t="s">
        <v>1115</v>
      </c>
      <c r="B433" s="55" t="s">
        <v>2974</v>
      </c>
    </row>
    <row r="434" spans="1:2" x14ac:dyDescent="0.25">
      <c r="A434" s="53" t="s">
        <v>1116</v>
      </c>
      <c r="B434" s="55" t="s">
        <v>2975</v>
      </c>
    </row>
    <row r="435" spans="1:2" x14ac:dyDescent="0.25">
      <c r="A435" s="53" t="s">
        <v>1117</v>
      </c>
      <c r="B435" s="55" t="s">
        <v>2976</v>
      </c>
    </row>
    <row r="436" spans="1:2" x14ac:dyDescent="0.25">
      <c r="A436" s="53" t="s">
        <v>1118</v>
      </c>
      <c r="B436" s="55" t="s">
        <v>2977</v>
      </c>
    </row>
    <row r="437" spans="1:2" x14ac:dyDescent="0.25">
      <c r="A437" s="53" t="s">
        <v>1119</v>
      </c>
      <c r="B437" s="55" t="s">
        <v>2978</v>
      </c>
    </row>
    <row r="438" spans="1:2" x14ac:dyDescent="0.25">
      <c r="A438" s="53" t="s">
        <v>1120</v>
      </c>
      <c r="B438" s="55" t="s">
        <v>2979</v>
      </c>
    </row>
    <row r="439" spans="1:2" x14ac:dyDescent="0.25">
      <c r="A439" s="53" t="s">
        <v>1121</v>
      </c>
      <c r="B439" s="55" t="s">
        <v>2980</v>
      </c>
    </row>
    <row r="440" spans="1:2" x14ac:dyDescent="0.25">
      <c r="A440" s="53" t="s">
        <v>1122</v>
      </c>
      <c r="B440" s="55" t="s">
        <v>2981</v>
      </c>
    </row>
    <row r="441" spans="1:2" x14ac:dyDescent="0.25">
      <c r="A441" s="53" t="s">
        <v>1123</v>
      </c>
      <c r="B441" s="55" t="s">
        <v>2982</v>
      </c>
    </row>
    <row r="442" spans="1:2" x14ac:dyDescent="0.25">
      <c r="A442" s="53" t="s">
        <v>1124</v>
      </c>
      <c r="B442" s="55" t="s">
        <v>2983</v>
      </c>
    </row>
    <row r="443" spans="1:2" x14ac:dyDescent="0.25">
      <c r="A443" s="53" t="s">
        <v>1125</v>
      </c>
      <c r="B443" s="55" t="s">
        <v>2984</v>
      </c>
    </row>
    <row r="444" spans="1:2" x14ac:dyDescent="0.25">
      <c r="A444" s="53" t="s">
        <v>3</v>
      </c>
      <c r="B444" s="55" t="s">
        <v>2985</v>
      </c>
    </row>
    <row r="445" spans="1:2" x14ac:dyDescent="0.25">
      <c r="A445" s="53" t="s">
        <v>4</v>
      </c>
      <c r="B445" s="55" t="s">
        <v>2986</v>
      </c>
    </row>
    <row r="446" spans="1:2" x14ac:dyDescent="0.25">
      <c r="A446" s="53" t="s">
        <v>1126</v>
      </c>
      <c r="B446" s="55" t="s">
        <v>2987</v>
      </c>
    </row>
    <row r="447" spans="1:2" x14ac:dyDescent="0.25">
      <c r="A447" s="53" t="s">
        <v>1127</v>
      </c>
      <c r="B447" s="55" t="s">
        <v>2988</v>
      </c>
    </row>
    <row r="448" spans="1:2" x14ac:dyDescent="0.25">
      <c r="A448" s="53" t="s">
        <v>1128</v>
      </c>
      <c r="B448" s="55" t="s">
        <v>2989</v>
      </c>
    </row>
    <row r="449" spans="1:2" x14ac:dyDescent="0.25">
      <c r="A449" s="53" t="s">
        <v>1129</v>
      </c>
      <c r="B449" s="55" t="s">
        <v>2990</v>
      </c>
    </row>
    <row r="450" spans="1:2" x14ac:dyDescent="0.25">
      <c r="A450" s="53" t="s">
        <v>1130</v>
      </c>
      <c r="B450" s="55" t="s">
        <v>2991</v>
      </c>
    </row>
    <row r="451" spans="1:2" x14ac:dyDescent="0.25">
      <c r="A451" s="53" t="s">
        <v>1131</v>
      </c>
      <c r="B451" s="55" t="s">
        <v>2992</v>
      </c>
    </row>
    <row r="452" spans="1:2" x14ac:dyDescent="0.25">
      <c r="A452" s="53" t="s">
        <v>1132</v>
      </c>
      <c r="B452" s="55" t="s">
        <v>2993</v>
      </c>
    </row>
    <row r="453" spans="1:2" x14ac:dyDescent="0.25">
      <c r="A453" s="53" t="s">
        <v>1133</v>
      </c>
      <c r="B453" s="55" t="s">
        <v>2994</v>
      </c>
    </row>
    <row r="454" spans="1:2" x14ac:dyDescent="0.25">
      <c r="A454" s="53" t="s">
        <v>1134</v>
      </c>
      <c r="B454" s="55" t="s">
        <v>2995</v>
      </c>
    </row>
    <row r="455" spans="1:2" x14ac:dyDescent="0.25">
      <c r="A455" s="53" t="s">
        <v>1135</v>
      </c>
      <c r="B455" s="55" t="s">
        <v>2996</v>
      </c>
    </row>
    <row r="456" spans="1:2" x14ac:dyDescent="0.25">
      <c r="A456" s="53" t="s">
        <v>1136</v>
      </c>
      <c r="B456" s="55" t="s">
        <v>2997</v>
      </c>
    </row>
    <row r="457" spans="1:2" x14ac:dyDescent="0.25">
      <c r="A457" s="53" t="s">
        <v>1137</v>
      </c>
      <c r="B457" s="55" t="s">
        <v>2998</v>
      </c>
    </row>
    <row r="458" spans="1:2" x14ac:dyDescent="0.25">
      <c r="A458" s="53" t="s">
        <v>1138</v>
      </c>
      <c r="B458" s="55" t="s">
        <v>2999</v>
      </c>
    </row>
    <row r="459" spans="1:2" x14ac:dyDescent="0.25">
      <c r="A459" s="53" t="s">
        <v>1139</v>
      </c>
      <c r="B459" s="55" t="s">
        <v>3000</v>
      </c>
    </row>
    <row r="460" spans="1:2" x14ac:dyDescent="0.25">
      <c r="A460" s="53" t="s">
        <v>1140</v>
      </c>
      <c r="B460" s="55" t="s">
        <v>3001</v>
      </c>
    </row>
    <row r="461" spans="1:2" x14ac:dyDescent="0.25">
      <c r="A461" s="53" t="s">
        <v>1141</v>
      </c>
      <c r="B461" s="55" t="s">
        <v>3002</v>
      </c>
    </row>
    <row r="462" spans="1:2" x14ac:dyDescent="0.25">
      <c r="A462" s="53" t="s">
        <v>1142</v>
      </c>
      <c r="B462" s="55" t="s">
        <v>3003</v>
      </c>
    </row>
    <row r="463" spans="1:2" x14ac:dyDescent="0.25">
      <c r="A463" s="53" t="s">
        <v>3004</v>
      </c>
      <c r="B463" s="55" t="s">
        <v>3005</v>
      </c>
    </row>
    <row r="464" spans="1:2" x14ac:dyDescent="0.25">
      <c r="A464" s="53" t="s">
        <v>1143</v>
      </c>
      <c r="B464" s="55" t="s">
        <v>3006</v>
      </c>
    </row>
    <row r="465" spans="1:2" x14ac:dyDescent="0.25">
      <c r="A465" s="53" t="s">
        <v>1144</v>
      </c>
      <c r="B465" s="55" t="s">
        <v>3007</v>
      </c>
    </row>
    <row r="466" spans="1:2" x14ac:dyDescent="0.25">
      <c r="A466" s="53" t="s">
        <v>1208</v>
      </c>
      <c r="B466" s="55" t="s">
        <v>3008</v>
      </c>
    </row>
    <row r="467" spans="1:2" x14ac:dyDescent="0.25">
      <c r="A467" s="53" t="s">
        <v>1360</v>
      </c>
      <c r="B467" s="55" t="s">
        <v>3009</v>
      </c>
    </row>
    <row r="468" spans="1:2" x14ac:dyDescent="0.25">
      <c r="A468" s="53" t="s">
        <v>5</v>
      </c>
      <c r="B468" s="55" t="s">
        <v>3010</v>
      </c>
    </row>
    <row r="469" spans="1:2" x14ac:dyDescent="0.25">
      <c r="A469" s="53" t="s">
        <v>1145</v>
      </c>
      <c r="B469" s="55" t="s">
        <v>3028</v>
      </c>
    </row>
    <row r="470" spans="1:2" x14ac:dyDescent="0.25">
      <c r="A470" s="53" t="s">
        <v>1146</v>
      </c>
      <c r="B470" s="55" t="s">
        <v>3011</v>
      </c>
    </row>
    <row r="471" spans="1:2" x14ac:dyDescent="0.25">
      <c r="A471" s="53" t="s">
        <v>1361</v>
      </c>
      <c r="B471" s="55" t="s">
        <v>3012</v>
      </c>
    </row>
    <row r="472" spans="1:2" x14ac:dyDescent="0.25">
      <c r="A472" s="53" t="s">
        <v>1147</v>
      </c>
      <c r="B472" s="55" t="s">
        <v>3013</v>
      </c>
    </row>
    <row r="473" spans="1:2" x14ac:dyDescent="0.25">
      <c r="A473" s="53" t="s">
        <v>1148</v>
      </c>
      <c r="B473" s="55" t="s">
        <v>3014</v>
      </c>
    </row>
    <row r="474" spans="1:2" x14ac:dyDescent="0.25">
      <c r="A474" s="53" t="s">
        <v>1149</v>
      </c>
      <c r="B474" s="55" t="s">
        <v>3015</v>
      </c>
    </row>
    <row r="475" spans="1:2" x14ac:dyDescent="0.25">
      <c r="A475" s="53" t="s">
        <v>1209</v>
      </c>
      <c r="B475" s="55" t="s">
        <v>3016</v>
      </c>
    </row>
    <row r="476" spans="1:2" x14ac:dyDescent="0.25">
      <c r="A476" s="53" t="s">
        <v>1150</v>
      </c>
      <c r="B476" s="55" t="s">
        <v>3017</v>
      </c>
    </row>
    <row r="477" spans="1:2" x14ac:dyDescent="0.25">
      <c r="A477" s="53" t="s">
        <v>1210</v>
      </c>
      <c r="B477" s="55" t="s">
        <v>3018</v>
      </c>
    </row>
    <row r="478" spans="1:2" x14ac:dyDescent="0.25">
      <c r="A478" s="62" t="s">
        <v>3066</v>
      </c>
      <c r="B478" s="56" t="s">
        <v>3067</v>
      </c>
    </row>
    <row r="479" spans="1:2" x14ac:dyDescent="0.25">
      <c r="A479" s="53" t="s">
        <v>3068</v>
      </c>
      <c r="B479" s="56" t="s">
        <v>3069</v>
      </c>
    </row>
    <row r="480" spans="1:2" x14ac:dyDescent="0.25">
      <c r="A480" s="53" t="s">
        <v>3019</v>
      </c>
      <c r="B480" s="55" t="s">
        <v>3020</v>
      </c>
    </row>
    <row r="481" spans="1:2" x14ac:dyDescent="0.25">
      <c r="A481" s="53" t="s">
        <v>1151</v>
      </c>
      <c r="B481" s="55" t="s">
        <v>3021</v>
      </c>
    </row>
    <row r="482" spans="1:2" x14ac:dyDescent="0.25">
      <c r="A482" s="53" t="s">
        <v>1152</v>
      </c>
      <c r="B482" s="55" t="s">
        <v>3022</v>
      </c>
    </row>
  </sheetData>
  <sortState xmlns:xlrd2="http://schemas.microsoft.com/office/spreadsheetml/2017/richdata2" ref="A2:B479">
    <sortCondition ref="A2:A479"/>
  </sortState>
  <customSheetViews>
    <customSheetView guid="{365A4B53-0F9B-4E16-872D-B4CE741B671E}" topLeftCell="A2">
      <selection activeCell="A33" sqref="A33"/>
      <pageMargins left="0.38" right="0.33" top="0.31496062992125984" bottom="0.39370078740157483" header="0.15748031496062992" footer="0.19685039370078741"/>
      <printOptions horizontalCentered="1"/>
      <pageSetup paperSize="5" scale="94" orientation="landscape" r:id="rId1"/>
      <headerFooter alignWithMargins="0">
        <oddFooter>&amp;R&amp;8Page &amp;P de &amp;N</oddFooter>
      </headerFooter>
    </customSheetView>
  </customSheetViews>
  <phoneticPr fontId="8" type="noConversion"/>
  <printOptions horizontalCentered="1"/>
  <pageMargins left="0.38" right="0.33" top="0.31496062992125984" bottom="0.39370078740157483" header="0.15748031496062992" footer="0.19685039370078741"/>
  <pageSetup paperSize="5" scale="94" orientation="landscape" r:id="rId2"/>
  <headerFooter alignWithMargins="0">
    <oddFooter>&amp;R&amp;8Page &amp;P de &amp;N</oddFooter>
  </headerFooter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Feuil35"/>
  <dimension ref="A1:A1000"/>
  <sheetViews>
    <sheetView workbookViewId="0"/>
  </sheetViews>
  <sheetFormatPr baseColWidth="10" defaultRowHeight="12.5" x14ac:dyDescent="0.25"/>
  <cols>
    <col min="1" max="1" width="32.36328125" customWidth="1"/>
  </cols>
  <sheetData>
    <row r="1" spans="1:1" x14ac:dyDescent="0.25">
      <c r="A1" t="s">
        <v>2325</v>
      </c>
    </row>
    <row r="2" spans="1:1" x14ac:dyDescent="0.25">
      <c r="A2" t="s">
        <v>2470</v>
      </c>
    </row>
    <row r="3" spans="1:1" x14ac:dyDescent="0.25">
      <c r="A3" t="s">
        <v>2529</v>
      </c>
    </row>
    <row r="4" spans="1:1" x14ac:dyDescent="0.25">
      <c r="A4" t="s">
        <v>2530</v>
      </c>
    </row>
    <row r="5" spans="1:1" x14ac:dyDescent="0.25">
      <c r="A5" t="s">
        <v>2531</v>
      </c>
    </row>
    <row r="6" spans="1:1" x14ac:dyDescent="0.25">
      <c r="A6" t="s">
        <v>2532</v>
      </c>
    </row>
    <row r="7" spans="1:1" x14ac:dyDescent="0.25">
      <c r="A7" t="s">
        <v>2533</v>
      </c>
    </row>
    <row r="8" spans="1:1" x14ac:dyDescent="0.25">
      <c r="A8" t="s">
        <v>2534</v>
      </c>
    </row>
    <row r="9" spans="1:1" x14ac:dyDescent="0.25">
      <c r="A9" t="s">
        <v>2535</v>
      </c>
    </row>
    <row r="10" spans="1:1" x14ac:dyDescent="0.25">
      <c r="A10" t="s">
        <v>2536</v>
      </c>
    </row>
    <row r="11" spans="1:1" x14ac:dyDescent="0.25">
      <c r="A11" t="s">
        <v>2537</v>
      </c>
    </row>
    <row r="12" spans="1:1" x14ac:dyDescent="0.25">
      <c r="A12" t="s">
        <v>2538</v>
      </c>
    </row>
    <row r="13" spans="1:1" x14ac:dyDescent="0.25">
      <c r="A13" t="s">
        <v>2539</v>
      </c>
    </row>
    <row r="14" spans="1:1" x14ac:dyDescent="0.25">
      <c r="A14" t="s">
        <v>2540</v>
      </c>
    </row>
    <row r="15" spans="1:1" x14ac:dyDescent="0.25">
      <c r="A15" t="s">
        <v>2541</v>
      </c>
    </row>
    <row r="16" spans="1:1" x14ac:dyDescent="0.25">
      <c r="A16" t="s">
        <v>2542</v>
      </c>
    </row>
    <row r="17" spans="1:1" x14ac:dyDescent="0.25">
      <c r="A17" t="s">
        <v>2543</v>
      </c>
    </row>
    <row r="18" spans="1:1" x14ac:dyDescent="0.25">
      <c r="A18" t="s">
        <v>2544</v>
      </c>
    </row>
    <row r="19" spans="1:1" x14ac:dyDescent="0.25">
      <c r="A19" t="s">
        <v>2545</v>
      </c>
    </row>
    <row r="20" spans="1:1" x14ac:dyDescent="0.25">
      <c r="A20" t="s">
        <v>2546</v>
      </c>
    </row>
    <row r="21" spans="1:1" x14ac:dyDescent="0.25">
      <c r="A21" t="s">
        <v>2547</v>
      </c>
    </row>
    <row r="22" spans="1:1" x14ac:dyDescent="0.25">
      <c r="A22" t="s">
        <v>2548</v>
      </c>
    </row>
    <row r="23" spans="1:1" x14ac:dyDescent="0.25">
      <c r="A23" t="s">
        <v>2549</v>
      </c>
    </row>
    <row r="24" spans="1:1" x14ac:dyDescent="0.25">
      <c r="A24" t="s">
        <v>2550</v>
      </c>
    </row>
    <row r="25" spans="1:1" x14ac:dyDescent="0.25">
      <c r="A25" t="s">
        <v>2551</v>
      </c>
    </row>
    <row r="26" spans="1:1" x14ac:dyDescent="0.25">
      <c r="A26" t="s">
        <v>2552</v>
      </c>
    </row>
    <row r="27" spans="1:1" x14ac:dyDescent="0.25">
      <c r="A27" t="s">
        <v>2553</v>
      </c>
    </row>
    <row r="28" spans="1:1" x14ac:dyDescent="0.25">
      <c r="A28" t="s">
        <v>2554</v>
      </c>
    </row>
    <row r="29" spans="1:1" x14ac:dyDescent="0.25">
      <c r="A29" t="s">
        <v>2555</v>
      </c>
    </row>
    <row r="30" spans="1:1" x14ac:dyDescent="0.25">
      <c r="A30" t="s">
        <v>2556</v>
      </c>
    </row>
    <row r="31" spans="1:1" x14ac:dyDescent="0.25">
      <c r="A31" t="s">
        <v>2334</v>
      </c>
    </row>
    <row r="32" spans="1:1" x14ac:dyDescent="0.25">
      <c r="A32" t="s">
        <v>2424</v>
      </c>
    </row>
    <row r="33" spans="1:1" x14ac:dyDescent="0.25">
      <c r="A33" t="s">
        <v>2347</v>
      </c>
    </row>
    <row r="34" spans="1:1" x14ac:dyDescent="0.25">
      <c r="A34" t="s">
        <v>2347</v>
      </c>
    </row>
    <row r="35" spans="1:1" x14ac:dyDescent="0.25">
      <c r="A35" t="s">
        <v>2557</v>
      </c>
    </row>
    <row r="36" spans="1:1" x14ac:dyDescent="0.25">
      <c r="A36" t="s">
        <v>2107</v>
      </c>
    </row>
    <row r="37" spans="1:1" x14ac:dyDescent="0.25">
      <c r="A37" t="s">
        <v>2109</v>
      </c>
    </row>
    <row r="38" spans="1:1" x14ac:dyDescent="0.25">
      <c r="A38" t="s">
        <v>2110</v>
      </c>
    </row>
    <row r="39" spans="1:1" x14ac:dyDescent="0.25">
      <c r="A39" t="s">
        <v>2111</v>
      </c>
    </row>
    <row r="40" spans="1:1" x14ac:dyDescent="0.25">
      <c r="A40" t="s">
        <v>2113</v>
      </c>
    </row>
    <row r="41" spans="1:1" x14ac:dyDescent="0.25">
      <c r="A41" t="s">
        <v>2114</v>
      </c>
    </row>
    <row r="42" spans="1:1" x14ac:dyDescent="0.25">
      <c r="A42" t="s">
        <v>2116</v>
      </c>
    </row>
    <row r="43" spans="1:1" x14ac:dyDescent="0.25">
      <c r="A43" t="s">
        <v>2124</v>
      </c>
    </row>
    <row r="44" spans="1:1" x14ac:dyDescent="0.25">
      <c r="A44" t="s">
        <v>2129</v>
      </c>
    </row>
    <row r="45" spans="1:1" x14ac:dyDescent="0.25">
      <c r="A45" t="s">
        <v>2130</v>
      </c>
    </row>
    <row r="46" spans="1:1" x14ac:dyDescent="0.25">
      <c r="A46" t="s">
        <v>2131</v>
      </c>
    </row>
    <row r="47" spans="1:1" x14ac:dyDescent="0.25">
      <c r="A47" t="s">
        <v>2137</v>
      </c>
    </row>
    <row r="48" spans="1:1" x14ac:dyDescent="0.25">
      <c r="A48" t="s">
        <v>2139</v>
      </c>
    </row>
    <row r="49" spans="1:1" x14ac:dyDescent="0.25">
      <c r="A49" t="s">
        <v>2142</v>
      </c>
    </row>
    <row r="50" spans="1:1" x14ac:dyDescent="0.25">
      <c r="A50" t="s">
        <v>2145</v>
      </c>
    </row>
    <row r="51" spans="1:1" x14ac:dyDescent="0.25">
      <c r="A51" t="s">
        <v>2146</v>
      </c>
    </row>
    <row r="52" spans="1:1" x14ac:dyDescent="0.25">
      <c r="A52" t="s">
        <v>2154</v>
      </c>
    </row>
    <row r="53" spans="1:1" x14ac:dyDescent="0.25">
      <c r="A53" t="s">
        <v>2158</v>
      </c>
    </row>
    <row r="54" spans="1:1" x14ac:dyDescent="0.25">
      <c r="A54" t="s">
        <v>2160</v>
      </c>
    </row>
    <row r="55" spans="1:1" x14ac:dyDescent="0.25">
      <c r="A55" t="s">
        <v>2161</v>
      </c>
    </row>
    <row r="56" spans="1:1" x14ac:dyDescent="0.25">
      <c r="A56" t="s">
        <v>2162</v>
      </c>
    </row>
    <row r="57" spans="1:1" x14ac:dyDescent="0.25">
      <c r="A57" t="s">
        <v>2163</v>
      </c>
    </row>
    <row r="58" spans="1:1" x14ac:dyDescent="0.25">
      <c r="A58" t="s">
        <v>2164</v>
      </c>
    </row>
    <row r="59" spans="1:1" x14ac:dyDescent="0.25">
      <c r="A59" t="s">
        <v>2167</v>
      </c>
    </row>
    <row r="60" spans="1:1" x14ac:dyDescent="0.25">
      <c r="A60" t="s">
        <v>2172</v>
      </c>
    </row>
    <row r="61" spans="1:1" x14ac:dyDescent="0.25">
      <c r="A61" t="s">
        <v>2177</v>
      </c>
    </row>
    <row r="62" spans="1:1" x14ac:dyDescent="0.25">
      <c r="A62" t="s">
        <v>2178</v>
      </c>
    </row>
    <row r="63" spans="1:1" x14ac:dyDescent="0.25">
      <c r="A63" t="s">
        <v>2185</v>
      </c>
    </row>
    <row r="64" spans="1:1" x14ac:dyDescent="0.25">
      <c r="A64" t="s">
        <v>2189</v>
      </c>
    </row>
    <row r="65" spans="1:1" x14ac:dyDescent="0.25">
      <c r="A65" t="s">
        <v>2191</v>
      </c>
    </row>
    <row r="66" spans="1:1" x14ac:dyDescent="0.25">
      <c r="A66" t="s">
        <v>2195</v>
      </c>
    </row>
    <row r="67" spans="1:1" x14ac:dyDescent="0.25">
      <c r="A67" t="s">
        <v>2196</v>
      </c>
    </row>
    <row r="68" spans="1:1" x14ac:dyDescent="0.25">
      <c r="A68" t="s">
        <v>2198</v>
      </c>
    </row>
    <row r="69" spans="1:1" x14ac:dyDescent="0.25">
      <c r="A69" t="s">
        <v>2200</v>
      </c>
    </row>
    <row r="70" spans="1:1" x14ac:dyDescent="0.25">
      <c r="A70" t="s">
        <v>2201</v>
      </c>
    </row>
    <row r="71" spans="1:1" x14ac:dyDescent="0.25">
      <c r="A71" t="s">
        <v>2202</v>
      </c>
    </row>
    <row r="72" spans="1:1" x14ac:dyDescent="0.25">
      <c r="A72" t="s">
        <v>2203</v>
      </c>
    </row>
    <row r="73" spans="1:1" x14ac:dyDescent="0.25">
      <c r="A73" t="s">
        <v>2204</v>
      </c>
    </row>
    <row r="74" spans="1:1" x14ac:dyDescent="0.25">
      <c r="A74" t="s">
        <v>2205</v>
      </c>
    </row>
    <row r="75" spans="1:1" x14ac:dyDescent="0.25">
      <c r="A75" t="s">
        <v>2208</v>
      </c>
    </row>
    <row r="76" spans="1:1" x14ac:dyDescent="0.25">
      <c r="A76" t="s">
        <v>2210</v>
      </c>
    </row>
    <row r="77" spans="1:1" x14ac:dyDescent="0.25">
      <c r="A77" t="s">
        <v>2211</v>
      </c>
    </row>
    <row r="78" spans="1:1" x14ac:dyDescent="0.25">
      <c r="A78" t="s">
        <v>2212</v>
      </c>
    </row>
    <row r="79" spans="1:1" x14ac:dyDescent="0.25">
      <c r="A79" t="s">
        <v>2216</v>
      </c>
    </row>
    <row r="80" spans="1:1" x14ac:dyDescent="0.25">
      <c r="A80" t="s">
        <v>2221</v>
      </c>
    </row>
    <row r="81" spans="1:1" x14ac:dyDescent="0.25">
      <c r="A81" t="s">
        <v>2222</v>
      </c>
    </row>
    <row r="82" spans="1:1" x14ac:dyDescent="0.25">
      <c r="A82" t="s">
        <v>2224</v>
      </c>
    </row>
    <row r="83" spans="1:1" x14ac:dyDescent="0.25">
      <c r="A83" t="s">
        <v>2227</v>
      </c>
    </row>
    <row r="84" spans="1:1" x14ac:dyDescent="0.25">
      <c r="A84" t="s">
        <v>2229</v>
      </c>
    </row>
    <row r="85" spans="1:1" x14ac:dyDescent="0.25">
      <c r="A85" t="s">
        <v>2231</v>
      </c>
    </row>
    <row r="86" spans="1:1" x14ac:dyDescent="0.25">
      <c r="A86" t="s">
        <v>2234</v>
      </c>
    </row>
    <row r="87" spans="1:1" x14ac:dyDescent="0.25">
      <c r="A87" t="s">
        <v>2121</v>
      </c>
    </row>
    <row r="88" spans="1:1" x14ac:dyDescent="0.25">
      <c r="A88" t="s">
        <v>2238</v>
      </c>
    </row>
    <row r="89" spans="1:1" x14ac:dyDescent="0.25">
      <c r="A89" t="s">
        <v>2241</v>
      </c>
    </row>
    <row r="90" spans="1:1" x14ac:dyDescent="0.25">
      <c r="A90" t="s">
        <v>2179</v>
      </c>
    </row>
    <row r="91" spans="1:1" x14ac:dyDescent="0.25">
      <c r="A91" t="s">
        <v>2214</v>
      </c>
    </row>
    <row r="92" spans="1:1" x14ac:dyDescent="0.25">
      <c r="A92" t="s">
        <v>2261</v>
      </c>
    </row>
    <row r="93" spans="1:1" x14ac:dyDescent="0.25">
      <c r="A93" t="s">
        <v>2558</v>
      </c>
    </row>
    <row r="94" spans="1:1" x14ac:dyDescent="0.25">
      <c r="A94" t="s">
        <v>2242</v>
      </c>
    </row>
    <row r="95" spans="1:1" x14ac:dyDescent="0.25">
      <c r="A95" t="s">
        <v>2218</v>
      </c>
    </row>
    <row r="96" spans="1:1" x14ac:dyDescent="0.25">
      <c r="A96" t="s">
        <v>2219</v>
      </c>
    </row>
    <row r="97" spans="1:1" x14ac:dyDescent="0.25">
      <c r="A97" t="s">
        <v>2226</v>
      </c>
    </row>
    <row r="98" spans="1:1" x14ac:dyDescent="0.25">
      <c r="A98" t="s">
        <v>2430</v>
      </c>
    </row>
    <row r="99" spans="1:1" x14ac:dyDescent="0.25">
      <c r="A99" t="s">
        <v>2438</v>
      </c>
    </row>
    <row r="100" spans="1:1" x14ac:dyDescent="0.25">
      <c r="A100" t="s">
        <v>2474</v>
      </c>
    </row>
    <row r="101" spans="1:1" x14ac:dyDescent="0.25">
      <c r="A101" t="s">
        <v>2494</v>
      </c>
    </row>
    <row r="102" spans="1:1" x14ac:dyDescent="0.25">
      <c r="A102" t="s">
        <v>269</v>
      </c>
    </row>
    <row r="103" spans="1:1" x14ac:dyDescent="0.25">
      <c r="A103" t="s">
        <v>2103</v>
      </c>
    </row>
    <row r="104" spans="1:1" x14ac:dyDescent="0.25">
      <c r="A104" t="s">
        <v>2104</v>
      </c>
    </row>
    <row r="105" spans="1:1" x14ac:dyDescent="0.25">
      <c r="A105" t="s">
        <v>2106</v>
      </c>
    </row>
    <row r="106" spans="1:1" x14ac:dyDescent="0.25">
      <c r="A106" t="s">
        <v>2559</v>
      </c>
    </row>
    <row r="107" spans="1:1" x14ac:dyDescent="0.25">
      <c r="A107" t="s">
        <v>2275</v>
      </c>
    </row>
    <row r="108" spans="1:1" x14ac:dyDescent="0.25">
      <c r="A108" t="s">
        <v>2278</v>
      </c>
    </row>
    <row r="109" spans="1:1" x14ac:dyDescent="0.25">
      <c r="A109" t="s">
        <v>2339</v>
      </c>
    </row>
    <row r="110" spans="1:1" x14ac:dyDescent="0.25">
      <c r="A110" t="s">
        <v>2340</v>
      </c>
    </row>
    <row r="111" spans="1:1" x14ac:dyDescent="0.25">
      <c r="A111" t="s">
        <v>2244</v>
      </c>
    </row>
    <row r="112" spans="1:1" x14ac:dyDescent="0.25">
      <c r="A112" t="s">
        <v>2247</v>
      </c>
    </row>
    <row r="113" spans="1:1" x14ac:dyDescent="0.25">
      <c r="A113" t="s">
        <v>2248</v>
      </c>
    </row>
    <row r="114" spans="1:1" x14ac:dyDescent="0.25">
      <c r="A114" t="s">
        <v>2120</v>
      </c>
    </row>
    <row r="115" spans="1:1" x14ac:dyDescent="0.25">
      <c r="A115" t="s">
        <v>2560</v>
      </c>
    </row>
    <row r="116" spans="1:1" x14ac:dyDescent="0.25">
      <c r="A116" t="s">
        <v>2188</v>
      </c>
    </row>
    <row r="117" spans="1:1" x14ac:dyDescent="0.25">
      <c r="A117" t="s">
        <v>2199</v>
      </c>
    </row>
    <row r="118" spans="1:1" x14ac:dyDescent="0.25">
      <c r="A118" t="s">
        <v>2223</v>
      </c>
    </row>
    <row r="119" spans="1:1" x14ac:dyDescent="0.25">
      <c r="A119" t="s">
        <v>2281</v>
      </c>
    </row>
    <row r="120" spans="1:1" x14ac:dyDescent="0.25">
      <c r="A120" t="s">
        <v>2321</v>
      </c>
    </row>
    <row r="121" spans="1:1" x14ac:dyDescent="0.25">
      <c r="A121" t="s">
        <v>2324</v>
      </c>
    </row>
    <row r="122" spans="1:1" x14ac:dyDescent="0.25">
      <c r="A122" t="s">
        <v>2327</v>
      </c>
    </row>
    <row r="123" spans="1:1" x14ac:dyDescent="0.25">
      <c r="A123" t="s">
        <v>2346</v>
      </c>
    </row>
    <row r="124" spans="1:1" x14ac:dyDescent="0.25">
      <c r="A124" t="s">
        <v>2457</v>
      </c>
    </row>
    <row r="125" spans="1:1" x14ac:dyDescent="0.25">
      <c r="A125" t="s">
        <v>2480</v>
      </c>
    </row>
    <row r="126" spans="1:1" x14ac:dyDescent="0.25">
      <c r="A126" t="s">
        <v>2481</v>
      </c>
    </row>
    <row r="127" spans="1:1" x14ac:dyDescent="0.25">
      <c r="A127" t="s">
        <v>2482</v>
      </c>
    </row>
    <row r="128" spans="1:1" x14ac:dyDescent="0.25">
      <c r="A128" t="s">
        <v>2490</v>
      </c>
    </row>
    <row r="129" spans="1:1" x14ac:dyDescent="0.25">
      <c r="A129" t="s">
        <v>265</v>
      </c>
    </row>
    <row r="130" spans="1:1" x14ac:dyDescent="0.25">
      <c r="A130" t="s">
        <v>287</v>
      </c>
    </row>
    <row r="131" spans="1:1" x14ac:dyDescent="0.25">
      <c r="A131" t="s">
        <v>306</v>
      </c>
    </row>
    <row r="132" spans="1:1" x14ac:dyDescent="0.25">
      <c r="A132" t="s">
        <v>2250</v>
      </c>
    </row>
    <row r="133" spans="1:1" x14ac:dyDescent="0.25">
      <c r="A133" t="s">
        <v>2252</v>
      </c>
    </row>
    <row r="134" spans="1:1" x14ac:dyDescent="0.25">
      <c r="A134" t="s">
        <v>2253</v>
      </c>
    </row>
    <row r="135" spans="1:1" x14ac:dyDescent="0.25">
      <c r="A135" t="s">
        <v>2561</v>
      </c>
    </row>
    <row r="136" spans="1:1" x14ac:dyDescent="0.25">
      <c r="A136" t="s">
        <v>2254</v>
      </c>
    </row>
    <row r="137" spans="1:1" x14ac:dyDescent="0.25">
      <c r="A137" t="s">
        <v>2255</v>
      </c>
    </row>
    <row r="138" spans="1:1" x14ac:dyDescent="0.25">
      <c r="A138" t="s">
        <v>2258</v>
      </c>
    </row>
    <row r="139" spans="1:1" x14ac:dyDescent="0.25">
      <c r="A139" t="s">
        <v>2259</v>
      </c>
    </row>
    <row r="140" spans="1:1" x14ac:dyDescent="0.25">
      <c r="A140" t="s">
        <v>2264</v>
      </c>
    </row>
    <row r="141" spans="1:1" x14ac:dyDescent="0.25">
      <c r="A141" t="s">
        <v>2265</v>
      </c>
    </row>
    <row r="142" spans="1:1" x14ac:dyDescent="0.25">
      <c r="A142" t="s">
        <v>2262</v>
      </c>
    </row>
    <row r="143" spans="1:1" x14ac:dyDescent="0.25">
      <c r="A143" t="s">
        <v>2298</v>
      </c>
    </row>
    <row r="144" spans="1:1" x14ac:dyDescent="0.25">
      <c r="A144" t="s">
        <v>2299</v>
      </c>
    </row>
    <row r="145" spans="1:1" x14ac:dyDescent="0.25">
      <c r="A145" t="s">
        <v>2320</v>
      </c>
    </row>
    <row r="146" spans="1:1" x14ac:dyDescent="0.25">
      <c r="A146" t="s">
        <v>2421</v>
      </c>
    </row>
    <row r="147" spans="1:1" x14ac:dyDescent="0.25">
      <c r="A147" t="s">
        <v>2449</v>
      </c>
    </row>
    <row r="148" spans="1:1" x14ac:dyDescent="0.25">
      <c r="A148" t="s">
        <v>2460</v>
      </c>
    </row>
    <row r="149" spans="1:1" x14ac:dyDescent="0.25">
      <c r="A149" t="s">
        <v>2562</v>
      </c>
    </row>
    <row r="150" spans="1:1" x14ac:dyDescent="0.25">
      <c r="A150" t="s">
        <v>2513</v>
      </c>
    </row>
    <row r="151" spans="1:1" x14ac:dyDescent="0.25">
      <c r="A151" t="s">
        <v>282</v>
      </c>
    </row>
    <row r="152" spans="1:1" x14ac:dyDescent="0.25">
      <c r="A152" t="s">
        <v>288</v>
      </c>
    </row>
    <row r="153" spans="1:1" x14ac:dyDescent="0.25">
      <c r="A153" t="s">
        <v>2563</v>
      </c>
    </row>
    <row r="154" spans="1:1" x14ac:dyDescent="0.25">
      <c r="A154" t="s">
        <v>2266</v>
      </c>
    </row>
    <row r="155" spans="1:1" x14ac:dyDescent="0.25">
      <c r="A155" t="s">
        <v>2267</v>
      </c>
    </row>
    <row r="156" spans="1:1" x14ac:dyDescent="0.25">
      <c r="A156" t="s">
        <v>2268</v>
      </c>
    </row>
    <row r="157" spans="1:1" x14ac:dyDescent="0.25">
      <c r="A157" t="s">
        <v>2270</v>
      </c>
    </row>
    <row r="158" spans="1:1" x14ac:dyDescent="0.25">
      <c r="A158" t="s">
        <v>2271</v>
      </c>
    </row>
    <row r="159" spans="1:1" x14ac:dyDescent="0.25">
      <c r="A159" t="s">
        <v>2273</v>
      </c>
    </row>
    <row r="160" spans="1:1" x14ac:dyDescent="0.25">
      <c r="A160" t="s">
        <v>2276</v>
      </c>
    </row>
    <row r="161" spans="1:1" x14ac:dyDescent="0.25">
      <c r="A161" t="s">
        <v>2277</v>
      </c>
    </row>
    <row r="162" spans="1:1" x14ac:dyDescent="0.25">
      <c r="A162" t="s">
        <v>2279</v>
      </c>
    </row>
    <row r="163" spans="1:1" x14ac:dyDescent="0.25">
      <c r="A163" t="s">
        <v>2289</v>
      </c>
    </row>
    <row r="164" spans="1:1" x14ac:dyDescent="0.25">
      <c r="A164" t="s">
        <v>2293</v>
      </c>
    </row>
    <row r="165" spans="1:1" x14ac:dyDescent="0.25">
      <c r="A165" t="s">
        <v>2296</v>
      </c>
    </row>
    <row r="166" spans="1:1" x14ac:dyDescent="0.25">
      <c r="A166" t="s">
        <v>2297</v>
      </c>
    </row>
    <row r="167" spans="1:1" x14ac:dyDescent="0.25">
      <c r="A167" t="s">
        <v>2564</v>
      </c>
    </row>
    <row r="168" spans="1:1" x14ac:dyDescent="0.25">
      <c r="A168" t="s">
        <v>2311</v>
      </c>
    </row>
    <row r="169" spans="1:1" x14ac:dyDescent="0.25">
      <c r="A169" t="s">
        <v>2313</v>
      </c>
    </row>
    <row r="170" spans="1:1" x14ac:dyDescent="0.25">
      <c r="A170" t="s">
        <v>2314</v>
      </c>
    </row>
    <row r="171" spans="1:1" x14ac:dyDescent="0.25">
      <c r="A171" t="s">
        <v>2316</v>
      </c>
    </row>
    <row r="172" spans="1:1" x14ac:dyDescent="0.25">
      <c r="A172" t="s">
        <v>2317</v>
      </c>
    </row>
    <row r="173" spans="1:1" x14ac:dyDescent="0.25">
      <c r="A173" t="s">
        <v>2322</v>
      </c>
    </row>
    <row r="174" spans="1:1" x14ac:dyDescent="0.25">
      <c r="A174" t="s">
        <v>2328</v>
      </c>
    </row>
    <row r="175" spans="1:1" x14ac:dyDescent="0.25">
      <c r="A175" t="s">
        <v>2329</v>
      </c>
    </row>
    <row r="176" spans="1:1" x14ac:dyDescent="0.25">
      <c r="A176" t="s">
        <v>2332</v>
      </c>
    </row>
    <row r="177" spans="1:1" x14ac:dyDescent="0.25">
      <c r="A177" t="s">
        <v>2335</v>
      </c>
    </row>
    <row r="178" spans="1:1" x14ac:dyDescent="0.25">
      <c r="A178" t="s">
        <v>2337</v>
      </c>
    </row>
    <row r="179" spans="1:1" x14ac:dyDescent="0.25">
      <c r="A179" t="s">
        <v>2338</v>
      </c>
    </row>
    <row r="180" spans="1:1" x14ac:dyDescent="0.25">
      <c r="A180" t="s">
        <v>2341</v>
      </c>
    </row>
    <row r="181" spans="1:1" x14ac:dyDescent="0.25">
      <c r="A181" t="s">
        <v>2342</v>
      </c>
    </row>
    <row r="182" spans="1:1" x14ac:dyDescent="0.25">
      <c r="A182" t="s">
        <v>2565</v>
      </c>
    </row>
    <row r="183" spans="1:1" x14ac:dyDescent="0.25">
      <c r="A183" t="s">
        <v>2348</v>
      </c>
    </row>
    <row r="184" spans="1:1" x14ac:dyDescent="0.25">
      <c r="A184" t="s">
        <v>2349</v>
      </c>
    </row>
    <row r="185" spans="1:1" x14ac:dyDescent="0.25">
      <c r="A185" t="s">
        <v>2353</v>
      </c>
    </row>
    <row r="186" spans="1:1" x14ac:dyDescent="0.25">
      <c r="A186" t="s">
        <v>2354</v>
      </c>
    </row>
    <row r="187" spans="1:1" x14ac:dyDescent="0.25">
      <c r="A187" t="s">
        <v>2355</v>
      </c>
    </row>
    <row r="188" spans="1:1" x14ac:dyDescent="0.25">
      <c r="A188" t="s">
        <v>2356</v>
      </c>
    </row>
    <row r="189" spans="1:1" x14ac:dyDescent="0.25">
      <c r="A189" t="s">
        <v>2363</v>
      </c>
    </row>
    <row r="190" spans="1:1" x14ac:dyDescent="0.25">
      <c r="A190" t="s">
        <v>2364</v>
      </c>
    </row>
    <row r="191" spans="1:1" x14ac:dyDescent="0.25">
      <c r="A191" t="s">
        <v>2365</v>
      </c>
    </row>
    <row r="192" spans="1:1" x14ac:dyDescent="0.25">
      <c r="A192" t="s">
        <v>2368</v>
      </c>
    </row>
    <row r="193" spans="1:1" x14ac:dyDescent="0.25">
      <c r="A193" t="s">
        <v>2369</v>
      </c>
    </row>
    <row r="194" spans="1:1" x14ac:dyDescent="0.25">
      <c r="A194" t="s">
        <v>2376</v>
      </c>
    </row>
    <row r="195" spans="1:1" x14ac:dyDescent="0.25">
      <c r="A195" t="s">
        <v>2378</v>
      </c>
    </row>
    <row r="196" spans="1:1" x14ac:dyDescent="0.25">
      <c r="A196" t="s">
        <v>2379</v>
      </c>
    </row>
    <row r="197" spans="1:1" x14ac:dyDescent="0.25">
      <c r="A197" t="s">
        <v>2382</v>
      </c>
    </row>
    <row r="198" spans="1:1" x14ac:dyDescent="0.25">
      <c r="A198" t="s">
        <v>2383</v>
      </c>
    </row>
    <row r="199" spans="1:1" x14ac:dyDescent="0.25">
      <c r="A199" t="s">
        <v>2385</v>
      </c>
    </row>
    <row r="200" spans="1:1" x14ac:dyDescent="0.25">
      <c r="A200" t="s">
        <v>2388</v>
      </c>
    </row>
    <row r="201" spans="1:1" x14ac:dyDescent="0.25">
      <c r="A201" t="s">
        <v>2389</v>
      </c>
    </row>
    <row r="202" spans="1:1" x14ac:dyDescent="0.25">
      <c r="A202" t="s">
        <v>2390</v>
      </c>
    </row>
    <row r="203" spans="1:1" x14ac:dyDescent="0.25">
      <c r="A203" t="s">
        <v>2391</v>
      </c>
    </row>
    <row r="204" spans="1:1" x14ac:dyDescent="0.25">
      <c r="A204" t="s">
        <v>2395</v>
      </c>
    </row>
    <row r="205" spans="1:1" x14ac:dyDescent="0.25">
      <c r="A205" t="s">
        <v>2401</v>
      </c>
    </row>
    <row r="206" spans="1:1" x14ac:dyDescent="0.25">
      <c r="A206" t="s">
        <v>2404</v>
      </c>
    </row>
    <row r="207" spans="1:1" x14ac:dyDescent="0.25">
      <c r="A207" t="s">
        <v>2405</v>
      </c>
    </row>
    <row r="208" spans="1:1" x14ac:dyDescent="0.25">
      <c r="A208" t="s">
        <v>2409</v>
      </c>
    </row>
    <row r="209" spans="1:1" x14ac:dyDescent="0.25">
      <c r="A209" t="s">
        <v>2417</v>
      </c>
    </row>
    <row r="210" spans="1:1" x14ac:dyDescent="0.25">
      <c r="A210" t="s">
        <v>2419</v>
      </c>
    </row>
    <row r="211" spans="1:1" x14ac:dyDescent="0.25">
      <c r="A211" t="s">
        <v>2420</v>
      </c>
    </row>
    <row r="212" spans="1:1" x14ac:dyDescent="0.25">
      <c r="A212" t="s">
        <v>2425</v>
      </c>
    </row>
    <row r="213" spans="1:1" x14ac:dyDescent="0.25">
      <c r="A213" t="s">
        <v>2427</v>
      </c>
    </row>
    <row r="214" spans="1:1" x14ac:dyDescent="0.25">
      <c r="A214" t="s">
        <v>2429</v>
      </c>
    </row>
    <row r="215" spans="1:1" x14ac:dyDescent="0.25">
      <c r="A215" t="s">
        <v>2436</v>
      </c>
    </row>
    <row r="216" spans="1:1" x14ac:dyDescent="0.25">
      <c r="A216" t="s">
        <v>2437</v>
      </c>
    </row>
    <row r="217" spans="1:1" x14ac:dyDescent="0.25">
      <c r="A217" t="s">
        <v>2441</v>
      </c>
    </row>
    <row r="218" spans="1:1" x14ac:dyDescent="0.25">
      <c r="A218" t="s">
        <v>6</v>
      </c>
    </row>
    <row r="219" spans="1:1" x14ac:dyDescent="0.25">
      <c r="A219" t="s">
        <v>2444</v>
      </c>
    </row>
    <row r="220" spans="1:1" x14ac:dyDescent="0.25">
      <c r="A220" t="s">
        <v>2447</v>
      </c>
    </row>
    <row r="221" spans="1:1" x14ac:dyDescent="0.25">
      <c r="A221" t="s">
        <v>2450</v>
      </c>
    </row>
    <row r="222" spans="1:1" x14ac:dyDescent="0.25">
      <c r="A222" t="s">
        <v>2454</v>
      </c>
    </row>
    <row r="223" spans="1:1" x14ac:dyDescent="0.25">
      <c r="A223" t="s">
        <v>2458</v>
      </c>
    </row>
    <row r="224" spans="1:1" x14ac:dyDescent="0.25">
      <c r="A224" t="s">
        <v>2459</v>
      </c>
    </row>
    <row r="225" spans="1:1" x14ac:dyDescent="0.25">
      <c r="A225" t="s">
        <v>2462</v>
      </c>
    </row>
    <row r="226" spans="1:1" x14ac:dyDescent="0.25">
      <c r="A226" t="s">
        <v>2466</v>
      </c>
    </row>
    <row r="227" spans="1:1" x14ac:dyDescent="0.25">
      <c r="A227" t="s">
        <v>2468</v>
      </c>
    </row>
    <row r="228" spans="1:1" x14ac:dyDescent="0.25">
      <c r="A228" t="s">
        <v>2469</v>
      </c>
    </row>
    <row r="229" spans="1:1" x14ac:dyDescent="0.25">
      <c r="A229" t="s">
        <v>2471</v>
      </c>
    </row>
    <row r="230" spans="1:1" x14ac:dyDescent="0.25">
      <c r="A230" t="s">
        <v>2475</v>
      </c>
    </row>
    <row r="231" spans="1:1" x14ac:dyDescent="0.25">
      <c r="A231" t="s">
        <v>2478</v>
      </c>
    </row>
    <row r="232" spans="1:1" x14ac:dyDescent="0.25">
      <c r="A232" t="s">
        <v>2479</v>
      </c>
    </row>
    <row r="233" spans="1:1" x14ac:dyDescent="0.25">
      <c r="A233" t="s">
        <v>2489</v>
      </c>
    </row>
    <row r="234" spans="1:1" x14ac:dyDescent="0.25">
      <c r="A234" t="s">
        <v>2491</v>
      </c>
    </row>
    <row r="235" spans="1:1" x14ac:dyDescent="0.25">
      <c r="A235" t="s">
        <v>2492</v>
      </c>
    </row>
    <row r="236" spans="1:1" x14ac:dyDescent="0.25">
      <c r="A236" t="s">
        <v>2496</v>
      </c>
    </row>
    <row r="237" spans="1:1" x14ac:dyDescent="0.25">
      <c r="A237" t="s">
        <v>2497</v>
      </c>
    </row>
    <row r="238" spans="1:1" x14ac:dyDescent="0.25">
      <c r="A238" t="s">
        <v>2500</v>
      </c>
    </row>
    <row r="239" spans="1:1" x14ac:dyDescent="0.25">
      <c r="A239" t="s">
        <v>2503</v>
      </c>
    </row>
    <row r="240" spans="1:1" x14ac:dyDescent="0.25">
      <c r="A240" t="s">
        <v>2504</v>
      </c>
    </row>
    <row r="241" spans="1:1" x14ac:dyDescent="0.25">
      <c r="A241" t="s">
        <v>2506</v>
      </c>
    </row>
    <row r="242" spans="1:1" x14ac:dyDescent="0.25">
      <c r="A242" t="s">
        <v>2507</v>
      </c>
    </row>
    <row r="243" spans="1:1" x14ac:dyDescent="0.25">
      <c r="A243" t="s">
        <v>2509</v>
      </c>
    </row>
    <row r="244" spans="1:1" x14ac:dyDescent="0.25">
      <c r="A244" t="s">
        <v>2510</v>
      </c>
    </row>
    <row r="245" spans="1:1" x14ac:dyDescent="0.25">
      <c r="A245" t="s">
        <v>2512</v>
      </c>
    </row>
    <row r="246" spans="1:1" x14ac:dyDescent="0.25">
      <c r="A246" t="s">
        <v>2512</v>
      </c>
    </row>
    <row r="247" spans="1:1" x14ac:dyDescent="0.25">
      <c r="A247" t="s">
        <v>2521</v>
      </c>
    </row>
    <row r="248" spans="1:1" x14ac:dyDescent="0.25">
      <c r="A248" t="s">
        <v>2522</v>
      </c>
    </row>
    <row r="249" spans="1:1" x14ac:dyDescent="0.25">
      <c r="A249" t="s">
        <v>2523</v>
      </c>
    </row>
    <row r="250" spans="1:1" x14ac:dyDescent="0.25">
      <c r="A250" t="s">
        <v>2524</v>
      </c>
    </row>
    <row r="251" spans="1:1" x14ac:dyDescent="0.25">
      <c r="A251" t="s">
        <v>7</v>
      </c>
    </row>
    <row r="252" spans="1:1" x14ac:dyDescent="0.25">
      <c r="A252" t="s">
        <v>2528</v>
      </c>
    </row>
    <row r="253" spans="1:1" x14ac:dyDescent="0.25">
      <c r="A253" t="s">
        <v>237</v>
      </c>
    </row>
    <row r="254" spans="1:1" x14ac:dyDescent="0.25">
      <c r="A254" t="s">
        <v>237</v>
      </c>
    </row>
    <row r="255" spans="1:1" x14ac:dyDescent="0.25">
      <c r="A255" t="s">
        <v>240</v>
      </c>
    </row>
    <row r="256" spans="1:1" x14ac:dyDescent="0.25">
      <c r="A256" t="s">
        <v>241</v>
      </c>
    </row>
    <row r="257" spans="1:1" x14ac:dyDescent="0.25">
      <c r="A257" t="s">
        <v>242</v>
      </c>
    </row>
    <row r="258" spans="1:1" x14ac:dyDescent="0.25">
      <c r="A258" t="s">
        <v>244</v>
      </c>
    </row>
    <row r="259" spans="1:1" x14ac:dyDescent="0.25">
      <c r="A259" t="s">
        <v>245</v>
      </c>
    </row>
    <row r="260" spans="1:1" x14ac:dyDescent="0.25">
      <c r="A260" t="s">
        <v>251</v>
      </c>
    </row>
    <row r="261" spans="1:1" x14ac:dyDescent="0.25">
      <c r="A261" t="s">
        <v>253</v>
      </c>
    </row>
    <row r="262" spans="1:1" x14ac:dyDescent="0.25">
      <c r="A262" t="s">
        <v>8</v>
      </c>
    </row>
    <row r="263" spans="1:1" x14ac:dyDescent="0.25">
      <c r="A263" t="s">
        <v>258</v>
      </c>
    </row>
    <row r="264" spans="1:1" x14ac:dyDescent="0.25">
      <c r="A264" t="s">
        <v>259</v>
      </c>
    </row>
    <row r="265" spans="1:1" x14ac:dyDescent="0.25">
      <c r="A265" t="s">
        <v>271</v>
      </c>
    </row>
    <row r="266" spans="1:1" x14ac:dyDescent="0.25">
      <c r="A266" t="s">
        <v>272</v>
      </c>
    </row>
    <row r="267" spans="1:1" x14ac:dyDescent="0.25">
      <c r="A267" t="s">
        <v>273</v>
      </c>
    </row>
    <row r="268" spans="1:1" x14ac:dyDescent="0.25">
      <c r="A268" t="s">
        <v>275</v>
      </c>
    </row>
    <row r="269" spans="1:1" x14ac:dyDescent="0.25">
      <c r="A269" t="s">
        <v>277</v>
      </c>
    </row>
    <row r="270" spans="1:1" x14ac:dyDescent="0.25">
      <c r="A270" t="s">
        <v>280</v>
      </c>
    </row>
    <row r="271" spans="1:1" x14ac:dyDescent="0.25">
      <c r="A271" t="s">
        <v>281</v>
      </c>
    </row>
    <row r="272" spans="1:1" x14ac:dyDescent="0.25">
      <c r="A272" t="s">
        <v>285</v>
      </c>
    </row>
    <row r="273" spans="1:1" x14ac:dyDescent="0.25">
      <c r="A273" t="s">
        <v>286</v>
      </c>
    </row>
    <row r="274" spans="1:1" x14ac:dyDescent="0.25">
      <c r="A274" t="s">
        <v>293</v>
      </c>
    </row>
    <row r="275" spans="1:1" x14ac:dyDescent="0.25">
      <c r="A275" t="s">
        <v>294</v>
      </c>
    </row>
    <row r="276" spans="1:1" x14ac:dyDescent="0.25">
      <c r="A276" t="s">
        <v>301</v>
      </c>
    </row>
    <row r="277" spans="1:1" x14ac:dyDescent="0.25">
      <c r="A277" t="s">
        <v>302</v>
      </c>
    </row>
    <row r="278" spans="1:1" x14ac:dyDescent="0.25">
      <c r="A278" t="s">
        <v>305</v>
      </c>
    </row>
    <row r="279" spans="1:1" x14ac:dyDescent="0.25">
      <c r="A279" t="s">
        <v>307</v>
      </c>
    </row>
    <row r="280" spans="1:1" x14ac:dyDescent="0.25">
      <c r="A280" t="s">
        <v>315</v>
      </c>
    </row>
    <row r="281" spans="1:1" x14ac:dyDescent="0.25">
      <c r="A281" t="s">
        <v>2182</v>
      </c>
    </row>
    <row r="282" spans="1:1" x14ac:dyDescent="0.25">
      <c r="A282" t="s">
        <v>2183</v>
      </c>
    </row>
    <row r="283" spans="1:1" x14ac:dyDescent="0.25">
      <c r="A283" t="s">
        <v>2213</v>
      </c>
    </row>
    <row r="284" spans="1:1" x14ac:dyDescent="0.25">
      <c r="A284" t="s">
        <v>9</v>
      </c>
    </row>
    <row r="285" spans="1:1" x14ac:dyDescent="0.25">
      <c r="A285" t="s">
        <v>2237</v>
      </c>
    </row>
    <row r="286" spans="1:1" x14ac:dyDescent="0.25">
      <c r="A286" t="s">
        <v>10</v>
      </c>
    </row>
    <row r="287" spans="1:1" x14ac:dyDescent="0.25">
      <c r="A287" t="s">
        <v>11</v>
      </c>
    </row>
    <row r="288" spans="1:1" x14ac:dyDescent="0.25">
      <c r="A288" t="s">
        <v>2373</v>
      </c>
    </row>
    <row r="289" spans="1:1" x14ac:dyDescent="0.25">
      <c r="A289" t="s">
        <v>2377</v>
      </c>
    </row>
    <row r="290" spans="1:1" x14ac:dyDescent="0.25">
      <c r="A290" t="s">
        <v>12</v>
      </c>
    </row>
    <row r="291" spans="1:1" x14ac:dyDescent="0.25">
      <c r="A291" t="s">
        <v>2398</v>
      </c>
    </row>
    <row r="292" spans="1:1" x14ac:dyDescent="0.25">
      <c r="A292" t="s">
        <v>2399</v>
      </c>
    </row>
    <row r="293" spans="1:1" x14ac:dyDescent="0.25">
      <c r="A293" t="s">
        <v>13</v>
      </c>
    </row>
    <row r="294" spans="1:1" x14ac:dyDescent="0.25">
      <c r="A294" t="s">
        <v>14</v>
      </c>
    </row>
    <row r="295" spans="1:1" x14ac:dyDescent="0.25">
      <c r="A295" t="s">
        <v>15</v>
      </c>
    </row>
    <row r="296" spans="1:1" x14ac:dyDescent="0.25">
      <c r="A296" t="s">
        <v>16</v>
      </c>
    </row>
    <row r="297" spans="1:1" x14ac:dyDescent="0.25">
      <c r="A297" t="s">
        <v>2138</v>
      </c>
    </row>
    <row r="298" spans="1:1" x14ac:dyDescent="0.25">
      <c r="A298" t="s">
        <v>17</v>
      </c>
    </row>
    <row r="299" spans="1:1" x14ac:dyDescent="0.25">
      <c r="A299" t="s">
        <v>18</v>
      </c>
    </row>
    <row r="300" spans="1:1" x14ac:dyDescent="0.25">
      <c r="A300" t="s">
        <v>19</v>
      </c>
    </row>
    <row r="301" spans="1:1" x14ac:dyDescent="0.25">
      <c r="A301" t="s">
        <v>20</v>
      </c>
    </row>
    <row r="302" spans="1:1" x14ac:dyDescent="0.25">
      <c r="A302" t="s">
        <v>21</v>
      </c>
    </row>
    <row r="303" spans="1:1" x14ac:dyDescent="0.25">
      <c r="A303" t="s">
        <v>2225</v>
      </c>
    </row>
    <row r="304" spans="1:1" x14ac:dyDescent="0.25">
      <c r="A304" t="s">
        <v>2225</v>
      </c>
    </row>
    <row r="305" spans="1:1" x14ac:dyDescent="0.25">
      <c r="A305" t="s">
        <v>1155</v>
      </c>
    </row>
    <row r="306" spans="1:1" x14ac:dyDescent="0.25">
      <c r="A306" t="s">
        <v>1156</v>
      </c>
    </row>
    <row r="307" spans="1:1" x14ac:dyDescent="0.25">
      <c r="A307" t="s">
        <v>2235</v>
      </c>
    </row>
    <row r="308" spans="1:1" x14ac:dyDescent="0.25">
      <c r="A308" t="s">
        <v>1157</v>
      </c>
    </row>
    <row r="309" spans="1:1" x14ac:dyDescent="0.25">
      <c r="A309" t="s">
        <v>2220</v>
      </c>
    </row>
    <row r="310" spans="1:1" x14ac:dyDescent="0.25">
      <c r="A310" t="s">
        <v>2284</v>
      </c>
    </row>
    <row r="311" spans="1:1" x14ac:dyDescent="0.25">
      <c r="A311" t="s">
        <v>2326</v>
      </c>
    </row>
    <row r="312" spans="1:1" x14ac:dyDescent="0.25">
      <c r="A312" t="s">
        <v>2326</v>
      </c>
    </row>
    <row r="313" spans="1:1" x14ac:dyDescent="0.25">
      <c r="A313" t="s">
        <v>1158</v>
      </c>
    </row>
    <row r="314" spans="1:1" x14ac:dyDescent="0.25">
      <c r="A314" t="s">
        <v>1159</v>
      </c>
    </row>
    <row r="315" spans="1:1" x14ac:dyDescent="0.25">
      <c r="A315" t="s">
        <v>1160</v>
      </c>
    </row>
    <row r="316" spans="1:1" x14ac:dyDescent="0.25">
      <c r="A316" t="s">
        <v>2508</v>
      </c>
    </row>
    <row r="317" spans="1:1" x14ac:dyDescent="0.25">
      <c r="A317" t="s">
        <v>1161</v>
      </c>
    </row>
    <row r="318" spans="1:1" x14ac:dyDescent="0.25">
      <c r="A318" t="s">
        <v>289</v>
      </c>
    </row>
    <row r="319" spans="1:1" x14ac:dyDescent="0.25">
      <c r="A319" t="s">
        <v>1162</v>
      </c>
    </row>
    <row r="320" spans="1:1" x14ac:dyDescent="0.25">
      <c r="A320" t="s">
        <v>1163</v>
      </c>
    </row>
    <row r="321" spans="1:1" x14ac:dyDescent="0.25">
      <c r="A321" t="s">
        <v>1164</v>
      </c>
    </row>
    <row r="322" spans="1:1" x14ac:dyDescent="0.25">
      <c r="A322" t="s">
        <v>1165</v>
      </c>
    </row>
    <row r="323" spans="1:1" x14ac:dyDescent="0.25">
      <c r="A323" t="s">
        <v>2519</v>
      </c>
    </row>
    <row r="324" spans="1:1" x14ac:dyDescent="0.25">
      <c r="A324" t="s">
        <v>2519</v>
      </c>
    </row>
    <row r="325" spans="1:1" x14ac:dyDescent="0.25">
      <c r="A325" t="s">
        <v>22</v>
      </c>
    </row>
    <row r="326" spans="1:1" x14ac:dyDescent="0.25">
      <c r="A326" t="s">
        <v>23</v>
      </c>
    </row>
    <row r="327" spans="1:1" x14ac:dyDescent="0.25">
      <c r="A327" t="s">
        <v>2119</v>
      </c>
    </row>
    <row r="328" spans="1:1" x14ac:dyDescent="0.25">
      <c r="A328" t="s">
        <v>24</v>
      </c>
    </row>
    <row r="329" spans="1:1" x14ac:dyDescent="0.25">
      <c r="A329" t="s">
        <v>25</v>
      </c>
    </row>
    <row r="330" spans="1:1" x14ac:dyDescent="0.25">
      <c r="A330" t="s">
        <v>26</v>
      </c>
    </row>
    <row r="331" spans="1:1" x14ac:dyDescent="0.25">
      <c r="A331" t="s">
        <v>2501</v>
      </c>
    </row>
    <row r="332" spans="1:1" x14ac:dyDescent="0.25">
      <c r="A332" t="s">
        <v>27</v>
      </c>
    </row>
    <row r="333" spans="1:1" x14ac:dyDescent="0.25">
      <c r="A333" t="s">
        <v>28</v>
      </c>
    </row>
    <row r="334" spans="1:1" x14ac:dyDescent="0.25">
      <c r="A334" t="s">
        <v>29</v>
      </c>
    </row>
    <row r="335" spans="1:1" x14ac:dyDescent="0.25">
      <c r="A335" t="s">
        <v>30</v>
      </c>
    </row>
    <row r="336" spans="1:1" x14ac:dyDescent="0.25">
      <c r="A336" t="s">
        <v>31</v>
      </c>
    </row>
    <row r="337" spans="1:1" x14ac:dyDescent="0.25">
      <c r="A337" t="s">
        <v>32</v>
      </c>
    </row>
    <row r="338" spans="1:1" x14ac:dyDescent="0.25">
      <c r="A338" t="s">
        <v>33</v>
      </c>
    </row>
    <row r="339" spans="1:1" x14ac:dyDescent="0.25">
      <c r="A339" t="s">
        <v>2495</v>
      </c>
    </row>
    <row r="340" spans="1:1" x14ac:dyDescent="0.25">
      <c r="A340" t="s">
        <v>2498</v>
      </c>
    </row>
    <row r="341" spans="1:1" x14ac:dyDescent="0.25">
      <c r="A341" t="s">
        <v>2499</v>
      </c>
    </row>
    <row r="342" spans="1:1" x14ac:dyDescent="0.25">
      <c r="A342" t="s">
        <v>2499</v>
      </c>
    </row>
    <row r="343" spans="1:1" x14ac:dyDescent="0.25">
      <c r="A343" t="s">
        <v>1167</v>
      </c>
    </row>
    <row r="344" spans="1:1" x14ac:dyDescent="0.25">
      <c r="A344" t="s">
        <v>2269</v>
      </c>
    </row>
    <row r="345" spans="1:1" x14ac:dyDescent="0.25">
      <c r="A345" t="s">
        <v>1168</v>
      </c>
    </row>
    <row r="346" spans="1:1" x14ac:dyDescent="0.25">
      <c r="A346" t="s">
        <v>1169</v>
      </c>
    </row>
    <row r="347" spans="1:1" x14ac:dyDescent="0.25">
      <c r="A347" t="s">
        <v>1170</v>
      </c>
    </row>
    <row r="348" spans="1:1" x14ac:dyDescent="0.25">
      <c r="A348" t="s">
        <v>2302</v>
      </c>
    </row>
    <row r="349" spans="1:1" x14ac:dyDescent="0.25">
      <c r="A349" t="s">
        <v>1171</v>
      </c>
    </row>
    <row r="350" spans="1:1" x14ac:dyDescent="0.25">
      <c r="A350" t="s">
        <v>1172</v>
      </c>
    </row>
    <row r="351" spans="1:1" x14ac:dyDescent="0.25">
      <c r="A351" t="s">
        <v>1173</v>
      </c>
    </row>
    <row r="352" spans="1:1" x14ac:dyDescent="0.25">
      <c r="A352" t="s">
        <v>2310</v>
      </c>
    </row>
    <row r="353" spans="1:1" x14ac:dyDescent="0.25">
      <c r="A353" t="s">
        <v>2315</v>
      </c>
    </row>
    <row r="354" spans="1:1" x14ac:dyDescent="0.25">
      <c r="A354" t="s">
        <v>1174</v>
      </c>
    </row>
    <row r="355" spans="1:1" x14ac:dyDescent="0.25">
      <c r="A355" t="s">
        <v>2333</v>
      </c>
    </row>
    <row r="356" spans="1:1" x14ac:dyDescent="0.25">
      <c r="A356" t="s">
        <v>1175</v>
      </c>
    </row>
    <row r="357" spans="1:1" x14ac:dyDescent="0.25">
      <c r="A357" t="s">
        <v>2115</v>
      </c>
    </row>
    <row r="358" spans="1:1" x14ac:dyDescent="0.25">
      <c r="A358" t="s">
        <v>2394</v>
      </c>
    </row>
    <row r="359" spans="1:1" x14ac:dyDescent="0.25">
      <c r="A359" t="s">
        <v>1176</v>
      </c>
    </row>
    <row r="360" spans="1:1" x14ac:dyDescent="0.25">
      <c r="A360" t="s">
        <v>1177</v>
      </c>
    </row>
    <row r="361" spans="1:1" x14ac:dyDescent="0.25">
      <c r="A361" t="s">
        <v>1178</v>
      </c>
    </row>
    <row r="362" spans="1:1" x14ac:dyDescent="0.25">
      <c r="A362" t="s">
        <v>1179</v>
      </c>
    </row>
    <row r="363" spans="1:1" x14ac:dyDescent="0.25">
      <c r="A363" t="s">
        <v>34</v>
      </c>
    </row>
    <row r="364" spans="1:1" x14ac:dyDescent="0.25">
      <c r="A364" t="s">
        <v>35</v>
      </c>
    </row>
    <row r="365" spans="1:1" x14ac:dyDescent="0.25">
      <c r="A365" t="s">
        <v>36</v>
      </c>
    </row>
    <row r="366" spans="1:1" x14ac:dyDescent="0.25">
      <c r="A366" t="s">
        <v>37</v>
      </c>
    </row>
    <row r="367" spans="1:1" x14ac:dyDescent="0.25">
      <c r="A367" t="s">
        <v>38</v>
      </c>
    </row>
    <row r="368" spans="1:1" x14ac:dyDescent="0.25">
      <c r="A368" t="s">
        <v>39</v>
      </c>
    </row>
    <row r="369" spans="1:1" x14ac:dyDescent="0.25">
      <c r="A369" t="s">
        <v>40</v>
      </c>
    </row>
    <row r="370" spans="1:1" x14ac:dyDescent="0.25">
      <c r="A370" t="s">
        <v>2484</v>
      </c>
    </row>
    <row r="371" spans="1:1" x14ac:dyDescent="0.25">
      <c r="A371" t="s">
        <v>41</v>
      </c>
    </row>
    <row r="372" spans="1:1" x14ac:dyDescent="0.25">
      <c r="A372" t="s">
        <v>42</v>
      </c>
    </row>
    <row r="373" spans="1:1" x14ac:dyDescent="0.25">
      <c r="A373" t="s">
        <v>257</v>
      </c>
    </row>
    <row r="374" spans="1:1" x14ac:dyDescent="0.25">
      <c r="A374" t="s">
        <v>266</v>
      </c>
    </row>
    <row r="375" spans="1:1" x14ac:dyDescent="0.25">
      <c r="A375" t="s">
        <v>279</v>
      </c>
    </row>
    <row r="376" spans="1:1" x14ac:dyDescent="0.25">
      <c r="A376" t="s">
        <v>290</v>
      </c>
    </row>
    <row r="377" spans="1:1" x14ac:dyDescent="0.25">
      <c r="A377" t="s">
        <v>308</v>
      </c>
    </row>
    <row r="378" spans="1:1" x14ac:dyDescent="0.25">
      <c r="A378" t="s">
        <v>43</v>
      </c>
    </row>
    <row r="379" spans="1:1" x14ac:dyDescent="0.25">
      <c r="A379" t="s">
        <v>44</v>
      </c>
    </row>
    <row r="380" spans="1:1" x14ac:dyDescent="0.25">
      <c r="A380" t="s">
        <v>238</v>
      </c>
    </row>
    <row r="381" spans="1:1" x14ac:dyDescent="0.25">
      <c r="A381" t="s">
        <v>45</v>
      </c>
    </row>
    <row r="382" spans="1:1" x14ac:dyDescent="0.25">
      <c r="A382" t="s">
        <v>1180</v>
      </c>
    </row>
    <row r="383" spans="1:1" x14ac:dyDescent="0.25">
      <c r="A383" t="s">
        <v>1181</v>
      </c>
    </row>
    <row r="384" spans="1:1" x14ac:dyDescent="0.25">
      <c r="A384" t="s">
        <v>2117</v>
      </c>
    </row>
    <row r="385" spans="1:1" x14ac:dyDescent="0.25">
      <c r="A385" t="s">
        <v>2169</v>
      </c>
    </row>
    <row r="386" spans="1:1" x14ac:dyDescent="0.25">
      <c r="A386" t="s">
        <v>1182</v>
      </c>
    </row>
    <row r="387" spans="1:1" x14ac:dyDescent="0.25">
      <c r="A387" t="s">
        <v>2239</v>
      </c>
    </row>
    <row r="388" spans="1:1" x14ac:dyDescent="0.25">
      <c r="A388" t="s">
        <v>2180</v>
      </c>
    </row>
    <row r="389" spans="1:1" x14ac:dyDescent="0.25">
      <c r="A389" t="s">
        <v>2228</v>
      </c>
    </row>
    <row r="390" spans="1:1" x14ac:dyDescent="0.25">
      <c r="A390" t="s">
        <v>2112</v>
      </c>
    </row>
    <row r="391" spans="1:1" x14ac:dyDescent="0.25">
      <c r="A391" t="s">
        <v>2456</v>
      </c>
    </row>
    <row r="392" spans="1:1" x14ac:dyDescent="0.25">
      <c r="A392" t="s">
        <v>1183</v>
      </c>
    </row>
    <row r="393" spans="1:1" x14ac:dyDescent="0.25">
      <c r="A393" t="s">
        <v>2263</v>
      </c>
    </row>
    <row r="394" spans="1:1" x14ac:dyDescent="0.25">
      <c r="A394" t="s">
        <v>1184</v>
      </c>
    </row>
    <row r="395" spans="1:1" x14ac:dyDescent="0.25">
      <c r="A395" t="s">
        <v>1185</v>
      </c>
    </row>
    <row r="396" spans="1:1" x14ac:dyDescent="0.25">
      <c r="A396" t="s">
        <v>2155</v>
      </c>
    </row>
    <row r="397" spans="1:1" x14ac:dyDescent="0.25">
      <c r="A397" t="s">
        <v>2175</v>
      </c>
    </row>
    <row r="398" spans="1:1" x14ac:dyDescent="0.25">
      <c r="A398" t="s">
        <v>1186</v>
      </c>
    </row>
    <row r="399" spans="1:1" x14ac:dyDescent="0.25">
      <c r="A399" t="s">
        <v>2452</v>
      </c>
    </row>
    <row r="400" spans="1:1" x14ac:dyDescent="0.25">
      <c r="A400" t="s">
        <v>2272</v>
      </c>
    </row>
    <row r="401" spans="1:1" x14ac:dyDescent="0.25">
      <c r="A401" t="s">
        <v>2283</v>
      </c>
    </row>
    <row r="402" spans="1:1" x14ac:dyDescent="0.25">
      <c r="A402" t="s">
        <v>2291</v>
      </c>
    </row>
    <row r="403" spans="1:1" x14ac:dyDescent="0.25">
      <c r="A403" t="s">
        <v>2291</v>
      </c>
    </row>
    <row r="404" spans="1:1" x14ac:dyDescent="0.25">
      <c r="A404" t="s">
        <v>2292</v>
      </c>
    </row>
    <row r="405" spans="1:1" x14ac:dyDescent="0.25">
      <c r="A405" t="s">
        <v>2307</v>
      </c>
    </row>
    <row r="406" spans="1:1" x14ac:dyDescent="0.25">
      <c r="A406" t="s">
        <v>2308</v>
      </c>
    </row>
    <row r="407" spans="1:1" x14ac:dyDescent="0.25">
      <c r="A407" t="s">
        <v>2343</v>
      </c>
    </row>
    <row r="408" spans="1:1" x14ac:dyDescent="0.25">
      <c r="A408" t="s">
        <v>2397</v>
      </c>
    </row>
    <row r="409" spans="1:1" x14ac:dyDescent="0.25">
      <c r="A409" t="s">
        <v>2422</v>
      </c>
    </row>
    <row r="410" spans="1:1" x14ac:dyDescent="0.25">
      <c r="A410" t="s">
        <v>1187</v>
      </c>
    </row>
    <row r="411" spans="1:1" x14ac:dyDescent="0.25">
      <c r="A411" t="s">
        <v>2505</v>
      </c>
    </row>
    <row r="412" spans="1:1" x14ac:dyDescent="0.25">
      <c r="A412" t="s">
        <v>2525</v>
      </c>
    </row>
    <row r="413" spans="1:1" x14ac:dyDescent="0.25">
      <c r="A413" t="s">
        <v>283</v>
      </c>
    </row>
    <row r="414" spans="1:1" x14ac:dyDescent="0.25">
      <c r="A414" t="s">
        <v>297</v>
      </c>
    </row>
    <row r="415" spans="1:1" x14ac:dyDescent="0.25">
      <c r="A415" t="s">
        <v>298</v>
      </c>
    </row>
    <row r="416" spans="1:1" x14ac:dyDescent="0.25">
      <c r="A416" t="s">
        <v>300</v>
      </c>
    </row>
    <row r="417" spans="1:1" x14ac:dyDescent="0.25">
      <c r="A417" t="s">
        <v>1188</v>
      </c>
    </row>
    <row r="418" spans="1:1" x14ac:dyDescent="0.25">
      <c r="A418" t="s">
        <v>46</v>
      </c>
    </row>
    <row r="419" spans="1:1" x14ac:dyDescent="0.25">
      <c r="A419" t="s">
        <v>2101</v>
      </c>
    </row>
    <row r="420" spans="1:1" x14ac:dyDescent="0.25">
      <c r="A420" t="s">
        <v>47</v>
      </c>
    </row>
    <row r="421" spans="1:1" x14ac:dyDescent="0.25">
      <c r="A421" t="s">
        <v>2108</v>
      </c>
    </row>
    <row r="422" spans="1:1" x14ac:dyDescent="0.25">
      <c r="A422" t="s">
        <v>2413</v>
      </c>
    </row>
    <row r="423" spans="1:1" x14ac:dyDescent="0.25">
      <c r="A423" t="s">
        <v>48</v>
      </c>
    </row>
    <row r="424" spans="1:1" x14ac:dyDescent="0.25">
      <c r="A424" t="s">
        <v>2516</v>
      </c>
    </row>
    <row r="425" spans="1:1" x14ac:dyDescent="0.25">
      <c r="A425" t="s">
        <v>239</v>
      </c>
    </row>
    <row r="426" spans="1:1" x14ac:dyDescent="0.25">
      <c r="A426" t="s">
        <v>49</v>
      </c>
    </row>
    <row r="427" spans="1:1" x14ac:dyDescent="0.25">
      <c r="A427" t="s">
        <v>50</v>
      </c>
    </row>
    <row r="428" spans="1:1" x14ac:dyDescent="0.25">
      <c r="A428" t="s">
        <v>51</v>
      </c>
    </row>
    <row r="429" spans="1:1" x14ac:dyDescent="0.25">
      <c r="A429" t="s">
        <v>1189</v>
      </c>
    </row>
    <row r="430" spans="1:1" x14ac:dyDescent="0.25">
      <c r="A430" t="s">
        <v>1190</v>
      </c>
    </row>
    <row r="431" spans="1:1" x14ac:dyDescent="0.25">
      <c r="A431" t="s">
        <v>2156</v>
      </c>
    </row>
    <row r="432" spans="1:1" x14ac:dyDescent="0.25">
      <c r="A432" t="s">
        <v>2194</v>
      </c>
    </row>
    <row r="433" spans="1:1" x14ac:dyDescent="0.25">
      <c r="A433" t="s">
        <v>1191</v>
      </c>
    </row>
    <row r="434" spans="1:1" x14ac:dyDescent="0.25">
      <c r="A434" t="s">
        <v>1192</v>
      </c>
    </row>
    <row r="435" spans="1:1" x14ac:dyDescent="0.25">
      <c r="A435" t="s">
        <v>1193</v>
      </c>
    </row>
    <row r="436" spans="1:1" x14ac:dyDescent="0.25">
      <c r="A436" t="s">
        <v>1194</v>
      </c>
    </row>
    <row r="437" spans="1:1" x14ac:dyDescent="0.25">
      <c r="A437" t="s">
        <v>1195</v>
      </c>
    </row>
    <row r="438" spans="1:1" x14ac:dyDescent="0.25">
      <c r="A438" t="s">
        <v>54</v>
      </c>
    </row>
    <row r="439" spans="1:1" x14ac:dyDescent="0.25">
      <c r="A439" t="s">
        <v>55</v>
      </c>
    </row>
    <row r="440" spans="1:1" x14ac:dyDescent="0.25">
      <c r="A440" t="s">
        <v>56</v>
      </c>
    </row>
    <row r="441" spans="1:1" x14ac:dyDescent="0.25">
      <c r="A441" t="s">
        <v>57</v>
      </c>
    </row>
    <row r="442" spans="1:1" x14ac:dyDescent="0.25">
      <c r="A442" t="s">
        <v>2330</v>
      </c>
    </row>
    <row r="443" spans="1:1" x14ac:dyDescent="0.25">
      <c r="A443" t="s">
        <v>58</v>
      </c>
    </row>
    <row r="444" spans="1:1" x14ac:dyDescent="0.25">
      <c r="A444" t="s">
        <v>2448</v>
      </c>
    </row>
    <row r="445" spans="1:1" x14ac:dyDescent="0.25">
      <c r="A445" t="s">
        <v>2096</v>
      </c>
    </row>
    <row r="446" spans="1:1" x14ac:dyDescent="0.25">
      <c r="A446" t="s">
        <v>2097</v>
      </c>
    </row>
    <row r="447" spans="1:1" x14ac:dyDescent="0.25">
      <c r="A447" t="s">
        <v>2099</v>
      </c>
    </row>
    <row r="448" spans="1:1" x14ac:dyDescent="0.25">
      <c r="A448" t="s">
        <v>2100</v>
      </c>
    </row>
    <row r="449" spans="1:1" x14ac:dyDescent="0.25">
      <c r="A449" t="s">
        <v>59</v>
      </c>
    </row>
    <row r="450" spans="1:1" x14ac:dyDescent="0.25">
      <c r="A450" t="s">
        <v>60</v>
      </c>
    </row>
    <row r="451" spans="1:1" x14ac:dyDescent="0.25">
      <c r="A451" t="s">
        <v>61</v>
      </c>
    </row>
    <row r="452" spans="1:1" x14ac:dyDescent="0.25">
      <c r="A452" t="s">
        <v>62</v>
      </c>
    </row>
    <row r="453" spans="1:1" x14ac:dyDescent="0.25">
      <c r="A453" t="s">
        <v>63</v>
      </c>
    </row>
    <row r="454" spans="1:1" x14ac:dyDescent="0.25">
      <c r="A454" t="s">
        <v>64</v>
      </c>
    </row>
    <row r="455" spans="1:1" x14ac:dyDescent="0.25">
      <c r="A455" t="s">
        <v>65</v>
      </c>
    </row>
    <row r="456" spans="1:1" x14ac:dyDescent="0.25">
      <c r="A456" t="s">
        <v>66</v>
      </c>
    </row>
    <row r="457" spans="1:1" x14ac:dyDescent="0.25">
      <c r="A457" t="s">
        <v>1196</v>
      </c>
    </row>
    <row r="458" spans="1:1" x14ac:dyDescent="0.25">
      <c r="A458" t="s">
        <v>2485</v>
      </c>
    </row>
    <row r="459" spans="1:1" x14ac:dyDescent="0.25">
      <c r="A459" t="s">
        <v>1197</v>
      </c>
    </row>
    <row r="460" spans="1:1" x14ac:dyDescent="0.25">
      <c r="A460" t="s">
        <v>1198</v>
      </c>
    </row>
    <row r="461" spans="1:1" x14ac:dyDescent="0.25">
      <c r="A461" t="s">
        <v>1199</v>
      </c>
    </row>
    <row r="462" spans="1:1" x14ac:dyDescent="0.25">
      <c r="A462" t="s">
        <v>1200</v>
      </c>
    </row>
    <row r="463" spans="1:1" x14ac:dyDescent="0.25">
      <c r="A463" t="s">
        <v>1201</v>
      </c>
    </row>
    <row r="464" spans="1:1" x14ac:dyDescent="0.25">
      <c r="A464" t="s">
        <v>1202</v>
      </c>
    </row>
    <row r="465" spans="1:1" x14ac:dyDescent="0.25">
      <c r="A465" t="s">
        <v>1203</v>
      </c>
    </row>
    <row r="466" spans="1:1" x14ac:dyDescent="0.25">
      <c r="A466" t="s">
        <v>1204</v>
      </c>
    </row>
    <row r="467" spans="1:1" x14ac:dyDescent="0.25">
      <c r="A467" t="s">
        <v>1205</v>
      </c>
    </row>
    <row r="468" spans="1:1" x14ac:dyDescent="0.25">
      <c r="A468" t="s">
        <v>2280</v>
      </c>
    </row>
    <row r="469" spans="1:1" x14ac:dyDescent="0.25">
      <c r="A469" t="s">
        <v>1206</v>
      </c>
    </row>
    <row r="470" spans="1:1" x14ac:dyDescent="0.25">
      <c r="A470" t="s">
        <v>68</v>
      </c>
    </row>
    <row r="471" spans="1:1" x14ac:dyDescent="0.25">
      <c r="A471" t="s">
        <v>69</v>
      </c>
    </row>
    <row r="472" spans="1:1" x14ac:dyDescent="0.25">
      <c r="A472" t="s">
        <v>2472</v>
      </c>
    </row>
    <row r="473" spans="1:1" x14ac:dyDescent="0.25">
      <c r="A473" t="s">
        <v>2472</v>
      </c>
    </row>
    <row r="474" spans="1:1" x14ac:dyDescent="0.25">
      <c r="A474" t="s">
        <v>70</v>
      </c>
    </row>
    <row r="475" spans="1:1" x14ac:dyDescent="0.25">
      <c r="A475" t="s">
        <v>71</v>
      </c>
    </row>
    <row r="476" spans="1:1" x14ac:dyDescent="0.25">
      <c r="A476" t="s">
        <v>72</v>
      </c>
    </row>
    <row r="477" spans="1:1" x14ac:dyDescent="0.25">
      <c r="A477" t="s">
        <v>73</v>
      </c>
    </row>
    <row r="478" spans="1:1" x14ac:dyDescent="0.25">
      <c r="A478" t="s">
        <v>2126</v>
      </c>
    </row>
    <row r="479" spans="1:1" x14ac:dyDescent="0.25">
      <c r="A479" t="s">
        <v>74</v>
      </c>
    </row>
    <row r="480" spans="1:1" x14ac:dyDescent="0.25">
      <c r="A480" t="s">
        <v>75</v>
      </c>
    </row>
    <row r="481" spans="1:1" x14ac:dyDescent="0.25">
      <c r="A481" t="s">
        <v>76</v>
      </c>
    </row>
    <row r="482" spans="1:1" x14ac:dyDescent="0.25">
      <c r="A482" t="s">
        <v>77</v>
      </c>
    </row>
    <row r="483" spans="1:1" x14ac:dyDescent="0.25">
      <c r="A483" t="s">
        <v>78</v>
      </c>
    </row>
    <row r="484" spans="1:1" x14ac:dyDescent="0.25">
      <c r="A484" t="s">
        <v>79</v>
      </c>
    </row>
    <row r="485" spans="1:1" x14ac:dyDescent="0.25">
      <c r="A485" t="s">
        <v>80</v>
      </c>
    </row>
    <row r="486" spans="1:1" x14ac:dyDescent="0.25">
      <c r="A486" t="s">
        <v>81</v>
      </c>
    </row>
    <row r="487" spans="1:1" x14ac:dyDescent="0.25">
      <c r="A487" t="s">
        <v>1211</v>
      </c>
    </row>
    <row r="488" spans="1:1" x14ac:dyDescent="0.25">
      <c r="A488" t="s">
        <v>1212</v>
      </c>
    </row>
    <row r="489" spans="1:1" x14ac:dyDescent="0.25">
      <c r="A489" t="s">
        <v>1213</v>
      </c>
    </row>
    <row r="490" spans="1:1" x14ac:dyDescent="0.25">
      <c r="A490" t="s">
        <v>1214</v>
      </c>
    </row>
    <row r="491" spans="1:1" x14ac:dyDescent="0.25">
      <c r="A491" t="s">
        <v>1215</v>
      </c>
    </row>
    <row r="492" spans="1:1" x14ac:dyDescent="0.25">
      <c r="A492" t="s">
        <v>1216</v>
      </c>
    </row>
    <row r="493" spans="1:1" x14ac:dyDescent="0.25">
      <c r="A493" t="s">
        <v>1217</v>
      </c>
    </row>
    <row r="494" spans="1:1" x14ac:dyDescent="0.25">
      <c r="A494" t="s">
        <v>1218</v>
      </c>
    </row>
    <row r="495" spans="1:1" x14ac:dyDescent="0.25">
      <c r="A495" t="s">
        <v>1219</v>
      </c>
    </row>
    <row r="496" spans="1:1" x14ac:dyDescent="0.25">
      <c r="A496" t="s">
        <v>1220</v>
      </c>
    </row>
    <row r="497" spans="1:1" x14ac:dyDescent="0.25">
      <c r="A497" t="s">
        <v>1221</v>
      </c>
    </row>
    <row r="498" spans="1:1" x14ac:dyDescent="0.25">
      <c r="A498" t="s">
        <v>2517</v>
      </c>
    </row>
    <row r="499" spans="1:1" x14ac:dyDescent="0.25">
      <c r="A499" t="s">
        <v>1222</v>
      </c>
    </row>
    <row r="500" spans="1:1" x14ac:dyDescent="0.25">
      <c r="A500" t="s">
        <v>1223</v>
      </c>
    </row>
    <row r="501" spans="1:1" x14ac:dyDescent="0.25">
      <c r="A501" t="s">
        <v>1224</v>
      </c>
    </row>
    <row r="502" spans="1:1" x14ac:dyDescent="0.25">
      <c r="A502" t="s">
        <v>1225</v>
      </c>
    </row>
    <row r="503" spans="1:1" x14ac:dyDescent="0.25">
      <c r="A503" t="s">
        <v>82</v>
      </c>
    </row>
    <row r="504" spans="1:1" x14ac:dyDescent="0.25">
      <c r="A504" t="s">
        <v>83</v>
      </c>
    </row>
    <row r="505" spans="1:1" x14ac:dyDescent="0.25">
      <c r="A505" t="s">
        <v>84</v>
      </c>
    </row>
    <row r="506" spans="1:1" x14ac:dyDescent="0.25">
      <c r="A506" t="s">
        <v>85</v>
      </c>
    </row>
    <row r="507" spans="1:1" x14ac:dyDescent="0.25">
      <c r="A507" t="s">
        <v>86</v>
      </c>
    </row>
    <row r="508" spans="1:1" x14ac:dyDescent="0.25">
      <c r="A508" t="s">
        <v>252</v>
      </c>
    </row>
    <row r="509" spans="1:1" x14ac:dyDescent="0.25">
      <c r="A509" t="s">
        <v>252</v>
      </c>
    </row>
    <row r="510" spans="1:1" x14ac:dyDescent="0.25">
      <c r="A510" t="s">
        <v>87</v>
      </c>
    </row>
    <row r="511" spans="1:1" x14ac:dyDescent="0.25">
      <c r="A511" t="s">
        <v>88</v>
      </c>
    </row>
    <row r="512" spans="1:1" x14ac:dyDescent="0.25">
      <c r="A512" t="s">
        <v>89</v>
      </c>
    </row>
    <row r="513" spans="1:1" x14ac:dyDescent="0.25">
      <c r="A513" t="s">
        <v>90</v>
      </c>
    </row>
    <row r="514" spans="1:1" x14ac:dyDescent="0.25">
      <c r="A514" t="s">
        <v>91</v>
      </c>
    </row>
    <row r="515" spans="1:1" x14ac:dyDescent="0.25">
      <c r="A515" t="s">
        <v>92</v>
      </c>
    </row>
    <row r="516" spans="1:1" x14ac:dyDescent="0.25">
      <c r="A516" t="s">
        <v>1226</v>
      </c>
    </row>
    <row r="517" spans="1:1" x14ac:dyDescent="0.25">
      <c r="A517" t="s">
        <v>1227</v>
      </c>
    </row>
    <row r="518" spans="1:1" x14ac:dyDescent="0.25">
      <c r="A518" t="s">
        <v>1228</v>
      </c>
    </row>
    <row r="519" spans="1:1" x14ac:dyDescent="0.25">
      <c r="A519" t="s">
        <v>1229</v>
      </c>
    </row>
    <row r="520" spans="1:1" x14ac:dyDescent="0.25">
      <c r="A520" t="s">
        <v>1230</v>
      </c>
    </row>
    <row r="521" spans="1:1" x14ac:dyDescent="0.25">
      <c r="A521" t="s">
        <v>1231</v>
      </c>
    </row>
    <row r="522" spans="1:1" x14ac:dyDescent="0.25">
      <c r="A522" t="s">
        <v>1232</v>
      </c>
    </row>
    <row r="523" spans="1:1" x14ac:dyDescent="0.25">
      <c r="A523" t="s">
        <v>1233</v>
      </c>
    </row>
    <row r="524" spans="1:1" x14ac:dyDescent="0.25">
      <c r="A524" t="s">
        <v>1234</v>
      </c>
    </row>
    <row r="525" spans="1:1" x14ac:dyDescent="0.25">
      <c r="A525" t="s">
        <v>1235</v>
      </c>
    </row>
    <row r="526" spans="1:1" x14ac:dyDescent="0.25">
      <c r="A526" t="s">
        <v>1236</v>
      </c>
    </row>
    <row r="527" spans="1:1" x14ac:dyDescent="0.25">
      <c r="A527" t="s">
        <v>93</v>
      </c>
    </row>
    <row r="528" spans="1:1" x14ac:dyDescent="0.25">
      <c r="A528" t="s">
        <v>94</v>
      </c>
    </row>
    <row r="529" spans="1:1" x14ac:dyDescent="0.25">
      <c r="A529" t="s">
        <v>95</v>
      </c>
    </row>
    <row r="530" spans="1:1" x14ac:dyDescent="0.25">
      <c r="A530" t="s">
        <v>2331</v>
      </c>
    </row>
    <row r="531" spans="1:1" x14ac:dyDescent="0.25">
      <c r="A531" t="s">
        <v>96</v>
      </c>
    </row>
    <row r="532" spans="1:1" x14ac:dyDescent="0.25">
      <c r="A532" t="s">
        <v>2423</v>
      </c>
    </row>
    <row r="533" spans="1:1" x14ac:dyDescent="0.25">
      <c r="A533" t="s">
        <v>97</v>
      </c>
    </row>
    <row r="534" spans="1:1" x14ac:dyDescent="0.25">
      <c r="A534" t="s">
        <v>98</v>
      </c>
    </row>
    <row r="535" spans="1:1" x14ac:dyDescent="0.25">
      <c r="A535" t="s">
        <v>99</v>
      </c>
    </row>
    <row r="536" spans="1:1" x14ac:dyDescent="0.25">
      <c r="A536" t="s">
        <v>100</v>
      </c>
    </row>
    <row r="537" spans="1:1" x14ac:dyDescent="0.25">
      <c r="A537" t="s">
        <v>101</v>
      </c>
    </row>
    <row r="538" spans="1:1" x14ac:dyDescent="0.25">
      <c r="A538" t="s">
        <v>102</v>
      </c>
    </row>
    <row r="539" spans="1:1" x14ac:dyDescent="0.25">
      <c r="A539" t="s">
        <v>103</v>
      </c>
    </row>
    <row r="540" spans="1:1" x14ac:dyDescent="0.25">
      <c r="A540" t="s">
        <v>104</v>
      </c>
    </row>
    <row r="541" spans="1:1" x14ac:dyDescent="0.25">
      <c r="A541" t="s">
        <v>105</v>
      </c>
    </row>
    <row r="542" spans="1:1" x14ac:dyDescent="0.25">
      <c r="A542" t="s">
        <v>106</v>
      </c>
    </row>
    <row r="543" spans="1:1" x14ac:dyDescent="0.25">
      <c r="A543" t="s">
        <v>2102</v>
      </c>
    </row>
    <row r="544" spans="1:1" x14ac:dyDescent="0.25">
      <c r="A544" t="s">
        <v>2105</v>
      </c>
    </row>
    <row r="545" spans="1:1" x14ac:dyDescent="0.25">
      <c r="A545" t="s">
        <v>107</v>
      </c>
    </row>
    <row r="546" spans="1:1" x14ac:dyDescent="0.25">
      <c r="A546" t="s">
        <v>108</v>
      </c>
    </row>
    <row r="547" spans="1:1" x14ac:dyDescent="0.25">
      <c r="A547" t="s">
        <v>109</v>
      </c>
    </row>
    <row r="548" spans="1:1" x14ac:dyDescent="0.25">
      <c r="A548" t="s">
        <v>110</v>
      </c>
    </row>
    <row r="549" spans="1:1" x14ac:dyDescent="0.25">
      <c r="A549" t="s">
        <v>111</v>
      </c>
    </row>
    <row r="550" spans="1:1" x14ac:dyDescent="0.25">
      <c r="A550" t="s">
        <v>112</v>
      </c>
    </row>
    <row r="551" spans="1:1" x14ac:dyDescent="0.25">
      <c r="A551" t="s">
        <v>113</v>
      </c>
    </row>
    <row r="552" spans="1:1" x14ac:dyDescent="0.25">
      <c r="A552" t="s">
        <v>114</v>
      </c>
    </row>
    <row r="553" spans="1:1" x14ac:dyDescent="0.25">
      <c r="A553" t="s">
        <v>115</v>
      </c>
    </row>
    <row r="554" spans="1:1" x14ac:dyDescent="0.25">
      <c r="A554" t="s">
        <v>2118</v>
      </c>
    </row>
    <row r="555" spans="1:1" x14ac:dyDescent="0.25">
      <c r="A555" t="s">
        <v>1237</v>
      </c>
    </row>
    <row r="556" spans="1:1" x14ac:dyDescent="0.25">
      <c r="A556" t="s">
        <v>1238</v>
      </c>
    </row>
    <row r="557" spans="1:1" x14ac:dyDescent="0.25">
      <c r="A557" t="s">
        <v>2122</v>
      </c>
    </row>
    <row r="558" spans="1:1" x14ac:dyDescent="0.25">
      <c r="A558" t="s">
        <v>2123</v>
      </c>
    </row>
    <row r="559" spans="1:1" x14ac:dyDescent="0.25">
      <c r="A559" t="s">
        <v>2125</v>
      </c>
    </row>
    <row r="560" spans="1:1" x14ac:dyDescent="0.25">
      <c r="A560" t="s">
        <v>1239</v>
      </c>
    </row>
    <row r="561" spans="1:1" x14ac:dyDescent="0.25">
      <c r="A561" t="s">
        <v>2128</v>
      </c>
    </row>
    <row r="562" spans="1:1" x14ac:dyDescent="0.25">
      <c r="A562" t="s">
        <v>1240</v>
      </c>
    </row>
    <row r="563" spans="1:1" x14ac:dyDescent="0.25">
      <c r="A563" t="s">
        <v>1241</v>
      </c>
    </row>
    <row r="564" spans="1:1" x14ac:dyDescent="0.25">
      <c r="A564" t="s">
        <v>2132</v>
      </c>
    </row>
    <row r="565" spans="1:1" x14ac:dyDescent="0.25">
      <c r="A565" t="s">
        <v>1242</v>
      </c>
    </row>
    <row r="566" spans="1:1" x14ac:dyDescent="0.25">
      <c r="A566" t="s">
        <v>2133</v>
      </c>
    </row>
    <row r="567" spans="1:1" x14ac:dyDescent="0.25">
      <c r="A567" t="s">
        <v>1243</v>
      </c>
    </row>
    <row r="568" spans="1:1" x14ac:dyDescent="0.25">
      <c r="A568" t="s">
        <v>2134</v>
      </c>
    </row>
    <row r="569" spans="1:1" x14ac:dyDescent="0.25">
      <c r="A569" t="s">
        <v>2136</v>
      </c>
    </row>
    <row r="570" spans="1:1" x14ac:dyDescent="0.25">
      <c r="A570" t="s">
        <v>1244</v>
      </c>
    </row>
    <row r="571" spans="1:1" x14ac:dyDescent="0.25">
      <c r="A571" t="s">
        <v>1245</v>
      </c>
    </row>
    <row r="572" spans="1:1" x14ac:dyDescent="0.25">
      <c r="A572" t="s">
        <v>2140</v>
      </c>
    </row>
    <row r="573" spans="1:1" x14ac:dyDescent="0.25">
      <c r="A573" t="s">
        <v>2140</v>
      </c>
    </row>
    <row r="574" spans="1:1" x14ac:dyDescent="0.25">
      <c r="A574" t="s">
        <v>2141</v>
      </c>
    </row>
    <row r="575" spans="1:1" x14ac:dyDescent="0.25">
      <c r="A575" t="s">
        <v>2143</v>
      </c>
    </row>
    <row r="576" spans="1:1" x14ac:dyDescent="0.25">
      <c r="A576" t="s">
        <v>2144</v>
      </c>
    </row>
    <row r="577" spans="1:1" x14ac:dyDescent="0.25">
      <c r="A577" t="s">
        <v>2147</v>
      </c>
    </row>
    <row r="578" spans="1:1" x14ac:dyDescent="0.25">
      <c r="A578" t="s">
        <v>1246</v>
      </c>
    </row>
    <row r="579" spans="1:1" x14ac:dyDescent="0.25">
      <c r="A579" t="s">
        <v>2148</v>
      </c>
    </row>
    <row r="580" spans="1:1" x14ac:dyDescent="0.25">
      <c r="A580" t="s">
        <v>2148</v>
      </c>
    </row>
    <row r="581" spans="1:1" x14ac:dyDescent="0.25">
      <c r="A581" t="s">
        <v>2149</v>
      </c>
    </row>
    <row r="582" spans="1:1" x14ac:dyDescent="0.25">
      <c r="A582" t="s">
        <v>1247</v>
      </c>
    </row>
    <row r="583" spans="1:1" x14ac:dyDescent="0.25">
      <c r="A583" t="s">
        <v>2151</v>
      </c>
    </row>
    <row r="584" spans="1:1" x14ac:dyDescent="0.25">
      <c r="A584" t="s">
        <v>2152</v>
      </c>
    </row>
    <row r="585" spans="1:1" x14ac:dyDescent="0.25">
      <c r="A585" t="s">
        <v>2153</v>
      </c>
    </row>
    <row r="586" spans="1:1" x14ac:dyDescent="0.25">
      <c r="A586" t="s">
        <v>1248</v>
      </c>
    </row>
    <row r="587" spans="1:1" x14ac:dyDescent="0.25">
      <c r="A587" t="s">
        <v>1249</v>
      </c>
    </row>
    <row r="588" spans="1:1" x14ac:dyDescent="0.25">
      <c r="A588" t="s">
        <v>2159</v>
      </c>
    </row>
    <row r="589" spans="1:1" x14ac:dyDescent="0.25">
      <c r="A589" t="s">
        <v>1250</v>
      </c>
    </row>
    <row r="590" spans="1:1" x14ac:dyDescent="0.25">
      <c r="A590" t="s">
        <v>2165</v>
      </c>
    </row>
    <row r="591" spans="1:1" x14ac:dyDescent="0.25">
      <c r="A591" t="s">
        <v>1251</v>
      </c>
    </row>
    <row r="592" spans="1:1" x14ac:dyDescent="0.25">
      <c r="A592" t="s">
        <v>2166</v>
      </c>
    </row>
    <row r="593" spans="1:1" x14ac:dyDescent="0.25">
      <c r="A593" t="s">
        <v>1252</v>
      </c>
    </row>
    <row r="594" spans="1:1" x14ac:dyDescent="0.25">
      <c r="A594" t="s">
        <v>2168</v>
      </c>
    </row>
    <row r="595" spans="1:1" x14ac:dyDescent="0.25">
      <c r="A595" t="s">
        <v>1253</v>
      </c>
    </row>
    <row r="596" spans="1:1" x14ac:dyDescent="0.25">
      <c r="A596" t="s">
        <v>1254</v>
      </c>
    </row>
    <row r="597" spans="1:1" x14ac:dyDescent="0.25">
      <c r="A597" t="s">
        <v>2173</v>
      </c>
    </row>
    <row r="598" spans="1:1" x14ac:dyDescent="0.25">
      <c r="A598" t="s">
        <v>2567</v>
      </c>
    </row>
    <row r="599" spans="1:1" x14ac:dyDescent="0.25">
      <c r="A599" t="s">
        <v>2566</v>
      </c>
    </row>
    <row r="600" spans="1:1" x14ac:dyDescent="0.25">
      <c r="A600" t="s">
        <v>2176</v>
      </c>
    </row>
    <row r="601" spans="1:1" x14ac:dyDescent="0.25">
      <c r="A601" t="s">
        <v>2181</v>
      </c>
    </row>
    <row r="602" spans="1:1" x14ac:dyDescent="0.25">
      <c r="A602" t="s">
        <v>2187</v>
      </c>
    </row>
    <row r="603" spans="1:1" x14ac:dyDescent="0.25">
      <c r="A603" t="s">
        <v>1255</v>
      </c>
    </row>
    <row r="604" spans="1:1" x14ac:dyDescent="0.25">
      <c r="A604" t="s">
        <v>1256</v>
      </c>
    </row>
    <row r="605" spans="1:1" x14ac:dyDescent="0.25">
      <c r="A605" t="s">
        <v>1257</v>
      </c>
    </row>
    <row r="606" spans="1:1" x14ac:dyDescent="0.25">
      <c r="A606" t="s">
        <v>2192</v>
      </c>
    </row>
    <row r="607" spans="1:1" x14ac:dyDescent="0.25">
      <c r="A607" t="s">
        <v>2197</v>
      </c>
    </row>
    <row r="608" spans="1:1" x14ac:dyDescent="0.25">
      <c r="A608" t="s">
        <v>1258</v>
      </c>
    </row>
    <row r="609" spans="1:1" x14ac:dyDescent="0.25">
      <c r="A609" t="s">
        <v>1259</v>
      </c>
    </row>
    <row r="610" spans="1:1" x14ac:dyDescent="0.25">
      <c r="A610" t="s">
        <v>118</v>
      </c>
    </row>
    <row r="611" spans="1:1" x14ac:dyDescent="0.25">
      <c r="A611" t="s">
        <v>119</v>
      </c>
    </row>
    <row r="612" spans="1:1" x14ac:dyDescent="0.25">
      <c r="A612" t="s">
        <v>120</v>
      </c>
    </row>
    <row r="613" spans="1:1" x14ac:dyDescent="0.25">
      <c r="A613" t="s">
        <v>2209</v>
      </c>
    </row>
    <row r="614" spans="1:1" x14ac:dyDescent="0.25">
      <c r="A614" t="s">
        <v>121</v>
      </c>
    </row>
    <row r="615" spans="1:1" x14ac:dyDescent="0.25">
      <c r="A615" t="s">
        <v>122</v>
      </c>
    </row>
    <row r="616" spans="1:1" x14ac:dyDescent="0.25">
      <c r="A616" t="s">
        <v>123</v>
      </c>
    </row>
    <row r="617" spans="1:1" x14ac:dyDescent="0.25">
      <c r="A617" t="s">
        <v>124</v>
      </c>
    </row>
    <row r="618" spans="1:1" x14ac:dyDescent="0.25">
      <c r="A618" t="s">
        <v>2217</v>
      </c>
    </row>
    <row r="619" spans="1:1" x14ac:dyDescent="0.25">
      <c r="A619" t="s">
        <v>125</v>
      </c>
    </row>
    <row r="620" spans="1:1" x14ac:dyDescent="0.25">
      <c r="A620" t="s">
        <v>126</v>
      </c>
    </row>
    <row r="621" spans="1:1" x14ac:dyDescent="0.25">
      <c r="A621" t="s">
        <v>2233</v>
      </c>
    </row>
    <row r="622" spans="1:1" x14ac:dyDescent="0.25">
      <c r="A622" t="s">
        <v>127</v>
      </c>
    </row>
    <row r="623" spans="1:1" x14ac:dyDescent="0.25">
      <c r="A623" t="s">
        <v>1260</v>
      </c>
    </row>
    <row r="624" spans="1:1" x14ac:dyDescent="0.25">
      <c r="A624" t="s">
        <v>2236</v>
      </c>
    </row>
    <row r="625" spans="1:1" x14ac:dyDescent="0.25">
      <c r="A625" t="s">
        <v>2240</v>
      </c>
    </row>
    <row r="626" spans="1:1" x14ac:dyDescent="0.25">
      <c r="A626" t="s">
        <v>1261</v>
      </c>
    </row>
    <row r="627" spans="1:1" x14ac:dyDescent="0.25">
      <c r="A627" t="s">
        <v>1262</v>
      </c>
    </row>
    <row r="628" spans="1:1" x14ac:dyDescent="0.25">
      <c r="A628" t="s">
        <v>1263</v>
      </c>
    </row>
    <row r="629" spans="1:1" x14ac:dyDescent="0.25">
      <c r="A629" t="s">
        <v>2170</v>
      </c>
    </row>
    <row r="630" spans="1:1" x14ac:dyDescent="0.25">
      <c r="A630" t="s">
        <v>2290</v>
      </c>
    </row>
    <row r="631" spans="1:1" x14ac:dyDescent="0.25">
      <c r="A631" t="s">
        <v>2366</v>
      </c>
    </row>
    <row r="632" spans="1:1" x14ac:dyDescent="0.25">
      <c r="A632" t="s">
        <v>1264</v>
      </c>
    </row>
    <row r="633" spans="1:1" x14ac:dyDescent="0.25">
      <c r="A633" t="s">
        <v>296</v>
      </c>
    </row>
    <row r="634" spans="1:1" x14ac:dyDescent="0.25">
      <c r="A634" t="s">
        <v>2135</v>
      </c>
    </row>
    <row r="635" spans="1:1" x14ac:dyDescent="0.25">
      <c r="A635" t="s">
        <v>1265</v>
      </c>
    </row>
    <row r="636" spans="1:1" x14ac:dyDescent="0.25">
      <c r="A636" t="s">
        <v>1266</v>
      </c>
    </row>
    <row r="637" spans="1:1" x14ac:dyDescent="0.25">
      <c r="A637" t="s">
        <v>1267</v>
      </c>
    </row>
    <row r="638" spans="1:1" x14ac:dyDescent="0.25">
      <c r="A638" t="s">
        <v>2286</v>
      </c>
    </row>
    <row r="639" spans="1:1" x14ac:dyDescent="0.25">
      <c r="A639" t="s">
        <v>1268</v>
      </c>
    </row>
    <row r="640" spans="1:1" x14ac:dyDescent="0.25">
      <c r="A640" t="s">
        <v>2294</v>
      </c>
    </row>
    <row r="641" spans="1:1" x14ac:dyDescent="0.25">
      <c r="A641" t="s">
        <v>1269</v>
      </c>
    </row>
    <row r="642" spans="1:1" x14ac:dyDescent="0.25">
      <c r="A642" t="s">
        <v>1270</v>
      </c>
    </row>
    <row r="643" spans="1:1" x14ac:dyDescent="0.25">
      <c r="A643" t="s">
        <v>2410</v>
      </c>
    </row>
    <row r="644" spans="1:1" x14ac:dyDescent="0.25">
      <c r="A644" t="s">
        <v>1271</v>
      </c>
    </row>
    <row r="645" spans="1:1" x14ac:dyDescent="0.25">
      <c r="A645" t="s">
        <v>1272</v>
      </c>
    </row>
    <row r="646" spans="1:1" x14ac:dyDescent="0.25">
      <c r="A646" t="s">
        <v>129</v>
      </c>
    </row>
    <row r="647" spans="1:1" x14ac:dyDescent="0.25">
      <c r="A647" t="s">
        <v>130</v>
      </c>
    </row>
    <row r="648" spans="1:1" x14ac:dyDescent="0.25">
      <c r="A648" t="s">
        <v>131</v>
      </c>
    </row>
    <row r="649" spans="1:1" x14ac:dyDescent="0.25">
      <c r="A649" t="s">
        <v>132</v>
      </c>
    </row>
    <row r="650" spans="1:1" x14ac:dyDescent="0.25">
      <c r="A650" t="s">
        <v>133</v>
      </c>
    </row>
    <row r="651" spans="1:1" x14ac:dyDescent="0.25">
      <c r="A651" t="s">
        <v>134</v>
      </c>
    </row>
    <row r="652" spans="1:1" x14ac:dyDescent="0.25">
      <c r="A652" t="s">
        <v>303</v>
      </c>
    </row>
    <row r="653" spans="1:1" x14ac:dyDescent="0.25">
      <c r="A653" t="s">
        <v>135</v>
      </c>
    </row>
    <row r="654" spans="1:1" x14ac:dyDescent="0.25">
      <c r="A654" t="s">
        <v>2243</v>
      </c>
    </row>
    <row r="655" spans="1:1" x14ac:dyDescent="0.25">
      <c r="A655" t="s">
        <v>136</v>
      </c>
    </row>
    <row r="656" spans="1:1" x14ac:dyDescent="0.25">
      <c r="A656" t="s">
        <v>137</v>
      </c>
    </row>
    <row r="657" spans="1:1" x14ac:dyDescent="0.25">
      <c r="A657" t="s">
        <v>138</v>
      </c>
    </row>
    <row r="658" spans="1:1" x14ac:dyDescent="0.25">
      <c r="A658" t="s">
        <v>139</v>
      </c>
    </row>
    <row r="659" spans="1:1" x14ac:dyDescent="0.25">
      <c r="A659" t="s">
        <v>1273</v>
      </c>
    </row>
    <row r="660" spans="1:1" x14ac:dyDescent="0.25">
      <c r="A660" t="s">
        <v>2245</v>
      </c>
    </row>
    <row r="661" spans="1:1" x14ac:dyDescent="0.25">
      <c r="A661" t="s">
        <v>2246</v>
      </c>
    </row>
    <row r="662" spans="1:1" x14ac:dyDescent="0.25">
      <c r="A662" t="s">
        <v>1274</v>
      </c>
    </row>
    <row r="663" spans="1:1" x14ac:dyDescent="0.25">
      <c r="A663" t="s">
        <v>1275</v>
      </c>
    </row>
    <row r="664" spans="1:1" x14ac:dyDescent="0.25">
      <c r="A664" t="s">
        <v>2249</v>
      </c>
    </row>
    <row r="665" spans="1:1" x14ac:dyDescent="0.25">
      <c r="A665" t="s">
        <v>1276</v>
      </c>
    </row>
    <row r="666" spans="1:1" x14ac:dyDescent="0.25">
      <c r="A666" t="s">
        <v>1277</v>
      </c>
    </row>
    <row r="667" spans="1:1" x14ac:dyDescent="0.25">
      <c r="A667" t="s">
        <v>1278</v>
      </c>
    </row>
    <row r="668" spans="1:1" x14ac:dyDescent="0.25">
      <c r="A668" t="s">
        <v>1279</v>
      </c>
    </row>
    <row r="669" spans="1:1" x14ac:dyDescent="0.25">
      <c r="A669" t="s">
        <v>2127</v>
      </c>
    </row>
    <row r="670" spans="1:1" x14ac:dyDescent="0.25">
      <c r="A670" t="s">
        <v>2150</v>
      </c>
    </row>
    <row r="671" spans="1:1" x14ac:dyDescent="0.25">
      <c r="A671" t="s">
        <v>2157</v>
      </c>
    </row>
    <row r="672" spans="1:1" x14ac:dyDescent="0.25">
      <c r="A672" t="s">
        <v>2157</v>
      </c>
    </row>
    <row r="673" spans="1:1" x14ac:dyDescent="0.25">
      <c r="A673" t="s">
        <v>2171</v>
      </c>
    </row>
    <row r="674" spans="1:1" x14ac:dyDescent="0.25">
      <c r="A674" t="s">
        <v>2174</v>
      </c>
    </row>
    <row r="675" spans="1:1" x14ac:dyDescent="0.25">
      <c r="A675" t="s">
        <v>2174</v>
      </c>
    </row>
    <row r="676" spans="1:1" x14ac:dyDescent="0.25">
      <c r="A676" t="s">
        <v>3031</v>
      </c>
    </row>
    <row r="677" spans="1:1" x14ac:dyDescent="0.25">
      <c r="A677" t="s">
        <v>2184</v>
      </c>
    </row>
    <row r="678" spans="1:1" x14ac:dyDescent="0.25">
      <c r="A678" t="s">
        <v>2186</v>
      </c>
    </row>
    <row r="679" spans="1:1" x14ac:dyDescent="0.25">
      <c r="A679" t="s">
        <v>1280</v>
      </c>
    </row>
    <row r="680" spans="1:1" x14ac:dyDescent="0.25">
      <c r="A680" t="s">
        <v>2190</v>
      </c>
    </row>
    <row r="681" spans="1:1" x14ac:dyDescent="0.25">
      <c r="A681" t="s">
        <v>2190</v>
      </c>
    </row>
    <row r="682" spans="1:1" x14ac:dyDescent="0.25">
      <c r="A682" t="s">
        <v>1281</v>
      </c>
    </row>
    <row r="683" spans="1:1" x14ac:dyDescent="0.25">
      <c r="A683" t="s">
        <v>3032</v>
      </c>
    </row>
    <row r="684" spans="1:1" x14ac:dyDescent="0.25">
      <c r="A684" t="s">
        <v>1282</v>
      </c>
    </row>
    <row r="685" spans="1:1" x14ac:dyDescent="0.25">
      <c r="A685" t="s">
        <v>1283</v>
      </c>
    </row>
    <row r="686" spans="1:1" x14ac:dyDescent="0.25">
      <c r="A686" t="s">
        <v>141</v>
      </c>
    </row>
    <row r="687" spans="1:1" x14ac:dyDescent="0.25">
      <c r="A687" t="s">
        <v>142</v>
      </c>
    </row>
    <row r="688" spans="1:1" x14ac:dyDescent="0.25">
      <c r="A688" t="s">
        <v>2411</v>
      </c>
    </row>
    <row r="689" spans="1:1" x14ac:dyDescent="0.25">
      <c r="A689" t="s">
        <v>2411</v>
      </c>
    </row>
    <row r="690" spans="1:1" x14ac:dyDescent="0.25">
      <c r="A690" t="s">
        <v>143</v>
      </c>
    </row>
    <row r="691" spans="1:1" x14ac:dyDescent="0.25">
      <c r="A691" t="s">
        <v>2432</v>
      </c>
    </row>
    <row r="692" spans="1:1" x14ac:dyDescent="0.25">
      <c r="A692" t="s">
        <v>144</v>
      </c>
    </row>
    <row r="693" spans="1:1" x14ac:dyDescent="0.25">
      <c r="A693" t="s">
        <v>2440</v>
      </c>
    </row>
    <row r="694" spans="1:1" x14ac:dyDescent="0.25">
      <c r="A694" t="s">
        <v>145</v>
      </c>
    </row>
    <row r="695" spans="1:1" x14ac:dyDescent="0.25">
      <c r="A695" t="s">
        <v>146</v>
      </c>
    </row>
    <row r="696" spans="1:1" x14ac:dyDescent="0.25">
      <c r="A696" t="s">
        <v>2473</v>
      </c>
    </row>
    <row r="697" spans="1:1" x14ac:dyDescent="0.25">
      <c r="A697" t="s">
        <v>2473</v>
      </c>
    </row>
    <row r="698" spans="1:1" x14ac:dyDescent="0.25">
      <c r="A698" t="s">
        <v>147</v>
      </c>
    </row>
    <row r="699" spans="1:1" x14ac:dyDescent="0.25">
      <c r="A699" t="s">
        <v>148</v>
      </c>
    </row>
    <row r="700" spans="1:1" x14ac:dyDescent="0.25">
      <c r="A700" t="s">
        <v>149</v>
      </c>
    </row>
    <row r="701" spans="1:1" x14ac:dyDescent="0.25">
      <c r="A701" t="s">
        <v>2487</v>
      </c>
    </row>
    <row r="702" spans="1:1" x14ac:dyDescent="0.25">
      <c r="A702" t="s">
        <v>150</v>
      </c>
    </row>
    <row r="703" spans="1:1" x14ac:dyDescent="0.25">
      <c r="A703" t="s">
        <v>1284</v>
      </c>
    </row>
    <row r="704" spans="1:1" x14ac:dyDescent="0.25">
      <c r="A704" t="s">
        <v>1285</v>
      </c>
    </row>
    <row r="705" spans="1:1" x14ac:dyDescent="0.25">
      <c r="A705" t="s">
        <v>1286</v>
      </c>
    </row>
    <row r="706" spans="1:1" x14ac:dyDescent="0.25">
      <c r="A706" t="s">
        <v>255</v>
      </c>
    </row>
    <row r="707" spans="1:1" x14ac:dyDescent="0.25">
      <c r="A707" t="s">
        <v>256</v>
      </c>
    </row>
    <row r="708" spans="1:1" x14ac:dyDescent="0.25">
      <c r="A708" t="s">
        <v>1287</v>
      </c>
    </row>
    <row r="709" spans="1:1" x14ac:dyDescent="0.25">
      <c r="A709" t="s">
        <v>260</v>
      </c>
    </row>
    <row r="710" spans="1:1" x14ac:dyDescent="0.25">
      <c r="A710" t="s">
        <v>261</v>
      </c>
    </row>
    <row r="711" spans="1:1" x14ac:dyDescent="0.25">
      <c r="A711" t="s">
        <v>262</v>
      </c>
    </row>
    <row r="712" spans="1:1" x14ac:dyDescent="0.25">
      <c r="A712" t="s">
        <v>263</v>
      </c>
    </row>
    <row r="713" spans="1:1" x14ac:dyDescent="0.25">
      <c r="A713" t="s">
        <v>1288</v>
      </c>
    </row>
    <row r="714" spans="1:1" x14ac:dyDescent="0.25">
      <c r="A714" t="s">
        <v>268</v>
      </c>
    </row>
    <row r="715" spans="1:1" x14ac:dyDescent="0.25">
      <c r="A715" t="s">
        <v>1289</v>
      </c>
    </row>
    <row r="716" spans="1:1" x14ac:dyDescent="0.25">
      <c r="A716" t="s">
        <v>1290</v>
      </c>
    </row>
    <row r="717" spans="1:1" x14ac:dyDescent="0.25">
      <c r="A717" t="s">
        <v>1291</v>
      </c>
    </row>
    <row r="718" spans="1:1" x14ac:dyDescent="0.25">
      <c r="A718" t="s">
        <v>3033</v>
      </c>
    </row>
    <row r="719" spans="1:1" x14ac:dyDescent="0.25">
      <c r="A719" t="s">
        <v>1292</v>
      </c>
    </row>
    <row r="720" spans="1:1" x14ac:dyDescent="0.25">
      <c r="A720" t="s">
        <v>2251</v>
      </c>
    </row>
    <row r="721" spans="1:1" x14ac:dyDescent="0.25">
      <c r="A721" t="s">
        <v>1293</v>
      </c>
    </row>
    <row r="722" spans="1:1" x14ac:dyDescent="0.25">
      <c r="A722" t="s">
        <v>1294</v>
      </c>
    </row>
    <row r="723" spans="1:1" x14ac:dyDescent="0.25">
      <c r="A723" t="s">
        <v>151</v>
      </c>
    </row>
    <row r="724" spans="1:1" x14ac:dyDescent="0.25">
      <c r="A724" t="s">
        <v>152</v>
      </c>
    </row>
    <row r="725" spans="1:1" x14ac:dyDescent="0.25">
      <c r="A725" t="s">
        <v>153</v>
      </c>
    </row>
    <row r="726" spans="1:1" x14ac:dyDescent="0.25">
      <c r="A726" t="s">
        <v>154</v>
      </c>
    </row>
    <row r="727" spans="1:1" x14ac:dyDescent="0.25">
      <c r="A727" t="s">
        <v>2256</v>
      </c>
    </row>
    <row r="728" spans="1:1" x14ac:dyDescent="0.25">
      <c r="A728" t="s">
        <v>2257</v>
      </c>
    </row>
    <row r="729" spans="1:1" x14ac:dyDescent="0.25">
      <c r="A729" t="s">
        <v>2260</v>
      </c>
    </row>
    <row r="730" spans="1:1" x14ac:dyDescent="0.25">
      <c r="A730" t="s">
        <v>155</v>
      </c>
    </row>
    <row r="731" spans="1:1" x14ac:dyDescent="0.25">
      <c r="A731" t="s">
        <v>156</v>
      </c>
    </row>
    <row r="732" spans="1:1" x14ac:dyDescent="0.25">
      <c r="A732" t="s">
        <v>157</v>
      </c>
    </row>
    <row r="733" spans="1:1" x14ac:dyDescent="0.25">
      <c r="A733" t="s">
        <v>158</v>
      </c>
    </row>
    <row r="734" spans="1:1" x14ac:dyDescent="0.25">
      <c r="A734" t="s">
        <v>2193</v>
      </c>
    </row>
    <row r="735" spans="1:1" x14ac:dyDescent="0.25">
      <c r="A735" t="s">
        <v>159</v>
      </c>
    </row>
    <row r="736" spans="1:1" x14ac:dyDescent="0.25">
      <c r="A736" t="s">
        <v>2207</v>
      </c>
    </row>
    <row r="737" spans="1:1" x14ac:dyDescent="0.25">
      <c r="A737" t="s">
        <v>1295</v>
      </c>
    </row>
    <row r="738" spans="1:1" x14ac:dyDescent="0.25">
      <c r="A738" t="s">
        <v>1296</v>
      </c>
    </row>
    <row r="739" spans="1:1" x14ac:dyDescent="0.25">
      <c r="A739" t="s">
        <v>2215</v>
      </c>
    </row>
    <row r="740" spans="1:1" x14ac:dyDescent="0.25">
      <c r="A740" t="s">
        <v>1297</v>
      </c>
    </row>
    <row r="741" spans="1:1" x14ac:dyDescent="0.25">
      <c r="A741" t="s">
        <v>1298</v>
      </c>
    </row>
    <row r="742" spans="1:1" x14ac:dyDescent="0.25">
      <c r="A742" t="s">
        <v>2230</v>
      </c>
    </row>
    <row r="743" spans="1:1" x14ac:dyDescent="0.25">
      <c r="A743" t="s">
        <v>2232</v>
      </c>
    </row>
    <row r="744" spans="1:1" x14ac:dyDescent="0.25">
      <c r="A744" t="s">
        <v>1299</v>
      </c>
    </row>
    <row r="745" spans="1:1" x14ac:dyDescent="0.25">
      <c r="A745" t="s">
        <v>1300</v>
      </c>
    </row>
    <row r="746" spans="1:1" x14ac:dyDescent="0.25">
      <c r="A746" t="s">
        <v>160</v>
      </c>
    </row>
    <row r="747" spans="1:1" x14ac:dyDescent="0.25">
      <c r="A747" t="s">
        <v>161</v>
      </c>
    </row>
    <row r="748" spans="1:1" x14ac:dyDescent="0.25">
      <c r="A748" t="s">
        <v>2463</v>
      </c>
    </row>
    <row r="749" spans="1:1" x14ac:dyDescent="0.25">
      <c r="A749" t="s">
        <v>2463</v>
      </c>
    </row>
    <row r="750" spans="1:1" x14ac:dyDescent="0.25">
      <c r="A750" t="s">
        <v>162</v>
      </c>
    </row>
    <row r="751" spans="1:1" x14ac:dyDescent="0.25">
      <c r="A751" t="s">
        <v>2467</v>
      </c>
    </row>
    <row r="752" spans="1:1" x14ac:dyDescent="0.25">
      <c r="A752" t="s">
        <v>2486</v>
      </c>
    </row>
    <row r="753" spans="1:1" x14ac:dyDescent="0.25">
      <c r="A753" t="s">
        <v>163</v>
      </c>
    </row>
    <row r="754" spans="1:1" x14ac:dyDescent="0.25">
      <c r="A754" t="s">
        <v>164</v>
      </c>
    </row>
    <row r="755" spans="1:1" x14ac:dyDescent="0.25">
      <c r="A755" t="s">
        <v>165</v>
      </c>
    </row>
    <row r="756" spans="1:1" x14ac:dyDescent="0.25">
      <c r="A756" t="s">
        <v>166</v>
      </c>
    </row>
    <row r="757" spans="1:1" x14ac:dyDescent="0.25">
      <c r="A757" t="s">
        <v>2514</v>
      </c>
    </row>
    <row r="758" spans="1:1" x14ac:dyDescent="0.25">
      <c r="A758" t="s">
        <v>2515</v>
      </c>
    </row>
    <row r="759" spans="1:1" x14ac:dyDescent="0.25">
      <c r="A759" t="s">
        <v>284</v>
      </c>
    </row>
    <row r="760" spans="1:1" x14ac:dyDescent="0.25">
      <c r="A760" t="s">
        <v>292</v>
      </c>
    </row>
    <row r="761" spans="1:1" x14ac:dyDescent="0.25">
      <c r="A761" t="s">
        <v>299</v>
      </c>
    </row>
    <row r="762" spans="1:1" x14ac:dyDescent="0.25">
      <c r="A762" t="s">
        <v>304</v>
      </c>
    </row>
    <row r="763" spans="1:1" x14ac:dyDescent="0.25">
      <c r="A763" t="s">
        <v>167</v>
      </c>
    </row>
    <row r="764" spans="1:1" x14ac:dyDescent="0.25">
      <c r="A764" t="s">
        <v>1301</v>
      </c>
    </row>
    <row r="765" spans="1:1" x14ac:dyDescent="0.25">
      <c r="A765" t="s">
        <v>1302</v>
      </c>
    </row>
    <row r="766" spans="1:1" x14ac:dyDescent="0.25">
      <c r="A766" t="s">
        <v>1303</v>
      </c>
    </row>
    <row r="767" spans="1:1" x14ac:dyDescent="0.25">
      <c r="A767" t="s">
        <v>1304</v>
      </c>
    </row>
    <row r="768" spans="1:1" x14ac:dyDescent="0.25">
      <c r="A768" t="s">
        <v>2274</v>
      </c>
    </row>
    <row r="769" spans="1:1" x14ac:dyDescent="0.25">
      <c r="A769" t="s">
        <v>1305</v>
      </c>
    </row>
    <row r="770" spans="1:1" x14ac:dyDescent="0.25">
      <c r="A770" t="s">
        <v>1306</v>
      </c>
    </row>
    <row r="771" spans="1:1" x14ac:dyDescent="0.25">
      <c r="A771" t="s">
        <v>1307</v>
      </c>
    </row>
    <row r="772" spans="1:1" x14ac:dyDescent="0.25">
      <c r="A772" t="s">
        <v>2282</v>
      </c>
    </row>
    <row r="773" spans="1:1" x14ac:dyDescent="0.25">
      <c r="A773" t="s">
        <v>2285</v>
      </c>
    </row>
    <row r="774" spans="1:1" x14ac:dyDescent="0.25">
      <c r="A774" t="s">
        <v>2287</v>
      </c>
    </row>
    <row r="775" spans="1:1" x14ac:dyDescent="0.25">
      <c r="A775" t="s">
        <v>2288</v>
      </c>
    </row>
    <row r="776" spans="1:1" x14ac:dyDescent="0.25">
      <c r="A776" t="s">
        <v>168</v>
      </c>
    </row>
    <row r="777" spans="1:1" x14ac:dyDescent="0.25">
      <c r="A777" t="s">
        <v>169</v>
      </c>
    </row>
    <row r="778" spans="1:1" x14ac:dyDescent="0.25">
      <c r="A778" t="s">
        <v>2295</v>
      </c>
    </row>
    <row r="779" spans="1:1" x14ac:dyDescent="0.25">
      <c r="A779" t="s">
        <v>170</v>
      </c>
    </row>
    <row r="780" spans="1:1" x14ac:dyDescent="0.25">
      <c r="A780" t="s">
        <v>2300</v>
      </c>
    </row>
    <row r="781" spans="1:1" x14ac:dyDescent="0.25">
      <c r="A781" t="s">
        <v>171</v>
      </c>
    </row>
    <row r="782" spans="1:1" x14ac:dyDescent="0.25">
      <c r="A782" t="s">
        <v>2301</v>
      </c>
    </row>
    <row r="783" spans="1:1" x14ac:dyDescent="0.25">
      <c r="A783" t="s">
        <v>172</v>
      </c>
    </row>
    <row r="784" spans="1:1" x14ac:dyDescent="0.25">
      <c r="A784" t="s">
        <v>2303</v>
      </c>
    </row>
    <row r="785" spans="1:1" x14ac:dyDescent="0.25">
      <c r="A785" t="s">
        <v>2304</v>
      </c>
    </row>
    <row r="786" spans="1:1" x14ac:dyDescent="0.25">
      <c r="A786" t="s">
        <v>2305</v>
      </c>
    </row>
    <row r="787" spans="1:1" x14ac:dyDescent="0.25">
      <c r="A787" t="s">
        <v>2306</v>
      </c>
    </row>
    <row r="788" spans="1:1" x14ac:dyDescent="0.25">
      <c r="A788" t="s">
        <v>2309</v>
      </c>
    </row>
    <row r="789" spans="1:1" x14ac:dyDescent="0.25">
      <c r="A789" t="s">
        <v>173</v>
      </c>
    </row>
    <row r="790" spans="1:1" x14ac:dyDescent="0.25">
      <c r="A790" t="s">
        <v>174</v>
      </c>
    </row>
    <row r="791" spans="1:1" x14ac:dyDescent="0.25">
      <c r="A791" t="s">
        <v>2312</v>
      </c>
    </row>
    <row r="792" spans="1:1" x14ac:dyDescent="0.25">
      <c r="A792" t="s">
        <v>175</v>
      </c>
    </row>
    <row r="793" spans="1:1" x14ac:dyDescent="0.25">
      <c r="A793" t="s">
        <v>176</v>
      </c>
    </row>
    <row r="794" spans="1:1" x14ac:dyDescent="0.25">
      <c r="A794" t="s">
        <v>177</v>
      </c>
    </row>
    <row r="795" spans="1:1" x14ac:dyDescent="0.25">
      <c r="A795" t="s">
        <v>178</v>
      </c>
    </row>
    <row r="796" spans="1:1" x14ac:dyDescent="0.25">
      <c r="A796" t="s">
        <v>2318</v>
      </c>
    </row>
    <row r="797" spans="1:1" x14ac:dyDescent="0.25">
      <c r="A797" t="s">
        <v>2319</v>
      </c>
    </row>
    <row r="798" spans="1:1" x14ac:dyDescent="0.25">
      <c r="A798" t="s">
        <v>2323</v>
      </c>
    </row>
    <row r="799" spans="1:1" x14ac:dyDescent="0.25">
      <c r="A799" t="s">
        <v>179</v>
      </c>
    </row>
    <row r="800" spans="1:1" x14ac:dyDescent="0.25">
      <c r="A800" t="s">
        <v>180</v>
      </c>
    </row>
    <row r="801" spans="1:1" x14ac:dyDescent="0.25">
      <c r="A801" t="s">
        <v>181</v>
      </c>
    </row>
    <row r="802" spans="1:1" x14ac:dyDescent="0.25">
      <c r="A802" t="s">
        <v>2336</v>
      </c>
    </row>
    <row r="803" spans="1:1" x14ac:dyDescent="0.25">
      <c r="A803" t="s">
        <v>182</v>
      </c>
    </row>
    <row r="804" spans="1:1" x14ac:dyDescent="0.25">
      <c r="A804" t="s">
        <v>183</v>
      </c>
    </row>
    <row r="805" spans="1:1" x14ac:dyDescent="0.25">
      <c r="A805" t="s">
        <v>184</v>
      </c>
    </row>
    <row r="806" spans="1:1" x14ac:dyDescent="0.25">
      <c r="A806" t="s">
        <v>185</v>
      </c>
    </row>
    <row r="807" spans="1:1" x14ac:dyDescent="0.25">
      <c r="A807" t="s">
        <v>186</v>
      </c>
    </row>
    <row r="808" spans="1:1" x14ac:dyDescent="0.25">
      <c r="A808" t="s">
        <v>2344</v>
      </c>
    </row>
    <row r="809" spans="1:1" x14ac:dyDescent="0.25">
      <c r="A809" t="s">
        <v>2345</v>
      </c>
    </row>
    <row r="810" spans="1:1" x14ac:dyDescent="0.25">
      <c r="A810" t="s">
        <v>187</v>
      </c>
    </row>
    <row r="811" spans="1:1" x14ac:dyDescent="0.25">
      <c r="A811" t="s">
        <v>188</v>
      </c>
    </row>
    <row r="812" spans="1:1" x14ac:dyDescent="0.25">
      <c r="A812" t="s">
        <v>2357</v>
      </c>
    </row>
    <row r="813" spans="1:1" x14ac:dyDescent="0.25">
      <c r="A813" t="s">
        <v>2358</v>
      </c>
    </row>
    <row r="814" spans="1:1" x14ac:dyDescent="0.25">
      <c r="A814" t="s">
        <v>2359</v>
      </c>
    </row>
    <row r="815" spans="1:1" x14ac:dyDescent="0.25">
      <c r="A815" t="s">
        <v>2360</v>
      </c>
    </row>
    <row r="816" spans="1:1" x14ac:dyDescent="0.25">
      <c r="A816" t="s">
        <v>2361</v>
      </c>
    </row>
    <row r="817" spans="1:1" x14ac:dyDescent="0.25">
      <c r="A817" t="s">
        <v>2362</v>
      </c>
    </row>
    <row r="818" spans="1:1" x14ac:dyDescent="0.25">
      <c r="A818" t="s">
        <v>2367</v>
      </c>
    </row>
    <row r="819" spans="1:1" x14ac:dyDescent="0.25">
      <c r="A819" t="s">
        <v>2370</v>
      </c>
    </row>
    <row r="820" spans="1:1" x14ac:dyDescent="0.25">
      <c r="A820" t="s">
        <v>2371</v>
      </c>
    </row>
    <row r="821" spans="1:1" x14ac:dyDescent="0.25">
      <c r="A821" t="s">
        <v>2372</v>
      </c>
    </row>
    <row r="822" spans="1:1" x14ac:dyDescent="0.25">
      <c r="A822" t="s">
        <v>189</v>
      </c>
    </row>
    <row r="823" spans="1:1" x14ac:dyDescent="0.25">
      <c r="A823" t="s">
        <v>190</v>
      </c>
    </row>
    <row r="824" spans="1:1" x14ac:dyDescent="0.25">
      <c r="A824" t="s">
        <v>191</v>
      </c>
    </row>
    <row r="825" spans="1:1" x14ac:dyDescent="0.25">
      <c r="A825" t="s">
        <v>192</v>
      </c>
    </row>
    <row r="826" spans="1:1" x14ac:dyDescent="0.25">
      <c r="A826" t="s">
        <v>2374</v>
      </c>
    </row>
    <row r="827" spans="1:1" x14ac:dyDescent="0.25">
      <c r="A827" t="s">
        <v>2375</v>
      </c>
    </row>
    <row r="828" spans="1:1" x14ac:dyDescent="0.25">
      <c r="A828" t="s">
        <v>193</v>
      </c>
    </row>
    <row r="829" spans="1:1" x14ac:dyDescent="0.25">
      <c r="A829" t="s">
        <v>194</v>
      </c>
    </row>
    <row r="830" spans="1:1" x14ac:dyDescent="0.25">
      <c r="A830" t="s">
        <v>2380</v>
      </c>
    </row>
    <row r="831" spans="1:1" x14ac:dyDescent="0.25">
      <c r="A831" t="s">
        <v>2381</v>
      </c>
    </row>
    <row r="832" spans="1:1" x14ac:dyDescent="0.25">
      <c r="A832" t="s">
        <v>2384</v>
      </c>
    </row>
    <row r="833" spans="1:1" x14ac:dyDescent="0.25">
      <c r="A833" t="s">
        <v>195</v>
      </c>
    </row>
    <row r="834" spans="1:1" x14ac:dyDescent="0.25">
      <c r="A834" t="s">
        <v>196</v>
      </c>
    </row>
    <row r="835" spans="1:1" x14ac:dyDescent="0.25">
      <c r="A835" t="s">
        <v>2386</v>
      </c>
    </row>
    <row r="836" spans="1:1" x14ac:dyDescent="0.25">
      <c r="A836" t="s">
        <v>2387</v>
      </c>
    </row>
    <row r="837" spans="1:1" x14ac:dyDescent="0.25">
      <c r="A837" t="s">
        <v>197</v>
      </c>
    </row>
    <row r="838" spans="1:1" x14ac:dyDescent="0.25">
      <c r="A838" t="s">
        <v>1308</v>
      </c>
    </row>
    <row r="839" spans="1:1" x14ac:dyDescent="0.25">
      <c r="A839" t="s">
        <v>2392</v>
      </c>
    </row>
    <row r="840" spans="1:1" x14ac:dyDescent="0.25">
      <c r="A840" t="s">
        <v>2393</v>
      </c>
    </row>
    <row r="841" spans="1:1" x14ac:dyDescent="0.25">
      <c r="A841" t="s">
        <v>1309</v>
      </c>
    </row>
    <row r="842" spans="1:1" x14ac:dyDescent="0.25">
      <c r="A842" t="s">
        <v>1310</v>
      </c>
    </row>
    <row r="843" spans="1:1" x14ac:dyDescent="0.25">
      <c r="A843" t="s">
        <v>2396</v>
      </c>
    </row>
    <row r="844" spans="1:1" x14ac:dyDescent="0.25">
      <c r="A844" t="s">
        <v>2400</v>
      </c>
    </row>
    <row r="845" spans="1:1" x14ac:dyDescent="0.25">
      <c r="A845" t="s">
        <v>2402</v>
      </c>
    </row>
    <row r="846" spans="1:1" x14ac:dyDescent="0.25">
      <c r="A846" t="s">
        <v>1311</v>
      </c>
    </row>
    <row r="847" spans="1:1" x14ac:dyDescent="0.25">
      <c r="A847" t="s">
        <v>2403</v>
      </c>
    </row>
    <row r="848" spans="1:1" x14ac:dyDescent="0.25">
      <c r="A848" t="s">
        <v>1312</v>
      </c>
    </row>
    <row r="849" spans="1:1" x14ac:dyDescent="0.25">
      <c r="A849" s="68" t="s">
        <v>3070</v>
      </c>
    </row>
    <row r="850" spans="1:1" x14ac:dyDescent="0.25">
      <c r="A850" t="s">
        <v>2406</v>
      </c>
    </row>
    <row r="851" spans="1:1" x14ac:dyDescent="0.25">
      <c r="A851" t="s">
        <v>2407</v>
      </c>
    </row>
    <row r="852" spans="1:1" x14ac:dyDescent="0.25">
      <c r="A852" t="s">
        <v>2408</v>
      </c>
    </row>
    <row r="853" spans="1:1" x14ac:dyDescent="0.25">
      <c r="A853" t="s">
        <v>1313</v>
      </c>
    </row>
    <row r="854" spans="1:1" x14ac:dyDescent="0.25">
      <c r="A854" t="s">
        <v>2412</v>
      </c>
    </row>
    <row r="855" spans="1:1" x14ac:dyDescent="0.25">
      <c r="A855" t="s">
        <v>1314</v>
      </c>
    </row>
    <row r="856" spans="1:1" x14ac:dyDescent="0.25">
      <c r="A856" t="s">
        <v>1315</v>
      </c>
    </row>
    <row r="857" spans="1:1" x14ac:dyDescent="0.25">
      <c r="A857" t="s">
        <v>2414</v>
      </c>
    </row>
    <row r="858" spans="1:1" x14ac:dyDescent="0.25">
      <c r="A858" t="s">
        <v>2415</v>
      </c>
    </row>
    <row r="859" spans="1:1" x14ac:dyDescent="0.25">
      <c r="A859" t="s">
        <v>1316</v>
      </c>
    </row>
    <row r="860" spans="1:1" x14ac:dyDescent="0.25">
      <c r="A860" t="s">
        <v>2416</v>
      </c>
    </row>
    <row r="861" spans="1:1" x14ac:dyDescent="0.25">
      <c r="A861" t="s">
        <v>1317</v>
      </c>
    </row>
    <row r="862" spans="1:1" x14ac:dyDescent="0.25">
      <c r="A862" t="s">
        <v>2418</v>
      </c>
    </row>
    <row r="863" spans="1:1" x14ac:dyDescent="0.25">
      <c r="A863" t="s">
        <v>1318</v>
      </c>
    </row>
    <row r="864" spans="1:1" x14ac:dyDescent="0.25">
      <c r="A864" t="s">
        <v>1319</v>
      </c>
    </row>
    <row r="865" spans="1:1" x14ac:dyDescent="0.25">
      <c r="A865" t="s">
        <v>2426</v>
      </c>
    </row>
    <row r="866" spans="1:1" x14ac:dyDescent="0.25">
      <c r="A866" t="s">
        <v>2428</v>
      </c>
    </row>
    <row r="867" spans="1:1" x14ac:dyDescent="0.25">
      <c r="A867" t="s">
        <v>2431</v>
      </c>
    </row>
    <row r="868" spans="1:1" x14ac:dyDescent="0.25">
      <c r="A868" t="s">
        <v>2433</v>
      </c>
    </row>
    <row r="869" spans="1:1" x14ac:dyDescent="0.25">
      <c r="A869" t="s">
        <v>2433</v>
      </c>
    </row>
    <row r="870" spans="1:1" x14ac:dyDescent="0.25">
      <c r="A870" t="s">
        <v>1320</v>
      </c>
    </row>
    <row r="871" spans="1:1" x14ac:dyDescent="0.25">
      <c r="A871" t="s">
        <v>2434</v>
      </c>
    </row>
    <row r="872" spans="1:1" x14ac:dyDescent="0.25">
      <c r="A872" t="s">
        <v>1321</v>
      </c>
    </row>
    <row r="873" spans="1:1" x14ac:dyDescent="0.25">
      <c r="A873" t="s">
        <v>198</v>
      </c>
    </row>
    <row r="874" spans="1:1" x14ac:dyDescent="0.25">
      <c r="A874" t="s">
        <v>199</v>
      </c>
    </row>
    <row r="875" spans="1:1" x14ac:dyDescent="0.25">
      <c r="A875" t="s">
        <v>200</v>
      </c>
    </row>
    <row r="876" spans="1:1" x14ac:dyDescent="0.25">
      <c r="A876" t="s">
        <v>201</v>
      </c>
    </row>
    <row r="877" spans="1:1" x14ac:dyDescent="0.25">
      <c r="A877" t="s">
        <v>2435</v>
      </c>
    </row>
    <row r="878" spans="1:1" x14ac:dyDescent="0.25">
      <c r="A878" t="s">
        <v>202</v>
      </c>
    </row>
    <row r="879" spans="1:1" x14ac:dyDescent="0.25">
      <c r="A879" t="s">
        <v>203</v>
      </c>
    </row>
    <row r="880" spans="1:1" x14ac:dyDescent="0.25">
      <c r="A880" t="s">
        <v>204</v>
      </c>
    </row>
    <row r="881" spans="1:1" x14ac:dyDescent="0.25">
      <c r="A881" t="s">
        <v>2439</v>
      </c>
    </row>
    <row r="882" spans="1:1" x14ac:dyDescent="0.25">
      <c r="A882" t="s">
        <v>205</v>
      </c>
    </row>
    <row r="883" spans="1:1" x14ac:dyDescent="0.25">
      <c r="A883" t="s">
        <v>1322</v>
      </c>
    </row>
    <row r="884" spans="1:1" x14ac:dyDescent="0.25">
      <c r="A884" t="s">
        <v>2442</v>
      </c>
    </row>
    <row r="885" spans="1:1" x14ac:dyDescent="0.25">
      <c r="A885" t="s">
        <v>1323</v>
      </c>
    </row>
    <row r="886" spans="1:1" x14ac:dyDescent="0.25">
      <c r="A886" t="s">
        <v>1324</v>
      </c>
    </row>
    <row r="887" spans="1:1" x14ac:dyDescent="0.25">
      <c r="A887" t="s">
        <v>2443</v>
      </c>
    </row>
    <row r="888" spans="1:1" x14ac:dyDescent="0.25">
      <c r="A888" t="s">
        <v>1325</v>
      </c>
    </row>
    <row r="889" spans="1:1" x14ac:dyDescent="0.25">
      <c r="A889" t="s">
        <v>2445</v>
      </c>
    </row>
    <row r="890" spans="1:1" x14ac:dyDescent="0.25">
      <c r="A890" t="s">
        <v>2445</v>
      </c>
    </row>
    <row r="891" spans="1:1" x14ac:dyDescent="0.25">
      <c r="A891" t="s">
        <v>2446</v>
      </c>
    </row>
    <row r="892" spans="1:1" x14ac:dyDescent="0.25">
      <c r="A892" t="s">
        <v>128</v>
      </c>
    </row>
    <row r="893" spans="1:1" x14ac:dyDescent="0.25">
      <c r="A893" t="s">
        <v>1326</v>
      </c>
    </row>
    <row r="894" spans="1:1" x14ac:dyDescent="0.25">
      <c r="A894" t="s">
        <v>2451</v>
      </c>
    </row>
    <row r="895" spans="1:1" x14ac:dyDescent="0.25">
      <c r="A895" t="s">
        <v>2453</v>
      </c>
    </row>
    <row r="896" spans="1:1" x14ac:dyDescent="0.25">
      <c r="A896" t="s">
        <v>2453</v>
      </c>
    </row>
    <row r="897" spans="1:1" x14ac:dyDescent="0.25">
      <c r="A897" t="s">
        <v>1327</v>
      </c>
    </row>
    <row r="898" spans="1:1" x14ac:dyDescent="0.25">
      <c r="A898" t="s">
        <v>1328</v>
      </c>
    </row>
    <row r="899" spans="1:1" x14ac:dyDescent="0.25">
      <c r="A899" t="s">
        <v>2455</v>
      </c>
    </row>
    <row r="900" spans="1:1" x14ac:dyDescent="0.25">
      <c r="A900" t="s">
        <v>2455</v>
      </c>
    </row>
    <row r="901" spans="1:1" x14ac:dyDescent="0.25">
      <c r="A901" t="s">
        <v>1329</v>
      </c>
    </row>
    <row r="902" spans="1:1" x14ac:dyDescent="0.25">
      <c r="A902" t="s">
        <v>206</v>
      </c>
    </row>
    <row r="903" spans="1:1" x14ac:dyDescent="0.25">
      <c r="A903" t="s">
        <v>207</v>
      </c>
    </row>
    <row r="904" spans="1:1" x14ac:dyDescent="0.25">
      <c r="A904" t="s">
        <v>2461</v>
      </c>
    </row>
    <row r="905" spans="1:1" x14ac:dyDescent="0.25">
      <c r="A905" t="s">
        <v>208</v>
      </c>
    </row>
    <row r="906" spans="1:1" x14ac:dyDescent="0.25">
      <c r="A906" t="s">
        <v>209</v>
      </c>
    </row>
    <row r="907" spans="1:1" x14ac:dyDescent="0.25">
      <c r="A907" t="s">
        <v>210</v>
      </c>
    </row>
    <row r="908" spans="1:1" x14ac:dyDescent="0.25">
      <c r="A908" t="s">
        <v>211</v>
      </c>
    </row>
    <row r="909" spans="1:1" x14ac:dyDescent="0.25">
      <c r="A909" t="s">
        <v>2464</v>
      </c>
    </row>
    <row r="910" spans="1:1" x14ac:dyDescent="0.25">
      <c r="A910" t="s">
        <v>212</v>
      </c>
    </row>
    <row r="911" spans="1:1" x14ac:dyDescent="0.25">
      <c r="A911" t="s">
        <v>2465</v>
      </c>
    </row>
    <row r="912" spans="1:1" x14ac:dyDescent="0.25">
      <c r="A912" t="s">
        <v>213</v>
      </c>
    </row>
    <row r="913" spans="1:1" x14ac:dyDescent="0.25">
      <c r="A913" t="s">
        <v>2476</v>
      </c>
    </row>
    <row r="914" spans="1:1" x14ac:dyDescent="0.25">
      <c r="A914" t="s">
        <v>214</v>
      </c>
    </row>
    <row r="915" spans="1:1" x14ac:dyDescent="0.25">
      <c r="A915" t="s">
        <v>2477</v>
      </c>
    </row>
    <row r="916" spans="1:1" x14ac:dyDescent="0.25">
      <c r="A916" t="s">
        <v>215</v>
      </c>
    </row>
    <row r="917" spans="1:1" x14ac:dyDescent="0.25">
      <c r="A917" t="s">
        <v>216</v>
      </c>
    </row>
    <row r="918" spans="1:1" x14ac:dyDescent="0.25">
      <c r="A918" t="s">
        <v>217</v>
      </c>
    </row>
    <row r="919" spans="1:1" x14ac:dyDescent="0.25">
      <c r="A919" t="s">
        <v>2483</v>
      </c>
    </row>
    <row r="920" spans="1:1" x14ac:dyDescent="0.25">
      <c r="A920" t="s">
        <v>1330</v>
      </c>
    </row>
    <row r="921" spans="1:1" x14ac:dyDescent="0.25">
      <c r="A921" t="s">
        <v>2488</v>
      </c>
    </row>
    <row r="922" spans="1:1" x14ac:dyDescent="0.25">
      <c r="A922" t="s">
        <v>2493</v>
      </c>
    </row>
    <row r="923" spans="1:1" x14ac:dyDescent="0.25">
      <c r="A923" t="s">
        <v>1331</v>
      </c>
    </row>
    <row r="924" spans="1:1" x14ac:dyDescent="0.25">
      <c r="A924" t="s">
        <v>1332</v>
      </c>
    </row>
    <row r="925" spans="1:1" x14ac:dyDescent="0.25">
      <c r="A925" t="s">
        <v>1333</v>
      </c>
    </row>
    <row r="926" spans="1:1" x14ac:dyDescent="0.25">
      <c r="A926" t="s">
        <v>1334</v>
      </c>
    </row>
    <row r="927" spans="1:1" x14ac:dyDescent="0.25">
      <c r="A927" t="s">
        <v>1335</v>
      </c>
    </row>
    <row r="928" spans="1:1" x14ac:dyDescent="0.25">
      <c r="A928" t="s">
        <v>1336</v>
      </c>
    </row>
    <row r="929" spans="1:1" x14ac:dyDescent="0.25">
      <c r="A929" t="s">
        <v>2502</v>
      </c>
    </row>
    <row r="930" spans="1:1" x14ac:dyDescent="0.25">
      <c r="A930" t="s">
        <v>1337</v>
      </c>
    </row>
    <row r="931" spans="1:1" x14ac:dyDescent="0.25">
      <c r="A931" t="s">
        <v>1338</v>
      </c>
    </row>
    <row r="932" spans="1:1" x14ac:dyDescent="0.25">
      <c r="A932" t="s">
        <v>2511</v>
      </c>
    </row>
    <row r="933" spans="1:1" x14ac:dyDescent="0.25">
      <c r="A933" t="s">
        <v>1339</v>
      </c>
    </row>
    <row r="934" spans="1:1" x14ac:dyDescent="0.25">
      <c r="A934" t="s">
        <v>218</v>
      </c>
    </row>
    <row r="935" spans="1:1" x14ac:dyDescent="0.25">
      <c r="A935" t="s">
        <v>2518</v>
      </c>
    </row>
    <row r="936" spans="1:1" x14ac:dyDescent="0.25">
      <c r="A936" t="s">
        <v>2520</v>
      </c>
    </row>
    <row r="937" spans="1:1" x14ac:dyDescent="0.25">
      <c r="A937" t="s">
        <v>2520</v>
      </c>
    </row>
    <row r="938" spans="1:1" x14ac:dyDescent="0.25">
      <c r="A938" t="s">
        <v>219</v>
      </c>
    </row>
    <row r="939" spans="1:1" x14ac:dyDescent="0.25">
      <c r="A939" t="s">
        <v>220</v>
      </c>
    </row>
    <row r="940" spans="1:1" x14ac:dyDescent="0.25">
      <c r="A940" t="s">
        <v>221</v>
      </c>
    </row>
    <row r="941" spans="1:1" x14ac:dyDescent="0.25">
      <c r="A941" t="s">
        <v>2526</v>
      </c>
    </row>
    <row r="942" spans="1:1" x14ac:dyDescent="0.25">
      <c r="A942" t="s">
        <v>222</v>
      </c>
    </row>
    <row r="943" spans="1:1" x14ac:dyDescent="0.25">
      <c r="A943" t="s">
        <v>223</v>
      </c>
    </row>
    <row r="944" spans="1:1" x14ac:dyDescent="0.25">
      <c r="A944" t="s">
        <v>2527</v>
      </c>
    </row>
    <row r="945" spans="1:1" x14ac:dyDescent="0.25">
      <c r="A945" t="s">
        <v>224</v>
      </c>
    </row>
    <row r="946" spans="1:1" x14ac:dyDescent="0.25">
      <c r="A946" t="s">
        <v>236</v>
      </c>
    </row>
    <row r="947" spans="1:1" x14ac:dyDescent="0.25">
      <c r="A947" t="s">
        <v>225</v>
      </c>
    </row>
    <row r="948" spans="1:1" x14ac:dyDescent="0.25">
      <c r="A948" t="s">
        <v>226</v>
      </c>
    </row>
    <row r="949" spans="1:1" x14ac:dyDescent="0.25">
      <c r="A949" t="s">
        <v>227</v>
      </c>
    </row>
    <row r="950" spans="1:1" x14ac:dyDescent="0.25">
      <c r="A950" t="s">
        <v>1340</v>
      </c>
    </row>
    <row r="951" spans="1:1" x14ac:dyDescent="0.25">
      <c r="A951" t="s">
        <v>1341</v>
      </c>
    </row>
    <row r="952" spans="1:1" x14ac:dyDescent="0.25">
      <c r="A952" t="s">
        <v>1342</v>
      </c>
    </row>
    <row r="953" spans="1:1" x14ac:dyDescent="0.25">
      <c r="A953" t="s">
        <v>1343</v>
      </c>
    </row>
    <row r="954" spans="1:1" x14ac:dyDescent="0.25">
      <c r="A954" t="s">
        <v>1344</v>
      </c>
    </row>
    <row r="955" spans="1:1" x14ac:dyDescent="0.25">
      <c r="A955" t="s">
        <v>1345</v>
      </c>
    </row>
    <row r="956" spans="1:1" x14ac:dyDescent="0.25">
      <c r="A956" t="s">
        <v>1346</v>
      </c>
    </row>
    <row r="957" spans="1:1" x14ac:dyDescent="0.25">
      <c r="A957" t="s">
        <v>1347</v>
      </c>
    </row>
    <row r="958" spans="1:1" x14ac:dyDescent="0.25">
      <c r="A958" t="s">
        <v>1348</v>
      </c>
    </row>
    <row r="959" spans="1:1" x14ac:dyDescent="0.25">
      <c r="A959" t="s">
        <v>243</v>
      </c>
    </row>
    <row r="960" spans="1:1" x14ac:dyDescent="0.25">
      <c r="A960" t="s">
        <v>228</v>
      </c>
    </row>
    <row r="961" spans="1:1" x14ac:dyDescent="0.25">
      <c r="A961" t="s">
        <v>246</v>
      </c>
    </row>
    <row r="962" spans="1:1" x14ac:dyDescent="0.25">
      <c r="A962" t="s">
        <v>246</v>
      </c>
    </row>
    <row r="963" spans="1:1" x14ac:dyDescent="0.25">
      <c r="A963" t="s">
        <v>247</v>
      </c>
    </row>
    <row r="964" spans="1:1" x14ac:dyDescent="0.25">
      <c r="A964" t="s">
        <v>247</v>
      </c>
    </row>
    <row r="965" spans="1:1" x14ac:dyDescent="0.25">
      <c r="A965" t="s">
        <v>229</v>
      </c>
    </row>
    <row r="966" spans="1:1" x14ac:dyDescent="0.25">
      <c r="A966" t="s">
        <v>248</v>
      </c>
    </row>
    <row r="967" spans="1:1" x14ac:dyDescent="0.25">
      <c r="A967" t="s">
        <v>249</v>
      </c>
    </row>
    <row r="968" spans="1:1" x14ac:dyDescent="0.25">
      <c r="A968" t="s">
        <v>250</v>
      </c>
    </row>
    <row r="969" spans="1:1" x14ac:dyDescent="0.25">
      <c r="A969" t="s">
        <v>230</v>
      </c>
    </row>
    <row r="970" spans="1:1" x14ac:dyDescent="0.25">
      <c r="A970" t="s">
        <v>231</v>
      </c>
    </row>
    <row r="971" spans="1:1" x14ac:dyDescent="0.25">
      <c r="A971" t="s">
        <v>254</v>
      </c>
    </row>
    <row r="972" spans="1:1" x14ac:dyDescent="0.25">
      <c r="A972" t="s">
        <v>232</v>
      </c>
    </row>
    <row r="973" spans="1:1" x14ac:dyDescent="0.25">
      <c r="A973" t="s">
        <v>233</v>
      </c>
    </row>
    <row r="974" spans="1:1" x14ac:dyDescent="0.25">
      <c r="A974" t="s">
        <v>234</v>
      </c>
    </row>
    <row r="975" spans="1:1" x14ac:dyDescent="0.25">
      <c r="A975" t="s">
        <v>264</v>
      </c>
    </row>
    <row r="976" spans="1:1" x14ac:dyDescent="0.25">
      <c r="A976" t="s">
        <v>267</v>
      </c>
    </row>
    <row r="977" spans="1:1" x14ac:dyDescent="0.25">
      <c r="A977" t="s">
        <v>235</v>
      </c>
    </row>
    <row r="978" spans="1:1" x14ac:dyDescent="0.25">
      <c r="A978" t="s">
        <v>270</v>
      </c>
    </row>
    <row r="979" spans="1:1" x14ac:dyDescent="0.25">
      <c r="A979" t="s">
        <v>274</v>
      </c>
    </row>
    <row r="980" spans="1:1" x14ac:dyDescent="0.25">
      <c r="A980" t="s">
        <v>276</v>
      </c>
    </row>
    <row r="981" spans="1:1" x14ac:dyDescent="0.25">
      <c r="A981" t="s">
        <v>278</v>
      </c>
    </row>
    <row r="982" spans="1:1" x14ac:dyDescent="0.25">
      <c r="A982" t="s">
        <v>1349</v>
      </c>
    </row>
    <row r="983" spans="1:1" x14ac:dyDescent="0.25">
      <c r="A983" t="s">
        <v>291</v>
      </c>
    </row>
    <row r="984" spans="1:1" x14ac:dyDescent="0.25">
      <c r="A984" t="s">
        <v>295</v>
      </c>
    </row>
    <row r="985" spans="1:1" x14ac:dyDescent="0.25">
      <c r="A985" t="s">
        <v>1350</v>
      </c>
    </row>
    <row r="986" spans="1:1" x14ac:dyDescent="0.25">
      <c r="A986" t="s">
        <v>1351</v>
      </c>
    </row>
    <row r="987" spans="1:1" x14ac:dyDescent="0.25">
      <c r="A987" t="s">
        <v>309</v>
      </c>
    </row>
    <row r="988" spans="1:1" x14ac:dyDescent="0.25">
      <c r="A988" t="s">
        <v>310</v>
      </c>
    </row>
    <row r="989" spans="1:1" x14ac:dyDescent="0.25">
      <c r="A989" t="s">
        <v>311</v>
      </c>
    </row>
    <row r="990" spans="1:1" x14ac:dyDescent="0.25">
      <c r="A990" t="s">
        <v>312</v>
      </c>
    </row>
    <row r="991" spans="1:1" x14ac:dyDescent="0.25">
      <c r="A991" t="s">
        <v>313</v>
      </c>
    </row>
    <row r="992" spans="1:1" x14ac:dyDescent="0.25">
      <c r="A992" t="s">
        <v>314</v>
      </c>
    </row>
    <row r="993" spans="1:1" x14ac:dyDescent="0.25">
      <c r="A993" t="s">
        <v>1352</v>
      </c>
    </row>
    <row r="994" spans="1:1" x14ac:dyDescent="0.25">
      <c r="A994" t="s">
        <v>1353</v>
      </c>
    </row>
    <row r="995" spans="1:1" x14ac:dyDescent="0.25">
      <c r="A995" t="s">
        <v>316</v>
      </c>
    </row>
    <row r="996" spans="1:1" x14ac:dyDescent="0.25">
      <c r="A996" t="s">
        <v>1354</v>
      </c>
    </row>
    <row r="997" spans="1:1" x14ac:dyDescent="0.25">
      <c r="A997" s="43" t="s">
        <v>2206</v>
      </c>
    </row>
    <row r="998" spans="1:1" x14ac:dyDescent="0.25">
      <c r="A998" t="s">
        <v>2098</v>
      </c>
    </row>
    <row r="999" spans="1:1" x14ac:dyDescent="0.25">
      <c r="A999" t="s">
        <v>1355</v>
      </c>
    </row>
    <row r="1000" spans="1:1" x14ac:dyDescent="0.25">
      <c r="A1000" t="s">
        <v>1356</v>
      </c>
    </row>
  </sheetData>
  <sortState xmlns:xlrd2="http://schemas.microsoft.com/office/spreadsheetml/2017/richdata2" ref="A1:A999">
    <sortCondition ref="A963"/>
  </sortState>
  <customSheetViews>
    <customSheetView guid="{365A4B53-0F9B-4E16-872D-B4CE741B671E}" topLeftCell="A868">
      <selection activeCell="B882" sqref="B882"/>
      <pageMargins left="0.78740157499999996" right="0.78740157499999996" top="0.984251969" bottom="0.984251969" header="0.4921259845" footer="0.4921259845"/>
      <headerFooter alignWithMargins="0"/>
    </customSheetView>
  </customSheetViews>
  <phoneticPr fontId="5" type="noConversion"/>
  <pageMargins left="0.78740157499999996" right="0.78740157499999996" top="0.984251969" bottom="0.984251969" header="0.4921259845" footer="0.4921259845"/>
  <pageSetup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Feuil34"/>
  <dimension ref="A1:B1282"/>
  <sheetViews>
    <sheetView workbookViewId="0">
      <selection activeCell="B1" sqref="B1"/>
    </sheetView>
  </sheetViews>
  <sheetFormatPr baseColWidth="10" defaultColWidth="11.453125" defaultRowHeight="12.5" x14ac:dyDescent="0.25"/>
  <cols>
    <col min="1" max="1" width="11.453125" style="23"/>
    <col min="2" max="2" width="31.90625" style="7" bestFit="1" customWidth="1"/>
    <col min="3" max="16384" width="11.453125" style="7"/>
  </cols>
  <sheetData>
    <row r="1" spans="1:2" x14ac:dyDescent="0.25">
      <c r="A1" s="22" t="s">
        <v>1026</v>
      </c>
      <c r="B1" s="11" t="s">
        <v>1154</v>
      </c>
    </row>
    <row r="2" spans="1:2" x14ac:dyDescent="0.25">
      <c r="A2" s="18" t="s">
        <v>1480</v>
      </c>
      <c r="B2" t="s">
        <v>1481</v>
      </c>
    </row>
    <row r="3" spans="1:2" x14ac:dyDescent="0.25">
      <c r="A3" s="17" t="s">
        <v>1482</v>
      </c>
      <c r="B3" t="s">
        <v>1483</v>
      </c>
    </row>
    <row r="4" spans="1:2" x14ac:dyDescent="0.25">
      <c r="A4" s="17" t="s">
        <v>1484</v>
      </c>
      <c r="B4" t="s">
        <v>1485</v>
      </c>
    </row>
    <row r="5" spans="1:2" x14ac:dyDescent="0.25">
      <c r="A5" s="17" t="s">
        <v>1486</v>
      </c>
      <c r="B5" t="s">
        <v>1487</v>
      </c>
    </row>
    <row r="6" spans="1:2" x14ac:dyDescent="0.25">
      <c r="A6" s="17" t="s">
        <v>1488</v>
      </c>
      <c r="B6" t="s">
        <v>1489</v>
      </c>
    </row>
    <row r="7" spans="1:2" x14ac:dyDescent="0.25">
      <c r="A7" s="17" t="s">
        <v>1490</v>
      </c>
      <c r="B7" t="s">
        <v>1491</v>
      </c>
    </row>
    <row r="8" spans="1:2" x14ac:dyDescent="0.25">
      <c r="A8" s="17" t="s">
        <v>1492</v>
      </c>
      <c r="B8" t="s">
        <v>1493</v>
      </c>
    </row>
    <row r="9" spans="1:2" x14ac:dyDescent="0.25">
      <c r="A9" s="17" t="s">
        <v>1494</v>
      </c>
      <c r="B9" t="s">
        <v>1495</v>
      </c>
    </row>
    <row r="10" spans="1:2" x14ac:dyDescent="0.25">
      <c r="A10" s="17" t="s">
        <v>1496</v>
      </c>
      <c r="B10" t="s">
        <v>1497</v>
      </c>
    </row>
    <row r="11" spans="1:2" x14ac:dyDescent="0.25">
      <c r="A11" s="17" t="s">
        <v>1498</v>
      </c>
      <c r="B11" t="s">
        <v>1499</v>
      </c>
    </row>
    <row r="12" spans="1:2" x14ac:dyDescent="0.25">
      <c r="A12" s="17" t="s">
        <v>1500</v>
      </c>
      <c r="B12" t="s">
        <v>1501</v>
      </c>
    </row>
    <row r="13" spans="1:2" x14ac:dyDescent="0.25">
      <c r="A13" s="17" t="s">
        <v>1502</v>
      </c>
      <c r="B13" t="s">
        <v>1503</v>
      </c>
    </row>
    <row r="14" spans="1:2" x14ac:dyDescent="0.25">
      <c r="A14" s="17" t="s">
        <v>1504</v>
      </c>
      <c r="B14" t="s">
        <v>1505</v>
      </c>
    </row>
    <row r="15" spans="1:2" x14ac:dyDescent="0.25">
      <c r="A15" s="17" t="s">
        <v>1506</v>
      </c>
      <c r="B15" t="s">
        <v>1507</v>
      </c>
    </row>
    <row r="16" spans="1:2" x14ac:dyDescent="0.25">
      <c r="A16" s="17" t="s">
        <v>1508</v>
      </c>
      <c r="B16" t="s">
        <v>1509</v>
      </c>
    </row>
    <row r="17" spans="1:2" x14ac:dyDescent="0.25">
      <c r="A17" s="17" t="s">
        <v>1510</v>
      </c>
      <c r="B17" t="s">
        <v>1511</v>
      </c>
    </row>
    <row r="18" spans="1:2" x14ac:dyDescent="0.25">
      <c r="A18" s="17" t="s">
        <v>1512</v>
      </c>
      <c r="B18" t="s">
        <v>1513</v>
      </c>
    </row>
    <row r="19" spans="1:2" x14ac:dyDescent="0.25">
      <c r="A19" s="17" t="s">
        <v>1514</v>
      </c>
      <c r="B19" t="s">
        <v>1515</v>
      </c>
    </row>
    <row r="20" spans="1:2" x14ac:dyDescent="0.25">
      <c r="A20" s="17" t="s">
        <v>1516</v>
      </c>
      <c r="B20" t="s">
        <v>1517</v>
      </c>
    </row>
    <row r="21" spans="1:2" x14ac:dyDescent="0.25">
      <c r="A21" s="17" t="s">
        <v>1518</v>
      </c>
      <c r="B21" t="s">
        <v>1519</v>
      </c>
    </row>
    <row r="22" spans="1:2" x14ac:dyDescent="0.25">
      <c r="A22" s="17" t="s">
        <v>1520</v>
      </c>
      <c r="B22" t="s">
        <v>1521</v>
      </c>
    </row>
    <row r="23" spans="1:2" x14ac:dyDescent="0.25">
      <c r="A23" s="17" t="s">
        <v>1522</v>
      </c>
      <c r="B23" t="s">
        <v>1523</v>
      </c>
    </row>
    <row r="24" spans="1:2" x14ac:dyDescent="0.25">
      <c r="A24" s="17" t="s">
        <v>1524</v>
      </c>
      <c r="B24" t="s">
        <v>1525</v>
      </c>
    </row>
    <row r="25" spans="1:2" x14ac:dyDescent="0.25">
      <c r="A25" s="17" t="s">
        <v>1526</v>
      </c>
      <c r="B25" t="s">
        <v>1527</v>
      </c>
    </row>
    <row r="26" spans="1:2" x14ac:dyDescent="0.25">
      <c r="A26" s="17" t="s">
        <v>1528</v>
      </c>
      <c r="B26" t="s">
        <v>1529</v>
      </c>
    </row>
    <row r="27" spans="1:2" x14ac:dyDescent="0.25">
      <c r="A27" s="17" t="s">
        <v>1530</v>
      </c>
      <c r="B27" t="s">
        <v>1531</v>
      </c>
    </row>
    <row r="28" spans="1:2" x14ac:dyDescent="0.25">
      <c r="A28" s="17" t="s">
        <v>1532</v>
      </c>
      <c r="B28" t="s">
        <v>1533</v>
      </c>
    </row>
    <row r="29" spans="1:2" x14ac:dyDescent="0.25">
      <c r="A29" s="17" t="s">
        <v>1534</v>
      </c>
      <c r="B29" t="s">
        <v>1535</v>
      </c>
    </row>
    <row r="30" spans="1:2" x14ac:dyDescent="0.25">
      <c r="A30" s="17" t="s">
        <v>1536</v>
      </c>
      <c r="B30" t="s">
        <v>1537</v>
      </c>
    </row>
    <row r="31" spans="1:2" x14ac:dyDescent="0.25">
      <c r="A31" s="17" t="s">
        <v>1538</v>
      </c>
      <c r="B31" t="s">
        <v>1539</v>
      </c>
    </row>
    <row r="32" spans="1:2" x14ac:dyDescent="0.25">
      <c r="A32" s="17" t="s">
        <v>1540</v>
      </c>
      <c r="B32" t="s">
        <v>1541</v>
      </c>
    </row>
    <row r="33" spans="1:2" x14ac:dyDescent="0.25">
      <c r="A33" s="17" t="s">
        <v>1542</v>
      </c>
      <c r="B33" t="s">
        <v>1543</v>
      </c>
    </row>
    <row r="34" spans="1:2" x14ac:dyDescent="0.25">
      <c r="A34" s="17" t="s">
        <v>1544</v>
      </c>
      <c r="B34" t="s">
        <v>1545</v>
      </c>
    </row>
    <row r="35" spans="1:2" x14ac:dyDescent="0.25">
      <c r="A35" s="17" t="s">
        <v>1546</v>
      </c>
      <c r="B35" t="s">
        <v>1547</v>
      </c>
    </row>
    <row r="36" spans="1:2" x14ac:dyDescent="0.25">
      <c r="A36" s="17" t="s">
        <v>1548</v>
      </c>
      <c r="B36" t="s">
        <v>1549</v>
      </c>
    </row>
    <row r="37" spans="1:2" x14ac:dyDescent="0.25">
      <c r="A37" s="17" t="s">
        <v>1550</v>
      </c>
      <c r="B37" t="s">
        <v>1551</v>
      </c>
    </row>
    <row r="38" spans="1:2" x14ac:dyDescent="0.25">
      <c r="A38" s="17" t="s">
        <v>1552</v>
      </c>
      <c r="B38" t="s">
        <v>1553</v>
      </c>
    </row>
    <row r="39" spans="1:2" x14ac:dyDescent="0.25">
      <c r="A39" s="17" t="s">
        <v>1554</v>
      </c>
      <c r="B39" t="s">
        <v>1555</v>
      </c>
    </row>
    <row r="40" spans="1:2" x14ac:dyDescent="0.25">
      <c r="A40" s="17" t="s">
        <v>1556</v>
      </c>
      <c r="B40" t="s">
        <v>1557</v>
      </c>
    </row>
    <row r="41" spans="1:2" x14ac:dyDescent="0.25">
      <c r="A41" s="17" t="s">
        <v>1558</v>
      </c>
      <c r="B41" t="s">
        <v>1559</v>
      </c>
    </row>
    <row r="42" spans="1:2" x14ac:dyDescent="0.25">
      <c r="A42" s="17" t="s">
        <v>1560</v>
      </c>
      <c r="B42" t="s">
        <v>1561</v>
      </c>
    </row>
    <row r="43" spans="1:2" x14ac:dyDescent="0.25">
      <c r="A43" s="17" t="s">
        <v>1562</v>
      </c>
      <c r="B43" t="s">
        <v>1563</v>
      </c>
    </row>
    <row r="44" spans="1:2" x14ac:dyDescent="0.25">
      <c r="A44" s="17" t="s">
        <v>1564</v>
      </c>
      <c r="B44" t="s">
        <v>1565</v>
      </c>
    </row>
    <row r="45" spans="1:2" x14ac:dyDescent="0.25">
      <c r="A45" s="17" t="s">
        <v>1566</v>
      </c>
      <c r="B45" t="s">
        <v>1567</v>
      </c>
    </row>
    <row r="46" spans="1:2" x14ac:dyDescent="0.25">
      <c r="A46" s="17" t="s">
        <v>1568</v>
      </c>
      <c r="B46" t="s">
        <v>1569</v>
      </c>
    </row>
    <row r="47" spans="1:2" x14ac:dyDescent="0.25">
      <c r="A47" s="17" t="s">
        <v>1570</v>
      </c>
      <c r="B47" t="s">
        <v>1571</v>
      </c>
    </row>
    <row r="48" spans="1:2" x14ac:dyDescent="0.25">
      <c r="A48" s="17" t="s">
        <v>1572</v>
      </c>
      <c r="B48" t="s">
        <v>1573</v>
      </c>
    </row>
    <row r="49" spans="1:2" x14ac:dyDescent="0.25">
      <c r="A49" s="17" t="s">
        <v>1574</v>
      </c>
      <c r="B49" t="s">
        <v>1575</v>
      </c>
    </row>
    <row r="50" spans="1:2" x14ac:dyDescent="0.25">
      <c r="A50" s="17" t="s">
        <v>1576</v>
      </c>
      <c r="B50" t="s">
        <v>1577</v>
      </c>
    </row>
    <row r="51" spans="1:2" x14ac:dyDescent="0.25">
      <c r="A51" s="17" t="s">
        <v>1578</v>
      </c>
      <c r="B51" t="s">
        <v>1579</v>
      </c>
    </row>
    <row r="52" spans="1:2" x14ac:dyDescent="0.25">
      <c r="A52" s="17" t="s">
        <v>1580</v>
      </c>
      <c r="B52" t="s">
        <v>1581</v>
      </c>
    </row>
    <row r="53" spans="1:2" x14ac:dyDescent="0.25">
      <c r="A53" s="17" t="s">
        <v>1582</v>
      </c>
      <c r="B53" t="s">
        <v>1583</v>
      </c>
    </row>
    <row r="54" spans="1:2" x14ac:dyDescent="0.25">
      <c r="A54" s="17" t="s">
        <v>1584</v>
      </c>
      <c r="B54" t="s">
        <v>1585</v>
      </c>
    </row>
    <row r="55" spans="1:2" x14ac:dyDescent="0.25">
      <c r="A55" s="17" t="s">
        <v>1586</v>
      </c>
      <c r="B55" t="s">
        <v>1587</v>
      </c>
    </row>
    <row r="56" spans="1:2" x14ac:dyDescent="0.25">
      <c r="A56" s="17" t="s">
        <v>1588</v>
      </c>
      <c r="B56" t="s">
        <v>1589</v>
      </c>
    </row>
    <row r="57" spans="1:2" x14ac:dyDescent="0.25">
      <c r="A57" s="17" t="s">
        <v>1590</v>
      </c>
      <c r="B57" t="s">
        <v>1591</v>
      </c>
    </row>
    <row r="58" spans="1:2" x14ac:dyDescent="0.25">
      <c r="A58" s="17" t="s">
        <v>1592</v>
      </c>
      <c r="B58" t="s">
        <v>1593</v>
      </c>
    </row>
    <row r="59" spans="1:2" x14ac:dyDescent="0.25">
      <c r="A59" s="17" t="s">
        <v>1594</v>
      </c>
      <c r="B59" t="s">
        <v>1595</v>
      </c>
    </row>
    <row r="60" spans="1:2" x14ac:dyDescent="0.25">
      <c r="A60" s="17" t="s">
        <v>1596</v>
      </c>
      <c r="B60" t="s">
        <v>1597</v>
      </c>
    </row>
    <row r="61" spans="1:2" x14ac:dyDescent="0.25">
      <c r="A61" s="17" t="s">
        <v>1598</v>
      </c>
      <c r="B61" t="s">
        <v>1599</v>
      </c>
    </row>
    <row r="62" spans="1:2" x14ac:dyDescent="0.25">
      <c r="A62" s="17" t="s">
        <v>1600</v>
      </c>
      <c r="B62" t="s">
        <v>1601</v>
      </c>
    </row>
    <row r="63" spans="1:2" x14ac:dyDescent="0.25">
      <c r="A63" s="17" t="s">
        <v>1602</v>
      </c>
      <c r="B63" t="s">
        <v>1603</v>
      </c>
    </row>
    <row r="64" spans="1:2" x14ac:dyDescent="0.25">
      <c r="A64" s="17" t="s">
        <v>1604</v>
      </c>
      <c r="B64" t="s">
        <v>1605</v>
      </c>
    </row>
    <row r="65" spans="1:2" x14ac:dyDescent="0.25">
      <c r="A65" s="17" t="s">
        <v>1606</v>
      </c>
      <c r="B65" t="s">
        <v>1607</v>
      </c>
    </row>
    <row r="66" spans="1:2" x14ac:dyDescent="0.25">
      <c r="A66" s="17" t="s">
        <v>1608</v>
      </c>
      <c r="B66" t="s">
        <v>1609</v>
      </c>
    </row>
    <row r="67" spans="1:2" x14ac:dyDescent="0.25">
      <c r="A67" s="17" t="s">
        <v>1610</v>
      </c>
      <c r="B67" t="s">
        <v>1611</v>
      </c>
    </row>
    <row r="68" spans="1:2" x14ac:dyDescent="0.25">
      <c r="A68" s="17" t="s">
        <v>1612</v>
      </c>
      <c r="B68" t="s">
        <v>1613</v>
      </c>
    </row>
    <row r="69" spans="1:2" x14ac:dyDescent="0.25">
      <c r="A69" s="17" t="s">
        <v>1614</v>
      </c>
      <c r="B69" t="s">
        <v>1615</v>
      </c>
    </row>
    <row r="70" spans="1:2" x14ac:dyDescent="0.25">
      <c r="A70" s="17" t="s">
        <v>1616</v>
      </c>
      <c r="B70" t="s">
        <v>1617</v>
      </c>
    </row>
    <row r="71" spans="1:2" x14ac:dyDescent="0.25">
      <c r="A71" s="17" t="s">
        <v>1618</v>
      </c>
      <c r="B71" t="s">
        <v>1619</v>
      </c>
    </row>
    <row r="72" spans="1:2" x14ac:dyDescent="0.25">
      <c r="A72" s="17" t="s">
        <v>1620</v>
      </c>
      <c r="B72" t="s">
        <v>1621</v>
      </c>
    </row>
    <row r="73" spans="1:2" x14ac:dyDescent="0.25">
      <c r="A73" s="17" t="s">
        <v>1622</v>
      </c>
      <c r="B73" t="s">
        <v>1380</v>
      </c>
    </row>
    <row r="74" spans="1:2" x14ac:dyDescent="0.25">
      <c r="A74" s="17" t="s">
        <v>1623</v>
      </c>
      <c r="B74" t="s">
        <v>1624</v>
      </c>
    </row>
    <row r="75" spans="1:2" x14ac:dyDescent="0.25">
      <c r="A75" s="17" t="s">
        <v>1625</v>
      </c>
      <c r="B75" t="s">
        <v>1626</v>
      </c>
    </row>
    <row r="76" spans="1:2" x14ac:dyDescent="0.25">
      <c r="A76" s="17" t="s">
        <v>1627</v>
      </c>
      <c r="B76" t="s">
        <v>1628</v>
      </c>
    </row>
    <row r="77" spans="1:2" x14ac:dyDescent="0.25">
      <c r="A77" s="17" t="s">
        <v>1629</v>
      </c>
      <c r="B77" t="s">
        <v>1630</v>
      </c>
    </row>
    <row r="78" spans="1:2" x14ac:dyDescent="0.25">
      <c r="A78" s="17" t="s">
        <v>1631</v>
      </c>
      <c r="B78" t="s">
        <v>1632</v>
      </c>
    </row>
    <row r="79" spans="1:2" x14ac:dyDescent="0.25">
      <c r="A79" s="17" t="s">
        <v>1633</v>
      </c>
      <c r="B79" t="s">
        <v>1634</v>
      </c>
    </row>
    <row r="80" spans="1:2" x14ac:dyDescent="0.25">
      <c r="A80" s="17" t="s">
        <v>1635</v>
      </c>
      <c r="B80" t="s">
        <v>1636</v>
      </c>
    </row>
    <row r="81" spans="1:2" x14ac:dyDescent="0.25">
      <c r="A81" s="17" t="s">
        <v>1637</v>
      </c>
      <c r="B81" t="s">
        <v>1638</v>
      </c>
    </row>
    <row r="82" spans="1:2" x14ac:dyDescent="0.25">
      <c r="A82" s="17" t="s">
        <v>1639</v>
      </c>
      <c r="B82" t="s">
        <v>1640</v>
      </c>
    </row>
    <row r="83" spans="1:2" x14ac:dyDescent="0.25">
      <c r="A83" s="17" t="s">
        <v>1641</v>
      </c>
      <c r="B83" t="s">
        <v>1642</v>
      </c>
    </row>
    <row r="84" spans="1:2" x14ac:dyDescent="0.25">
      <c r="A84" s="17" t="s">
        <v>1643</v>
      </c>
      <c r="B84" t="s">
        <v>1644</v>
      </c>
    </row>
    <row r="85" spans="1:2" x14ac:dyDescent="0.25">
      <c r="A85" s="17" t="s">
        <v>1645</v>
      </c>
      <c r="B85" t="s">
        <v>1646</v>
      </c>
    </row>
    <row r="86" spans="1:2" x14ac:dyDescent="0.25">
      <c r="A86" s="17" t="s">
        <v>1647</v>
      </c>
      <c r="B86" t="s">
        <v>1648</v>
      </c>
    </row>
    <row r="87" spans="1:2" x14ac:dyDescent="0.25">
      <c r="A87" s="17" t="s">
        <v>1649</v>
      </c>
      <c r="B87" t="s">
        <v>1650</v>
      </c>
    </row>
    <row r="88" spans="1:2" x14ac:dyDescent="0.25">
      <c r="A88" s="17" t="s">
        <v>1651</v>
      </c>
      <c r="B88" t="s">
        <v>1652</v>
      </c>
    </row>
    <row r="89" spans="1:2" x14ac:dyDescent="0.25">
      <c r="A89" s="17" t="s">
        <v>1653</v>
      </c>
      <c r="B89" t="s">
        <v>1654</v>
      </c>
    </row>
    <row r="90" spans="1:2" x14ac:dyDescent="0.25">
      <c r="A90" s="17" t="s">
        <v>1655</v>
      </c>
      <c r="B90" t="s">
        <v>1656</v>
      </c>
    </row>
    <row r="91" spans="1:2" x14ac:dyDescent="0.25">
      <c r="A91" s="17" t="s">
        <v>1657</v>
      </c>
      <c r="B91" t="s">
        <v>1658</v>
      </c>
    </row>
    <row r="92" spans="1:2" x14ac:dyDescent="0.25">
      <c r="A92" s="17" t="s">
        <v>1659</v>
      </c>
      <c r="B92" t="s">
        <v>1660</v>
      </c>
    </row>
    <row r="93" spans="1:2" x14ac:dyDescent="0.25">
      <c r="A93" s="17" t="s">
        <v>1661</v>
      </c>
      <c r="B93" t="s">
        <v>1662</v>
      </c>
    </row>
    <row r="94" spans="1:2" x14ac:dyDescent="0.25">
      <c r="A94" s="17" t="s">
        <v>1663</v>
      </c>
      <c r="B94" t="s">
        <v>1664</v>
      </c>
    </row>
    <row r="95" spans="1:2" x14ac:dyDescent="0.25">
      <c r="A95" s="17" t="s">
        <v>1665</v>
      </c>
      <c r="B95" t="s">
        <v>1666</v>
      </c>
    </row>
    <row r="96" spans="1:2" x14ac:dyDescent="0.25">
      <c r="A96" s="17" t="s">
        <v>1667</v>
      </c>
      <c r="B96" t="s">
        <v>1668</v>
      </c>
    </row>
    <row r="97" spans="1:2" x14ac:dyDescent="0.25">
      <c r="A97" s="17" t="s">
        <v>1669</v>
      </c>
      <c r="B97" t="s">
        <v>1670</v>
      </c>
    </row>
    <row r="98" spans="1:2" x14ac:dyDescent="0.25">
      <c r="A98" s="17" t="s">
        <v>1671</v>
      </c>
      <c r="B98" t="s">
        <v>1672</v>
      </c>
    </row>
    <row r="99" spans="1:2" x14ac:dyDescent="0.25">
      <c r="A99" s="17" t="s">
        <v>1673</v>
      </c>
      <c r="B99" t="s">
        <v>1674</v>
      </c>
    </row>
    <row r="100" spans="1:2" x14ac:dyDescent="0.25">
      <c r="A100" s="17" t="s">
        <v>1675</v>
      </c>
      <c r="B100" t="s">
        <v>1676</v>
      </c>
    </row>
    <row r="101" spans="1:2" x14ac:dyDescent="0.25">
      <c r="A101" s="17" t="s">
        <v>1677</v>
      </c>
      <c r="B101" t="s">
        <v>1678</v>
      </c>
    </row>
    <row r="102" spans="1:2" x14ac:dyDescent="0.25">
      <c r="A102" s="17" t="s">
        <v>1679</v>
      </c>
      <c r="B102" t="s">
        <v>1680</v>
      </c>
    </row>
    <row r="103" spans="1:2" x14ac:dyDescent="0.25">
      <c r="A103" s="17" t="s">
        <v>1681</v>
      </c>
      <c r="B103" t="s">
        <v>1682</v>
      </c>
    </row>
    <row r="104" spans="1:2" x14ac:dyDescent="0.25">
      <c r="A104" s="17" t="s">
        <v>1683</v>
      </c>
      <c r="B104" t="s">
        <v>1684</v>
      </c>
    </row>
    <row r="105" spans="1:2" x14ac:dyDescent="0.25">
      <c r="A105" s="17" t="s">
        <v>1685</v>
      </c>
      <c r="B105" t="s">
        <v>1686</v>
      </c>
    </row>
    <row r="106" spans="1:2" x14ac:dyDescent="0.25">
      <c r="A106" s="17" t="s">
        <v>1687</v>
      </c>
      <c r="B106" t="s">
        <v>1688</v>
      </c>
    </row>
    <row r="107" spans="1:2" x14ac:dyDescent="0.25">
      <c r="A107" s="17" t="s">
        <v>1689</v>
      </c>
      <c r="B107" t="s">
        <v>1690</v>
      </c>
    </row>
    <row r="108" spans="1:2" x14ac:dyDescent="0.25">
      <c r="A108" s="17" t="s">
        <v>1691</v>
      </c>
      <c r="B108" t="s">
        <v>1692</v>
      </c>
    </row>
    <row r="109" spans="1:2" x14ac:dyDescent="0.25">
      <c r="A109" s="17" t="s">
        <v>1693</v>
      </c>
      <c r="B109" t="s">
        <v>1694</v>
      </c>
    </row>
    <row r="110" spans="1:2" x14ac:dyDescent="0.25">
      <c r="A110" s="17" t="s">
        <v>1695</v>
      </c>
      <c r="B110" t="s">
        <v>1696</v>
      </c>
    </row>
    <row r="111" spans="1:2" x14ac:dyDescent="0.25">
      <c r="A111" s="17">
        <v>10005</v>
      </c>
      <c r="B111" t="s">
        <v>1697</v>
      </c>
    </row>
    <row r="112" spans="1:2" x14ac:dyDescent="0.25">
      <c r="A112" s="17">
        <v>10010</v>
      </c>
      <c r="B112" t="s">
        <v>1698</v>
      </c>
    </row>
    <row r="113" spans="1:2" x14ac:dyDescent="0.25">
      <c r="A113" s="17">
        <v>10015</v>
      </c>
      <c r="B113" t="s">
        <v>1699</v>
      </c>
    </row>
    <row r="114" spans="1:2" x14ac:dyDescent="0.25">
      <c r="A114" s="17">
        <v>10025</v>
      </c>
      <c r="B114" t="s">
        <v>1700</v>
      </c>
    </row>
    <row r="115" spans="1:2" x14ac:dyDescent="0.25">
      <c r="A115" s="17">
        <v>10030</v>
      </c>
      <c r="B115" t="s">
        <v>1701</v>
      </c>
    </row>
    <row r="116" spans="1:2" x14ac:dyDescent="0.25">
      <c r="A116" s="17">
        <v>10043</v>
      </c>
      <c r="B116" t="s">
        <v>1702</v>
      </c>
    </row>
    <row r="117" spans="1:2" x14ac:dyDescent="0.25">
      <c r="A117" s="17">
        <v>10060</v>
      </c>
      <c r="B117" t="s">
        <v>1373</v>
      </c>
    </row>
    <row r="118" spans="1:2" x14ac:dyDescent="0.25">
      <c r="A118" s="17">
        <v>10070</v>
      </c>
      <c r="B118" t="s">
        <v>1703</v>
      </c>
    </row>
    <row r="119" spans="1:2" x14ac:dyDescent="0.25">
      <c r="A119" s="17">
        <v>10075</v>
      </c>
      <c r="B119" t="s">
        <v>1704</v>
      </c>
    </row>
    <row r="120" spans="1:2" x14ac:dyDescent="0.25">
      <c r="A120" s="17">
        <v>10902</v>
      </c>
      <c r="B120" t="s">
        <v>1705</v>
      </c>
    </row>
    <row r="121" spans="1:2" x14ac:dyDescent="0.25">
      <c r="A121" s="17">
        <v>11005</v>
      </c>
      <c r="B121" t="s">
        <v>1706</v>
      </c>
    </row>
    <row r="122" spans="1:2" x14ac:dyDescent="0.25">
      <c r="A122" s="17">
        <v>11010</v>
      </c>
      <c r="B122" t="s">
        <v>1707</v>
      </c>
    </row>
    <row r="123" spans="1:2" x14ac:dyDescent="0.25">
      <c r="A123" s="17">
        <v>11015</v>
      </c>
      <c r="B123" t="s">
        <v>1708</v>
      </c>
    </row>
    <row r="124" spans="1:2" x14ac:dyDescent="0.25">
      <c r="A124" s="17">
        <v>11020</v>
      </c>
      <c r="B124" t="s">
        <v>1709</v>
      </c>
    </row>
    <row r="125" spans="1:2" x14ac:dyDescent="0.25">
      <c r="A125" s="17">
        <v>11025</v>
      </c>
      <c r="B125" t="s">
        <v>1710</v>
      </c>
    </row>
    <row r="126" spans="1:2" x14ac:dyDescent="0.25">
      <c r="A126" s="17">
        <v>11030</v>
      </c>
      <c r="B126" t="s">
        <v>1711</v>
      </c>
    </row>
    <row r="127" spans="1:2" x14ac:dyDescent="0.25">
      <c r="A127" s="17">
        <v>11035</v>
      </c>
      <c r="B127" t="s">
        <v>1712</v>
      </c>
    </row>
    <row r="128" spans="1:2" x14ac:dyDescent="0.25">
      <c r="A128" s="17">
        <v>11040</v>
      </c>
      <c r="B128" t="s">
        <v>1713</v>
      </c>
    </row>
    <row r="129" spans="1:2" x14ac:dyDescent="0.25">
      <c r="A129" s="17">
        <v>11045</v>
      </c>
      <c r="B129" t="s">
        <v>1714</v>
      </c>
    </row>
    <row r="130" spans="1:2" x14ac:dyDescent="0.25">
      <c r="A130" s="17">
        <v>11050</v>
      </c>
      <c r="B130" t="s">
        <v>1715</v>
      </c>
    </row>
    <row r="131" spans="1:2" x14ac:dyDescent="0.25">
      <c r="A131" s="17">
        <v>11055</v>
      </c>
      <c r="B131" t="s">
        <v>1366</v>
      </c>
    </row>
    <row r="132" spans="1:2" x14ac:dyDescent="0.25">
      <c r="A132" s="17">
        <v>11902</v>
      </c>
      <c r="B132" t="s">
        <v>1716</v>
      </c>
    </row>
    <row r="133" spans="1:2" x14ac:dyDescent="0.25">
      <c r="A133" s="17">
        <v>12005</v>
      </c>
      <c r="B133" t="s">
        <v>1717</v>
      </c>
    </row>
    <row r="134" spans="1:2" x14ac:dyDescent="0.25">
      <c r="A134" s="17">
        <v>12010</v>
      </c>
      <c r="B134" t="s">
        <v>1718</v>
      </c>
    </row>
    <row r="135" spans="1:2" x14ac:dyDescent="0.25">
      <c r="A135" s="17">
        <v>12015</v>
      </c>
      <c r="B135" t="s">
        <v>1719</v>
      </c>
    </row>
    <row r="136" spans="1:2" x14ac:dyDescent="0.25">
      <c r="A136" s="17">
        <v>12020</v>
      </c>
      <c r="B136" t="s">
        <v>1720</v>
      </c>
    </row>
    <row r="137" spans="1:2" x14ac:dyDescent="0.25">
      <c r="A137" s="17">
        <v>12025</v>
      </c>
      <c r="B137" t="s">
        <v>1721</v>
      </c>
    </row>
    <row r="138" spans="1:2" x14ac:dyDescent="0.25">
      <c r="A138" s="17">
        <v>12030</v>
      </c>
      <c r="B138" t="s">
        <v>1722</v>
      </c>
    </row>
    <row r="139" spans="1:2" x14ac:dyDescent="0.25">
      <c r="A139" s="17">
        <v>12035</v>
      </c>
      <c r="B139" t="s">
        <v>1723</v>
      </c>
    </row>
    <row r="140" spans="1:2" x14ac:dyDescent="0.25">
      <c r="A140" s="17">
        <v>12043</v>
      </c>
      <c r="B140" t="s">
        <v>1724</v>
      </c>
    </row>
    <row r="141" spans="1:2" x14ac:dyDescent="0.25">
      <c r="A141" s="17">
        <v>12045</v>
      </c>
      <c r="B141" t="s">
        <v>1725</v>
      </c>
    </row>
    <row r="142" spans="1:2" x14ac:dyDescent="0.25">
      <c r="A142" s="17">
        <v>12057</v>
      </c>
      <c r="B142" t="s">
        <v>1726</v>
      </c>
    </row>
    <row r="143" spans="1:2" x14ac:dyDescent="0.25">
      <c r="A143" s="17">
        <v>12065</v>
      </c>
      <c r="B143" t="s">
        <v>1727</v>
      </c>
    </row>
    <row r="144" spans="1:2" x14ac:dyDescent="0.25">
      <c r="A144" s="17">
        <v>12072</v>
      </c>
      <c r="B144" t="s">
        <v>1728</v>
      </c>
    </row>
    <row r="145" spans="1:2" x14ac:dyDescent="0.25">
      <c r="A145" s="17">
        <v>12080</v>
      </c>
      <c r="B145" t="s">
        <v>1729</v>
      </c>
    </row>
    <row r="146" spans="1:2" x14ac:dyDescent="0.25">
      <c r="A146" s="17">
        <v>12802</v>
      </c>
      <c r="B146" t="s">
        <v>1730</v>
      </c>
    </row>
    <row r="147" spans="1:2" x14ac:dyDescent="0.25">
      <c r="A147" s="17">
        <v>12804</v>
      </c>
      <c r="B147" t="s">
        <v>1726</v>
      </c>
    </row>
    <row r="148" spans="1:2" x14ac:dyDescent="0.25">
      <c r="A148" s="17">
        <v>13005</v>
      </c>
      <c r="B148" t="s">
        <v>1731</v>
      </c>
    </row>
    <row r="149" spans="1:2" x14ac:dyDescent="0.25">
      <c r="A149" s="17">
        <v>13010</v>
      </c>
      <c r="B149" t="s">
        <v>1732</v>
      </c>
    </row>
    <row r="150" spans="1:2" x14ac:dyDescent="0.25">
      <c r="A150" s="17">
        <v>13015</v>
      </c>
      <c r="B150" t="s">
        <v>1733</v>
      </c>
    </row>
    <row r="151" spans="1:2" x14ac:dyDescent="0.25">
      <c r="A151" s="17">
        <v>13020</v>
      </c>
      <c r="B151" t="s">
        <v>1734</v>
      </c>
    </row>
    <row r="152" spans="1:2" x14ac:dyDescent="0.25">
      <c r="A152" s="17">
        <v>13025</v>
      </c>
      <c r="B152" t="s">
        <v>1735</v>
      </c>
    </row>
    <row r="153" spans="1:2" x14ac:dyDescent="0.25">
      <c r="A153" s="17">
        <v>13030</v>
      </c>
      <c r="B153" t="s">
        <v>1736</v>
      </c>
    </row>
    <row r="154" spans="1:2" x14ac:dyDescent="0.25">
      <c r="A154" s="17">
        <v>13040</v>
      </c>
      <c r="B154" t="s">
        <v>1737</v>
      </c>
    </row>
    <row r="155" spans="1:2" x14ac:dyDescent="0.25">
      <c r="A155" s="17">
        <v>13045</v>
      </c>
      <c r="B155" t="s">
        <v>1738</v>
      </c>
    </row>
    <row r="156" spans="1:2" x14ac:dyDescent="0.25">
      <c r="A156" s="17">
        <v>13050</v>
      </c>
      <c r="B156" t="s">
        <v>1739</v>
      </c>
    </row>
    <row r="157" spans="1:2" x14ac:dyDescent="0.25">
      <c r="A157" s="17">
        <v>13055</v>
      </c>
      <c r="B157" t="s">
        <v>1740</v>
      </c>
    </row>
    <row r="158" spans="1:2" x14ac:dyDescent="0.25">
      <c r="A158" s="17">
        <v>13060</v>
      </c>
      <c r="B158" t="s">
        <v>1741</v>
      </c>
    </row>
    <row r="159" spans="1:2" x14ac:dyDescent="0.25">
      <c r="A159" s="17">
        <v>13065</v>
      </c>
      <c r="B159" t="s">
        <v>1742</v>
      </c>
    </row>
    <row r="160" spans="1:2" x14ac:dyDescent="0.25">
      <c r="A160" s="17">
        <v>13073</v>
      </c>
      <c r="B160" t="s">
        <v>1743</v>
      </c>
    </row>
    <row r="161" spans="1:2" x14ac:dyDescent="0.25">
      <c r="A161" s="17">
        <v>13075</v>
      </c>
      <c r="B161" t="s">
        <v>1744</v>
      </c>
    </row>
    <row r="162" spans="1:2" x14ac:dyDescent="0.25">
      <c r="A162" s="17">
        <v>13080</v>
      </c>
      <c r="B162" t="s">
        <v>1745</v>
      </c>
    </row>
    <row r="163" spans="1:2" x14ac:dyDescent="0.25">
      <c r="A163" s="17">
        <v>13085</v>
      </c>
      <c r="B163" t="s">
        <v>1746</v>
      </c>
    </row>
    <row r="164" spans="1:2" x14ac:dyDescent="0.25">
      <c r="A164" s="17">
        <v>13090</v>
      </c>
      <c r="B164" t="s">
        <v>1747</v>
      </c>
    </row>
    <row r="165" spans="1:2" x14ac:dyDescent="0.25">
      <c r="A165" s="17">
        <v>13095</v>
      </c>
      <c r="B165" t="s">
        <v>1748</v>
      </c>
    </row>
    <row r="166" spans="1:2" x14ac:dyDescent="0.25">
      <c r="A166" s="17">
        <v>13100</v>
      </c>
      <c r="B166" t="s">
        <v>1749</v>
      </c>
    </row>
    <row r="167" spans="1:2" x14ac:dyDescent="0.25">
      <c r="A167" s="17">
        <v>14005</v>
      </c>
      <c r="B167" t="s">
        <v>1750</v>
      </c>
    </row>
    <row r="168" spans="1:2" x14ac:dyDescent="0.25">
      <c r="A168" s="17">
        <v>14010</v>
      </c>
      <c r="B168" t="s">
        <v>1751</v>
      </c>
    </row>
    <row r="169" spans="1:2" x14ac:dyDescent="0.25">
      <c r="A169" s="17">
        <v>14018</v>
      </c>
      <c r="B169" t="s">
        <v>1752</v>
      </c>
    </row>
    <row r="170" spans="1:2" x14ac:dyDescent="0.25">
      <c r="A170" s="17">
        <v>14025</v>
      </c>
      <c r="B170" t="s">
        <v>1367</v>
      </c>
    </row>
    <row r="171" spans="1:2" x14ac:dyDescent="0.25">
      <c r="A171" s="17">
        <v>14030</v>
      </c>
      <c r="B171" t="s">
        <v>1753</v>
      </c>
    </row>
    <row r="172" spans="1:2" x14ac:dyDescent="0.25">
      <c r="A172" s="17">
        <v>14035</v>
      </c>
      <c r="B172" t="s">
        <v>1754</v>
      </c>
    </row>
    <row r="173" spans="1:2" x14ac:dyDescent="0.25">
      <c r="A173" s="17">
        <v>14040</v>
      </c>
      <c r="B173" t="s">
        <v>1755</v>
      </c>
    </row>
    <row r="174" spans="1:2" x14ac:dyDescent="0.25">
      <c r="A174" s="17">
        <v>14045</v>
      </c>
      <c r="B174" t="s">
        <v>1756</v>
      </c>
    </row>
    <row r="175" spans="1:2" x14ac:dyDescent="0.25">
      <c r="A175" s="17">
        <v>14050</v>
      </c>
      <c r="B175" t="s">
        <v>1757</v>
      </c>
    </row>
    <row r="176" spans="1:2" x14ac:dyDescent="0.25">
      <c r="A176" s="17">
        <v>14055</v>
      </c>
      <c r="B176" t="s">
        <v>1758</v>
      </c>
    </row>
    <row r="177" spans="1:2" x14ac:dyDescent="0.25">
      <c r="A177" s="17">
        <v>14060</v>
      </c>
      <c r="B177" t="s">
        <v>1759</v>
      </c>
    </row>
    <row r="178" spans="1:2" x14ac:dyDescent="0.25">
      <c r="A178" s="17">
        <v>14065</v>
      </c>
      <c r="B178" t="s">
        <v>1760</v>
      </c>
    </row>
    <row r="179" spans="1:2" x14ac:dyDescent="0.25">
      <c r="A179" s="17">
        <v>14070</v>
      </c>
      <c r="B179" t="s">
        <v>1761</v>
      </c>
    </row>
    <row r="180" spans="1:2" x14ac:dyDescent="0.25">
      <c r="A180" s="17">
        <v>14075</v>
      </c>
      <c r="B180" t="s">
        <v>1762</v>
      </c>
    </row>
    <row r="181" spans="1:2" x14ac:dyDescent="0.25">
      <c r="A181" s="17">
        <v>14080</v>
      </c>
      <c r="B181" t="s">
        <v>1763</v>
      </c>
    </row>
    <row r="182" spans="1:2" x14ac:dyDescent="0.25">
      <c r="A182" s="17">
        <v>14085</v>
      </c>
      <c r="B182" t="s">
        <v>1764</v>
      </c>
    </row>
    <row r="183" spans="1:2" x14ac:dyDescent="0.25">
      <c r="A183" s="17">
        <v>14090</v>
      </c>
      <c r="B183" t="s">
        <v>1765</v>
      </c>
    </row>
    <row r="184" spans="1:2" x14ac:dyDescent="0.25">
      <c r="A184" s="17">
        <v>14902</v>
      </c>
      <c r="B184" t="s">
        <v>1766</v>
      </c>
    </row>
    <row r="185" spans="1:2" x14ac:dyDescent="0.25">
      <c r="A185" s="17">
        <v>14904</v>
      </c>
      <c r="B185" t="s">
        <v>1767</v>
      </c>
    </row>
    <row r="186" spans="1:2" x14ac:dyDescent="0.25">
      <c r="A186" s="17">
        <v>15005</v>
      </c>
      <c r="B186" t="s">
        <v>1768</v>
      </c>
    </row>
    <row r="187" spans="1:2" x14ac:dyDescent="0.25">
      <c r="A187" s="17">
        <v>15013</v>
      </c>
      <c r="B187" t="s">
        <v>1769</v>
      </c>
    </row>
    <row r="188" spans="1:2" x14ac:dyDescent="0.25">
      <c r="A188" s="17">
        <v>15025</v>
      </c>
      <c r="B188" t="s">
        <v>1770</v>
      </c>
    </row>
    <row r="189" spans="1:2" x14ac:dyDescent="0.25">
      <c r="A189" s="17">
        <v>15030</v>
      </c>
      <c r="B189" t="s">
        <v>1771</v>
      </c>
    </row>
    <row r="190" spans="1:2" x14ac:dyDescent="0.25">
      <c r="A190" s="17">
        <v>15035</v>
      </c>
      <c r="B190" t="s">
        <v>1772</v>
      </c>
    </row>
    <row r="191" spans="1:2" x14ac:dyDescent="0.25">
      <c r="A191" s="17">
        <v>15058</v>
      </c>
      <c r="B191" t="s">
        <v>1547</v>
      </c>
    </row>
    <row r="192" spans="1:2" x14ac:dyDescent="0.25">
      <c r="A192" s="17">
        <v>15065</v>
      </c>
      <c r="B192" t="s">
        <v>1773</v>
      </c>
    </row>
    <row r="193" spans="1:2" x14ac:dyDescent="0.25">
      <c r="A193" s="17">
        <v>15902</v>
      </c>
      <c r="B193" t="s">
        <v>1774</v>
      </c>
    </row>
    <row r="194" spans="1:2" x14ac:dyDescent="0.25">
      <c r="A194" s="17">
        <v>15904</v>
      </c>
      <c r="B194" t="s">
        <v>1775</v>
      </c>
    </row>
    <row r="195" spans="1:2" x14ac:dyDescent="0.25">
      <c r="A195" s="17">
        <v>16005</v>
      </c>
      <c r="B195" t="s">
        <v>1776</v>
      </c>
    </row>
    <row r="196" spans="1:2" x14ac:dyDescent="0.25">
      <c r="A196" s="17">
        <v>16013</v>
      </c>
      <c r="B196" t="s">
        <v>1777</v>
      </c>
    </row>
    <row r="197" spans="1:2" x14ac:dyDescent="0.25">
      <c r="A197" s="17">
        <v>16023</v>
      </c>
      <c r="B197" t="s">
        <v>1778</v>
      </c>
    </row>
    <row r="198" spans="1:2" x14ac:dyDescent="0.25">
      <c r="A198" s="17">
        <v>16048</v>
      </c>
      <c r="B198" t="s">
        <v>1779</v>
      </c>
    </row>
    <row r="199" spans="1:2" x14ac:dyDescent="0.25">
      <c r="A199" s="17">
        <v>16050</v>
      </c>
      <c r="B199" t="s">
        <v>1780</v>
      </c>
    </row>
    <row r="200" spans="1:2" x14ac:dyDescent="0.25">
      <c r="A200" s="17">
        <v>16055</v>
      </c>
      <c r="B200" t="s">
        <v>1781</v>
      </c>
    </row>
    <row r="201" spans="1:2" x14ac:dyDescent="0.25">
      <c r="A201" s="17">
        <v>16902</v>
      </c>
      <c r="B201" t="s">
        <v>1782</v>
      </c>
    </row>
    <row r="202" spans="1:2" x14ac:dyDescent="0.25">
      <c r="A202" s="17">
        <v>17005</v>
      </c>
      <c r="B202" t="s">
        <v>1783</v>
      </c>
    </row>
    <row r="203" spans="1:2" x14ac:dyDescent="0.25">
      <c r="A203" s="17">
        <v>17010</v>
      </c>
      <c r="B203" t="s">
        <v>1784</v>
      </c>
    </row>
    <row r="204" spans="1:2" x14ac:dyDescent="0.25">
      <c r="A204" s="17">
        <v>17015</v>
      </c>
      <c r="B204" t="s">
        <v>1785</v>
      </c>
    </row>
    <row r="205" spans="1:2" x14ac:dyDescent="0.25">
      <c r="A205" s="17">
        <v>17020</v>
      </c>
      <c r="B205" t="s">
        <v>1369</v>
      </c>
    </row>
    <row r="206" spans="1:2" x14ac:dyDescent="0.25">
      <c r="A206" s="17">
        <v>17025</v>
      </c>
      <c r="B206" t="s">
        <v>1644</v>
      </c>
    </row>
    <row r="207" spans="1:2" x14ac:dyDescent="0.25">
      <c r="A207" s="17">
        <v>17030</v>
      </c>
      <c r="B207" t="s">
        <v>1786</v>
      </c>
    </row>
    <row r="208" spans="1:2" x14ac:dyDescent="0.25">
      <c r="A208" s="17">
        <v>17035</v>
      </c>
      <c r="B208" t="s">
        <v>1787</v>
      </c>
    </row>
    <row r="209" spans="1:2" x14ac:dyDescent="0.25">
      <c r="A209" s="17">
        <v>17040</v>
      </c>
      <c r="B209" t="s">
        <v>1788</v>
      </c>
    </row>
    <row r="210" spans="1:2" x14ac:dyDescent="0.25">
      <c r="A210" s="17">
        <v>17045</v>
      </c>
      <c r="B210" t="s">
        <v>1789</v>
      </c>
    </row>
    <row r="211" spans="1:2" x14ac:dyDescent="0.25">
      <c r="A211" s="17">
        <v>17055</v>
      </c>
      <c r="B211" t="s">
        <v>1790</v>
      </c>
    </row>
    <row r="212" spans="1:2" x14ac:dyDescent="0.25">
      <c r="A212" s="17">
        <v>17060</v>
      </c>
      <c r="B212" t="s">
        <v>1791</v>
      </c>
    </row>
    <row r="213" spans="1:2" x14ac:dyDescent="0.25">
      <c r="A213" s="17">
        <v>17065</v>
      </c>
      <c r="B213" t="s">
        <v>1792</v>
      </c>
    </row>
    <row r="214" spans="1:2" x14ac:dyDescent="0.25">
      <c r="A214" s="17">
        <v>17070</v>
      </c>
      <c r="B214" t="s">
        <v>1793</v>
      </c>
    </row>
    <row r="215" spans="1:2" x14ac:dyDescent="0.25">
      <c r="A215" s="17">
        <v>17078</v>
      </c>
      <c r="B215" t="s">
        <v>1794</v>
      </c>
    </row>
    <row r="216" spans="1:2" x14ac:dyDescent="0.25">
      <c r="A216" s="17">
        <v>18005</v>
      </c>
      <c r="B216" t="s">
        <v>1795</v>
      </c>
    </row>
    <row r="217" spans="1:2" x14ac:dyDescent="0.25">
      <c r="A217" s="17">
        <v>18010</v>
      </c>
      <c r="B217" t="s">
        <v>1796</v>
      </c>
    </row>
    <row r="218" spans="1:2" x14ac:dyDescent="0.25">
      <c r="A218" s="17">
        <v>18015</v>
      </c>
      <c r="B218" t="s">
        <v>1797</v>
      </c>
    </row>
    <row r="219" spans="1:2" x14ac:dyDescent="0.25">
      <c r="A219" s="17">
        <v>18020</v>
      </c>
      <c r="B219" t="s">
        <v>1798</v>
      </c>
    </row>
    <row r="220" spans="1:2" x14ac:dyDescent="0.25">
      <c r="A220" s="17">
        <v>18025</v>
      </c>
      <c r="B220" t="s">
        <v>1799</v>
      </c>
    </row>
    <row r="221" spans="1:2" x14ac:dyDescent="0.25">
      <c r="A221" s="17">
        <v>18030</v>
      </c>
      <c r="B221" t="s">
        <v>1800</v>
      </c>
    </row>
    <row r="222" spans="1:2" x14ac:dyDescent="0.25">
      <c r="A222" s="17">
        <v>18035</v>
      </c>
      <c r="B222" t="s">
        <v>1801</v>
      </c>
    </row>
    <row r="223" spans="1:2" x14ac:dyDescent="0.25">
      <c r="A223" s="17">
        <v>18040</v>
      </c>
      <c r="B223" t="s">
        <v>1802</v>
      </c>
    </row>
    <row r="224" spans="1:2" x14ac:dyDescent="0.25">
      <c r="A224" s="17">
        <v>18045</v>
      </c>
      <c r="B224" t="s">
        <v>1803</v>
      </c>
    </row>
    <row r="225" spans="1:2" x14ac:dyDescent="0.25">
      <c r="A225" s="17">
        <v>18050</v>
      </c>
      <c r="B225" t="s">
        <v>1804</v>
      </c>
    </row>
    <row r="226" spans="1:2" x14ac:dyDescent="0.25">
      <c r="A226" s="17">
        <v>18055</v>
      </c>
      <c r="B226" t="s">
        <v>1805</v>
      </c>
    </row>
    <row r="227" spans="1:2" x14ac:dyDescent="0.25">
      <c r="A227" s="17">
        <v>18060</v>
      </c>
      <c r="B227" t="s">
        <v>1806</v>
      </c>
    </row>
    <row r="228" spans="1:2" x14ac:dyDescent="0.25">
      <c r="A228" s="17">
        <v>18065</v>
      </c>
      <c r="B228" t="s">
        <v>1807</v>
      </c>
    </row>
    <row r="229" spans="1:2" x14ac:dyDescent="0.25">
      <c r="A229" s="17">
        <v>18070</v>
      </c>
      <c r="B229" t="s">
        <v>1808</v>
      </c>
    </row>
    <row r="230" spans="1:2" x14ac:dyDescent="0.25">
      <c r="A230" s="17">
        <v>19005</v>
      </c>
      <c r="B230" t="s">
        <v>1809</v>
      </c>
    </row>
    <row r="231" spans="1:2" x14ac:dyDescent="0.25">
      <c r="A231" s="17">
        <v>19010</v>
      </c>
      <c r="B231" t="s">
        <v>1810</v>
      </c>
    </row>
    <row r="232" spans="1:2" x14ac:dyDescent="0.25">
      <c r="A232" s="17">
        <v>19015</v>
      </c>
      <c r="B232" t="s">
        <v>1811</v>
      </c>
    </row>
    <row r="233" spans="1:2" x14ac:dyDescent="0.25">
      <c r="A233" s="17">
        <v>19020</v>
      </c>
      <c r="B233" t="s">
        <v>1812</v>
      </c>
    </row>
    <row r="234" spans="1:2" x14ac:dyDescent="0.25">
      <c r="A234" s="17">
        <v>19025</v>
      </c>
      <c r="B234" t="s">
        <v>1813</v>
      </c>
    </row>
    <row r="235" spans="1:2" x14ac:dyDescent="0.25">
      <c r="A235" s="17">
        <v>19030</v>
      </c>
      <c r="B235" t="s">
        <v>1814</v>
      </c>
    </row>
    <row r="236" spans="1:2" x14ac:dyDescent="0.25">
      <c r="A236" s="17">
        <v>19037</v>
      </c>
      <c r="B236" t="s">
        <v>1815</v>
      </c>
    </row>
    <row r="237" spans="1:2" x14ac:dyDescent="0.25">
      <c r="A237" s="17">
        <v>19045</v>
      </c>
      <c r="B237" t="s">
        <v>1816</v>
      </c>
    </row>
    <row r="238" spans="1:2" x14ac:dyDescent="0.25">
      <c r="A238" s="17">
        <v>19050</v>
      </c>
      <c r="B238" t="s">
        <v>1817</v>
      </c>
    </row>
    <row r="239" spans="1:2" x14ac:dyDescent="0.25">
      <c r="A239" s="17">
        <v>19055</v>
      </c>
      <c r="B239" t="s">
        <v>1818</v>
      </c>
    </row>
    <row r="240" spans="1:2" x14ac:dyDescent="0.25">
      <c r="A240" s="17">
        <v>19062</v>
      </c>
      <c r="B240" t="s">
        <v>1819</v>
      </c>
    </row>
    <row r="241" spans="1:2" x14ac:dyDescent="0.25">
      <c r="A241" s="17">
        <v>19068</v>
      </c>
      <c r="B241" t="s">
        <v>1820</v>
      </c>
    </row>
    <row r="242" spans="1:2" x14ac:dyDescent="0.25">
      <c r="A242" s="17">
        <v>19070</v>
      </c>
      <c r="B242" t="s">
        <v>1821</v>
      </c>
    </row>
    <row r="243" spans="1:2" x14ac:dyDescent="0.25">
      <c r="A243" s="17">
        <v>19075</v>
      </c>
      <c r="B243" t="s">
        <v>1822</v>
      </c>
    </row>
    <row r="244" spans="1:2" x14ac:dyDescent="0.25">
      <c r="A244" s="17">
        <v>19082</v>
      </c>
      <c r="B244" t="s">
        <v>1823</v>
      </c>
    </row>
    <row r="245" spans="1:2" x14ac:dyDescent="0.25">
      <c r="A245" s="17">
        <v>19090</v>
      </c>
      <c r="B245" t="s">
        <v>1824</v>
      </c>
    </row>
    <row r="246" spans="1:2" x14ac:dyDescent="0.25">
      <c r="A246" s="17">
        <v>19097</v>
      </c>
      <c r="B246" t="s">
        <v>1825</v>
      </c>
    </row>
    <row r="247" spans="1:2" x14ac:dyDescent="0.25">
      <c r="A247" s="17">
        <v>19105</v>
      </c>
      <c r="B247" t="s">
        <v>1826</v>
      </c>
    </row>
    <row r="248" spans="1:2" x14ac:dyDescent="0.25">
      <c r="A248" s="17">
        <v>19110</v>
      </c>
      <c r="B248" t="s">
        <v>1827</v>
      </c>
    </row>
    <row r="249" spans="1:2" x14ac:dyDescent="0.25">
      <c r="A249" s="17">
        <v>19117</v>
      </c>
      <c r="B249" t="s">
        <v>1828</v>
      </c>
    </row>
    <row r="250" spans="1:2" x14ac:dyDescent="0.25">
      <c r="A250" s="17">
        <v>20005</v>
      </c>
      <c r="B250" t="s">
        <v>1829</v>
      </c>
    </row>
    <row r="251" spans="1:2" x14ac:dyDescent="0.25">
      <c r="A251" s="17">
        <v>20010</v>
      </c>
      <c r="B251" t="s">
        <v>1830</v>
      </c>
    </row>
    <row r="252" spans="1:2" x14ac:dyDescent="0.25">
      <c r="A252" s="17">
        <v>20015</v>
      </c>
      <c r="B252" t="s">
        <v>1831</v>
      </c>
    </row>
    <row r="253" spans="1:2" x14ac:dyDescent="0.25">
      <c r="A253" s="17">
        <v>20020</v>
      </c>
      <c r="B253" t="s">
        <v>1832</v>
      </c>
    </row>
    <row r="254" spans="1:2" x14ac:dyDescent="0.25">
      <c r="A254" s="17">
        <v>20025</v>
      </c>
      <c r="B254" t="s">
        <v>1833</v>
      </c>
    </row>
    <row r="255" spans="1:2" x14ac:dyDescent="0.25">
      <c r="A255" s="17">
        <v>20030</v>
      </c>
      <c r="B255" t="s">
        <v>1834</v>
      </c>
    </row>
    <row r="256" spans="1:2" x14ac:dyDescent="0.25">
      <c r="A256" s="17">
        <v>21005</v>
      </c>
      <c r="B256" t="s">
        <v>1835</v>
      </c>
    </row>
    <row r="257" spans="1:2" x14ac:dyDescent="0.25">
      <c r="A257" s="17">
        <v>21010</v>
      </c>
      <c r="B257" t="s">
        <v>1836</v>
      </c>
    </row>
    <row r="258" spans="1:2" x14ac:dyDescent="0.25">
      <c r="A258" s="17">
        <v>21015</v>
      </c>
      <c r="B258" t="s">
        <v>1837</v>
      </c>
    </row>
    <row r="259" spans="1:2" x14ac:dyDescent="0.25">
      <c r="A259" s="17">
        <v>21020</v>
      </c>
      <c r="B259" t="s">
        <v>1838</v>
      </c>
    </row>
    <row r="260" spans="1:2" x14ac:dyDescent="0.25">
      <c r="A260" s="17">
        <v>21025</v>
      </c>
      <c r="B260" t="s">
        <v>1839</v>
      </c>
    </row>
    <row r="261" spans="1:2" x14ac:dyDescent="0.25">
      <c r="A261" s="17">
        <v>21030</v>
      </c>
      <c r="B261" t="s">
        <v>1840</v>
      </c>
    </row>
    <row r="262" spans="1:2" x14ac:dyDescent="0.25">
      <c r="A262" s="17">
        <v>21035</v>
      </c>
      <c r="B262" t="s">
        <v>1841</v>
      </c>
    </row>
    <row r="263" spans="1:2" x14ac:dyDescent="0.25">
      <c r="A263" s="17">
        <v>21040</v>
      </c>
      <c r="B263" t="s">
        <v>1842</v>
      </c>
    </row>
    <row r="264" spans="1:2" x14ac:dyDescent="0.25">
      <c r="A264" s="17">
        <v>21045</v>
      </c>
      <c r="B264" t="s">
        <v>1843</v>
      </c>
    </row>
    <row r="265" spans="1:2" x14ac:dyDescent="0.25">
      <c r="A265" s="17">
        <v>21902</v>
      </c>
      <c r="B265" t="s">
        <v>1844</v>
      </c>
    </row>
    <row r="266" spans="1:2" x14ac:dyDescent="0.25">
      <c r="A266" s="17">
        <v>21904</v>
      </c>
      <c r="B266" t="s">
        <v>1845</v>
      </c>
    </row>
    <row r="267" spans="1:2" x14ac:dyDescent="0.25">
      <c r="A267" s="17">
        <v>22005</v>
      </c>
      <c r="B267" t="s">
        <v>1846</v>
      </c>
    </row>
    <row r="268" spans="1:2" x14ac:dyDescent="0.25">
      <c r="A268" s="17">
        <v>22010</v>
      </c>
      <c r="B268" t="s">
        <v>1847</v>
      </c>
    </row>
    <row r="269" spans="1:2" x14ac:dyDescent="0.25">
      <c r="A269" s="17">
        <v>22015</v>
      </c>
      <c r="B269" t="s">
        <v>1848</v>
      </c>
    </row>
    <row r="270" spans="1:2" x14ac:dyDescent="0.25">
      <c r="A270" s="17">
        <v>22020</v>
      </c>
      <c r="B270" t="s">
        <v>1849</v>
      </c>
    </row>
    <row r="271" spans="1:2" x14ac:dyDescent="0.25">
      <c r="A271" s="17">
        <v>22025</v>
      </c>
      <c r="B271" t="s">
        <v>1850</v>
      </c>
    </row>
    <row r="272" spans="1:2" x14ac:dyDescent="0.25">
      <c r="A272" s="17">
        <v>22030</v>
      </c>
      <c r="B272" t="s">
        <v>1851</v>
      </c>
    </row>
    <row r="273" spans="1:2" x14ac:dyDescent="0.25">
      <c r="A273" s="17">
        <v>22035</v>
      </c>
      <c r="B273" t="s">
        <v>1852</v>
      </c>
    </row>
    <row r="274" spans="1:2" x14ac:dyDescent="0.25">
      <c r="A274" s="17">
        <v>22040</v>
      </c>
      <c r="B274" t="s">
        <v>1853</v>
      </c>
    </row>
    <row r="275" spans="1:2" x14ac:dyDescent="0.25">
      <c r="A275" s="17">
        <v>22045</v>
      </c>
      <c r="B275" t="s">
        <v>1854</v>
      </c>
    </row>
    <row r="276" spans="1:2" x14ac:dyDescent="0.25">
      <c r="A276" s="17">
        <v>22902</v>
      </c>
      <c r="B276" t="s">
        <v>1855</v>
      </c>
    </row>
    <row r="277" spans="1:2" x14ac:dyDescent="0.25">
      <c r="A277" s="17">
        <v>23015</v>
      </c>
      <c r="B277" t="s">
        <v>1856</v>
      </c>
    </row>
    <row r="278" spans="1:2" x14ac:dyDescent="0.25">
      <c r="A278" s="17">
        <v>23027</v>
      </c>
      <c r="B278" t="s">
        <v>1857</v>
      </c>
    </row>
    <row r="279" spans="1:2" x14ac:dyDescent="0.25">
      <c r="A279" s="17">
        <v>23057</v>
      </c>
      <c r="B279" t="s">
        <v>1858</v>
      </c>
    </row>
    <row r="280" spans="1:2" x14ac:dyDescent="0.25">
      <c r="A280" s="17">
        <v>23072</v>
      </c>
      <c r="B280" t="s">
        <v>1859</v>
      </c>
    </row>
    <row r="281" spans="1:2" x14ac:dyDescent="0.25">
      <c r="A281" s="17">
        <v>23802</v>
      </c>
      <c r="B281" t="s">
        <v>1860</v>
      </c>
    </row>
    <row r="282" spans="1:2" x14ac:dyDescent="0.25">
      <c r="A282" s="17">
        <v>25213</v>
      </c>
      <c r="B282" t="s">
        <v>1861</v>
      </c>
    </row>
    <row r="283" spans="1:2" x14ac:dyDescent="0.25">
      <c r="A283" s="17">
        <v>26005</v>
      </c>
      <c r="B283" t="s">
        <v>1862</v>
      </c>
    </row>
    <row r="284" spans="1:2" x14ac:dyDescent="0.25">
      <c r="A284" s="17">
        <v>26010</v>
      </c>
      <c r="B284" t="s">
        <v>1863</v>
      </c>
    </row>
    <row r="285" spans="1:2" x14ac:dyDescent="0.25">
      <c r="A285" s="17">
        <v>26015</v>
      </c>
      <c r="B285" t="s">
        <v>1864</v>
      </c>
    </row>
    <row r="286" spans="1:2" x14ac:dyDescent="0.25">
      <c r="A286" s="17">
        <v>26022</v>
      </c>
      <c r="B286" t="s">
        <v>1545</v>
      </c>
    </row>
    <row r="287" spans="1:2" x14ac:dyDescent="0.25">
      <c r="A287" s="17">
        <v>26030</v>
      </c>
      <c r="B287" t="s">
        <v>1865</v>
      </c>
    </row>
    <row r="288" spans="1:2" x14ac:dyDescent="0.25">
      <c r="A288" s="17">
        <v>26035</v>
      </c>
      <c r="B288" t="s">
        <v>1866</v>
      </c>
    </row>
    <row r="289" spans="1:2" x14ac:dyDescent="0.25">
      <c r="A289" s="17">
        <v>26040</v>
      </c>
      <c r="B289" t="s">
        <v>1867</v>
      </c>
    </row>
    <row r="290" spans="1:2" x14ac:dyDescent="0.25">
      <c r="A290" s="17">
        <v>26048</v>
      </c>
      <c r="B290" t="s">
        <v>1868</v>
      </c>
    </row>
    <row r="291" spans="1:2" x14ac:dyDescent="0.25">
      <c r="A291" s="17">
        <v>26055</v>
      </c>
      <c r="B291" t="s">
        <v>1869</v>
      </c>
    </row>
    <row r="292" spans="1:2" x14ac:dyDescent="0.25">
      <c r="A292" s="17">
        <v>26063</v>
      </c>
      <c r="B292" t="s">
        <v>1870</v>
      </c>
    </row>
    <row r="293" spans="1:2" x14ac:dyDescent="0.25">
      <c r="A293" s="17">
        <v>26070</v>
      </c>
      <c r="B293" t="s">
        <v>1871</v>
      </c>
    </row>
    <row r="294" spans="1:2" x14ac:dyDescent="0.25">
      <c r="A294" s="17">
        <v>27008</v>
      </c>
      <c r="B294" t="s">
        <v>1872</v>
      </c>
    </row>
    <row r="295" spans="1:2" x14ac:dyDescent="0.25">
      <c r="A295" s="17">
        <v>27015</v>
      </c>
      <c r="B295" t="s">
        <v>1873</v>
      </c>
    </row>
    <row r="296" spans="1:2" x14ac:dyDescent="0.25">
      <c r="A296" s="17">
        <v>27028</v>
      </c>
      <c r="B296" t="s">
        <v>1874</v>
      </c>
    </row>
    <row r="297" spans="1:2" x14ac:dyDescent="0.25">
      <c r="A297" s="17">
        <v>27035</v>
      </c>
      <c r="B297" t="s">
        <v>1875</v>
      </c>
    </row>
    <row r="298" spans="1:2" x14ac:dyDescent="0.25">
      <c r="A298" s="17">
        <v>27043</v>
      </c>
      <c r="B298" t="s">
        <v>1876</v>
      </c>
    </row>
    <row r="299" spans="1:2" x14ac:dyDescent="0.25">
      <c r="A299" s="17">
        <v>27050</v>
      </c>
      <c r="B299" t="s">
        <v>1877</v>
      </c>
    </row>
    <row r="300" spans="1:2" x14ac:dyDescent="0.25">
      <c r="A300" s="17">
        <v>27055</v>
      </c>
      <c r="B300" t="s">
        <v>1878</v>
      </c>
    </row>
    <row r="301" spans="1:2" x14ac:dyDescent="0.25">
      <c r="A301" s="17">
        <v>27060</v>
      </c>
      <c r="B301" t="s">
        <v>1879</v>
      </c>
    </row>
    <row r="302" spans="1:2" x14ac:dyDescent="0.25">
      <c r="A302" s="17">
        <v>27065</v>
      </c>
      <c r="B302" t="s">
        <v>1880</v>
      </c>
    </row>
    <row r="303" spans="1:2" x14ac:dyDescent="0.25">
      <c r="A303" s="17">
        <v>27070</v>
      </c>
      <c r="B303" t="s">
        <v>1881</v>
      </c>
    </row>
    <row r="304" spans="1:2" x14ac:dyDescent="0.25">
      <c r="A304" s="17">
        <v>28005</v>
      </c>
      <c r="B304" t="s">
        <v>1882</v>
      </c>
    </row>
    <row r="305" spans="1:2" x14ac:dyDescent="0.25">
      <c r="A305" s="17">
        <v>28015</v>
      </c>
      <c r="B305" t="s">
        <v>1883</v>
      </c>
    </row>
    <row r="306" spans="1:2" x14ac:dyDescent="0.25">
      <c r="A306" s="17">
        <v>28020</v>
      </c>
      <c r="B306" t="s">
        <v>1884</v>
      </c>
    </row>
    <row r="307" spans="1:2" x14ac:dyDescent="0.25">
      <c r="A307" s="17">
        <v>28025</v>
      </c>
      <c r="B307" t="s">
        <v>1885</v>
      </c>
    </row>
    <row r="308" spans="1:2" x14ac:dyDescent="0.25">
      <c r="A308" s="17">
        <v>28030</v>
      </c>
      <c r="B308" t="s">
        <v>1886</v>
      </c>
    </row>
    <row r="309" spans="1:2" x14ac:dyDescent="0.25">
      <c r="A309" s="17">
        <v>28035</v>
      </c>
      <c r="B309" t="s">
        <v>1887</v>
      </c>
    </row>
    <row r="310" spans="1:2" x14ac:dyDescent="0.25">
      <c r="A310" s="17">
        <v>28040</v>
      </c>
      <c r="B310" t="s">
        <v>1717</v>
      </c>
    </row>
    <row r="311" spans="1:2" x14ac:dyDescent="0.25">
      <c r="A311" s="17">
        <v>28045</v>
      </c>
      <c r="B311" t="s">
        <v>1888</v>
      </c>
    </row>
    <row r="312" spans="1:2" x14ac:dyDescent="0.25">
      <c r="A312" s="17">
        <v>28053</v>
      </c>
      <c r="B312" t="s">
        <v>1889</v>
      </c>
    </row>
    <row r="313" spans="1:2" x14ac:dyDescent="0.25">
      <c r="A313" s="17">
        <v>28060</v>
      </c>
      <c r="B313" t="s">
        <v>1890</v>
      </c>
    </row>
    <row r="314" spans="1:2" x14ac:dyDescent="0.25">
      <c r="A314" s="17">
        <v>28065</v>
      </c>
      <c r="B314" t="s">
        <v>1891</v>
      </c>
    </row>
    <row r="315" spans="1:2" x14ac:dyDescent="0.25">
      <c r="A315" s="17">
        <v>28070</v>
      </c>
      <c r="B315" t="s">
        <v>1892</v>
      </c>
    </row>
    <row r="316" spans="1:2" x14ac:dyDescent="0.25">
      <c r="A316" s="17">
        <v>28075</v>
      </c>
      <c r="B316" t="s">
        <v>1893</v>
      </c>
    </row>
    <row r="317" spans="1:2" x14ac:dyDescent="0.25">
      <c r="A317" s="17">
        <v>29005</v>
      </c>
      <c r="B317" t="s">
        <v>1894</v>
      </c>
    </row>
    <row r="318" spans="1:2" x14ac:dyDescent="0.25">
      <c r="A318" s="17">
        <v>29013</v>
      </c>
      <c r="B318" t="s">
        <v>1895</v>
      </c>
    </row>
    <row r="319" spans="1:2" x14ac:dyDescent="0.25">
      <c r="A319" s="17">
        <v>29020</v>
      </c>
      <c r="B319" t="s">
        <v>1896</v>
      </c>
    </row>
    <row r="320" spans="1:2" x14ac:dyDescent="0.25">
      <c r="A320" s="17">
        <v>29025</v>
      </c>
      <c r="B320" t="s">
        <v>1897</v>
      </c>
    </row>
    <row r="321" spans="1:2" x14ac:dyDescent="0.25">
      <c r="A321" s="17">
        <v>29030</v>
      </c>
      <c r="B321" t="s">
        <v>1898</v>
      </c>
    </row>
    <row r="322" spans="1:2" x14ac:dyDescent="0.25">
      <c r="A322" s="17">
        <v>29038</v>
      </c>
      <c r="B322" t="s">
        <v>1899</v>
      </c>
    </row>
    <row r="323" spans="1:2" x14ac:dyDescent="0.25">
      <c r="A323" s="17">
        <v>29045</v>
      </c>
      <c r="B323" t="s">
        <v>1900</v>
      </c>
    </row>
    <row r="324" spans="1:2" x14ac:dyDescent="0.25">
      <c r="A324" s="17">
        <v>29050</v>
      </c>
      <c r="B324" t="s">
        <v>1901</v>
      </c>
    </row>
    <row r="325" spans="1:2" x14ac:dyDescent="0.25">
      <c r="A325" s="17">
        <v>29057</v>
      </c>
      <c r="B325" t="s">
        <v>1902</v>
      </c>
    </row>
    <row r="326" spans="1:2" x14ac:dyDescent="0.25">
      <c r="A326" s="17">
        <v>29065</v>
      </c>
      <c r="B326" t="s">
        <v>1903</v>
      </c>
    </row>
    <row r="327" spans="1:2" x14ac:dyDescent="0.25">
      <c r="A327" s="17">
        <v>29073</v>
      </c>
      <c r="B327" t="s">
        <v>1904</v>
      </c>
    </row>
    <row r="328" spans="1:2" x14ac:dyDescent="0.25">
      <c r="A328" s="17">
        <v>29095</v>
      </c>
      <c r="B328" t="s">
        <v>1905</v>
      </c>
    </row>
    <row r="329" spans="1:2" x14ac:dyDescent="0.25">
      <c r="A329" s="17">
        <v>29100</v>
      </c>
      <c r="B329" t="s">
        <v>1906</v>
      </c>
    </row>
    <row r="330" spans="1:2" x14ac:dyDescent="0.25">
      <c r="A330" s="17">
        <v>29112</v>
      </c>
      <c r="B330" t="s">
        <v>1907</v>
      </c>
    </row>
    <row r="331" spans="1:2" x14ac:dyDescent="0.25">
      <c r="A331" s="17">
        <v>29120</v>
      </c>
      <c r="B331" t="s">
        <v>1908</v>
      </c>
    </row>
    <row r="332" spans="1:2" x14ac:dyDescent="0.25">
      <c r="A332" s="17">
        <v>29125</v>
      </c>
      <c r="B332" t="s">
        <v>1909</v>
      </c>
    </row>
    <row r="333" spans="1:2" x14ac:dyDescent="0.25">
      <c r="A333" s="17">
        <v>30005</v>
      </c>
      <c r="B333" t="s">
        <v>1910</v>
      </c>
    </row>
    <row r="334" spans="1:2" x14ac:dyDescent="0.25">
      <c r="A334" s="17">
        <v>30010</v>
      </c>
      <c r="B334" t="s">
        <v>1911</v>
      </c>
    </row>
    <row r="335" spans="1:2" x14ac:dyDescent="0.25">
      <c r="A335" s="17">
        <v>30015</v>
      </c>
      <c r="B335" t="s">
        <v>1912</v>
      </c>
    </row>
    <row r="336" spans="1:2" x14ac:dyDescent="0.25">
      <c r="A336" s="17">
        <v>30020</v>
      </c>
      <c r="B336" t="s">
        <v>1913</v>
      </c>
    </row>
    <row r="337" spans="1:2" x14ac:dyDescent="0.25">
      <c r="A337" s="17">
        <v>30025</v>
      </c>
      <c r="B337" t="s">
        <v>1914</v>
      </c>
    </row>
    <row r="338" spans="1:2" x14ac:dyDescent="0.25">
      <c r="A338" s="17">
        <v>30030</v>
      </c>
      <c r="B338" t="s">
        <v>1915</v>
      </c>
    </row>
    <row r="339" spans="1:2" x14ac:dyDescent="0.25">
      <c r="A339" s="17">
        <v>30035</v>
      </c>
      <c r="B339" t="s">
        <v>1916</v>
      </c>
    </row>
    <row r="340" spans="1:2" x14ac:dyDescent="0.25">
      <c r="A340" s="17">
        <v>30040</v>
      </c>
      <c r="B340" t="s">
        <v>1917</v>
      </c>
    </row>
    <row r="341" spans="1:2" x14ac:dyDescent="0.25">
      <c r="A341" s="17">
        <v>30045</v>
      </c>
      <c r="B341" t="s">
        <v>1918</v>
      </c>
    </row>
    <row r="342" spans="1:2" x14ac:dyDescent="0.25">
      <c r="A342" s="17">
        <v>30050</v>
      </c>
      <c r="B342" t="s">
        <v>1919</v>
      </c>
    </row>
    <row r="343" spans="1:2" x14ac:dyDescent="0.25">
      <c r="A343" s="17">
        <v>30055</v>
      </c>
      <c r="B343" t="s">
        <v>1920</v>
      </c>
    </row>
    <row r="344" spans="1:2" x14ac:dyDescent="0.25">
      <c r="A344" s="17">
        <v>30070</v>
      </c>
      <c r="B344" t="s">
        <v>1921</v>
      </c>
    </row>
    <row r="345" spans="1:2" x14ac:dyDescent="0.25">
      <c r="A345" s="17">
        <v>30072</v>
      </c>
      <c r="B345" t="s">
        <v>1922</v>
      </c>
    </row>
    <row r="346" spans="1:2" x14ac:dyDescent="0.25">
      <c r="A346" s="17">
        <v>30080</v>
      </c>
      <c r="B346" t="s">
        <v>1923</v>
      </c>
    </row>
    <row r="347" spans="1:2" x14ac:dyDescent="0.25">
      <c r="A347" s="17">
        <v>30085</v>
      </c>
      <c r="B347" t="s">
        <v>1924</v>
      </c>
    </row>
    <row r="348" spans="1:2" x14ac:dyDescent="0.25">
      <c r="A348" s="17">
        <v>30090</v>
      </c>
      <c r="B348" t="s">
        <v>1925</v>
      </c>
    </row>
    <row r="349" spans="1:2" x14ac:dyDescent="0.25">
      <c r="A349" s="17">
        <v>30095</v>
      </c>
      <c r="B349" t="s">
        <v>1926</v>
      </c>
    </row>
    <row r="350" spans="1:2" x14ac:dyDescent="0.25">
      <c r="A350" s="17">
        <v>30100</v>
      </c>
      <c r="B350" t="s">
        <v>1927</v>
      </c>
    </row>
    <row r="351" spans="1:2" x14ac:dyDescent="0.25">
      <c r="A351" s="17">
        <v>30105</v>
      </c>
      <c r="B351" t="s">
        <v>1928</v>
      </c>
    </row>
    <row r="352" spans="1:2" x14ac:dyDescent="0.25">
      <c r="A352" s="17">
        <v>30110</v>
      </c>
      <c r="B352" t="s">
        <v>1929</v>
      </c>
    </row>
    <row r="353" spans="1:2" x14ac:dyDescent="0.25">
      <c r="A353" s="17">
        <v>31008</v>
      </c>
      <c r="B353" t="s">
        <v>1930</v>
      </c>
    </row>
    <row r="354" spans="1:2" x14ac:dyDescent="0.25">
      <c r="A354" s="17">
        <v>31015</v>
      </c>
      <c r="B354" t="s">
        <v>1931</v>
      </c>
    </row>
    <row r="355" spans="1:2" x14ac:dyDescent="0.25">
      <c r="A355" s="17">
        <v>31020</v>
      </c>
      <c r="B355" t="s">
        <v>1931</v>
      </c>
    </row>
    <row r="356" spans="1:2" x14ac:dyDescent="0.25">
      <c r="A356" s="17">
        <v>31025</v>
      </c>
      <c r="B356" t="s">
        <v>1932</v>
      </c>
    </row>
    <row r="357" spans="1:2" x14ac:dyDescent="0.25">
      <c r="A357" s="17">
        <v>31030</v>
      </c>
      <c r="B357" t="s">
        <v>1933</v>
      </c>
    </row>
    <row r="358" spans="1:2" x14ac:dyDescent="0.25">
      <c r="A358" s="17">
        <v>31035</v>
      </c>
      <c r="B358" t="s">
        <v>1934</v>
      </c>
    </row>
    <row r="359" spans="1:2" x14ac:dyDescent="0.25">
      <c r="A359" s="17">
        <v>31040</v>
      </c>
      <c r="B359" t="s">
        <v>1935</v>
      </c>
    </row>
    <row r="360" spans="1:2" x14ac:dyDescent="0.25">
      <c r="A360" s="17">
        <v>31045</v>
      </c>
      <c r="B360" t="s">
        <v>1936</v>
      </c>
    </row>
    <row r="361" spans="1:2" x14ac:dyDescent="0.25">
      <c r="A361" s="17">
        <v>31050</v>
      </c>
      <c r="B361" t="s">
        <v>1937</v>
      </c>
    </row>
    <row r="362" spans="1:2" x14ac:dyDescent="0.25">
      <c r="A362" s="17">
        <v>31056</v>
      </c>
      <c r="B362" t="s">
        <v>1938</v>
      </c>
    </row>
    <row r="363" spans="1:2" x14ac:dyDescent="0.25">
      <c r="A363" s="17">
        <v>31060</v>
      </c>
      <c r="B363" t="s">
        <v>1939</v>
      </c>
    </row>
    <row r="364" spans="1:2" x14ac:dyDescent="0.25">
      <c r="A364" s="17">
        <v>31084</v>
      </c>
      <c r="B364" t="s">
        <v>1940</v>
      </c>
    </row>
    <row r="365" spans="1:2" x14ac:dyDescent="0.25">
      <c r="A365" s="17">
        <v>31095</v>
      </c>
      <c r="B365" t="s">
        <v>1941</v>
      </c>
    </row>
    <row r="366" spans="1:2" x14ac:dyDescent="0.25">
      <c r="A366" s="17">
        <v>31100</v>
      </c>
      <c r="B366" t="s">
        <v>1942</v>
      </c>
    </row>
    <row r="367" spans="1:2" x14ac:dyDescent="0.25">
      <c r="A367" s="17">
        <v>31105</v>
      </c>
      <c r="B367" t="s">
        <v>1943</v>
      </c>
    </row>
    <row r="368" spans="1:2" x14ac:dyDescent="0.25">
      <c r="A368" s="17">
        <v>31122</v>
      </c>
      <c r="B368" t="s">
        <v>1944</v>
      </c>
    </row>
    <row r="369" spans="1:2" x14ac:dyDescent="0.25">
      <c r="A369" s="17">
        <v>31130</v>
      </c>
      <c r="B369" t="s">
        <v>1945</v>
      </c>
    </row>
    <row r="370" spans="1:2" x14ac:dyDescent="0.25">
      <c r="A370" s="17">
        <v>31135</v>
      </c>
      <c r="B370" t="s">
        <v>1946</v>
      </c>
    </row>
    <row r="371" spans="1:2" x14ac:dyDescent="0.25">
      <c r="A371" s="17">
        <v>31140</v>
      </c>
      <c r="B371" t="s">
        <v>1947</v>
      </c>
    </row>
    <row r="372" spans="1:2" x14ac:dyDescent="0.25">
      <c r="A372" s="17">
        <v>32013</v>
      </c>
      <c r="B372" t="s">
        <v>1948</v>
      </c>
    </row>
    <row r="373" spans="1:2" x14ac:dyDescent="0.25">
      <c r="A373" s="17">
        <v>32023</v>
      </c>
      <c r="B373" t="s">
        <v>1949</v>
      </c>
    </row>
    <row r="374" spans="1:2" x14ac:dyDescent="0.25">
      <c r="A374" s="17">
        <v>32033</v>
      </c>
      <c r="B374" t="s">
        <v>1950</v>
      </c>
    </row>
    <row r="375" spans="1:2" x14ac:dyDescent="0.25">
      <c r="A375" s="17">
        <v>32040</v>
      </c>
      <c r="B375" t="s">
        <v>1951</v>
      </c>
    </row>
    <row r="376" spans="1:2" x14ac:dyDescent="0.25">
      <c r="A376" s="17">
        <v>32045</v>
      </c>
      <c r="B376" t="s">
        <v>1951</v>
      </c>
    </row>
    <row r="377" spans="1:2" x14ac:dyDescent="0.25">
      <c r="A377" s="17">
        <v>32050</v>
      </c>
      <c r="B377" t="s">
        <v>1952</v>
      </c>
    </row>
    <row r="378" spans="1:2" x14ac:dyDescent="0.25">
      <c r="A378" s="17">
        <v>32058</v>
      </c>
      <c r="B378" t="s">
        <v>1953</v>
      </c>
    </row>
    <row r="379" spans="1:2" x14ac:dyDescent="0.25">
      <c r="A379" s="17">
        <v>32065</v>
      </c>
      <c r="B379" t="s">
        <v>1954</v>
      </c>
    </row>
    <row r="380" spans="1:2" x14ac:dyDescent="0.25">
      <c r="A380" s="17">
        <v>32072</v>
      </c>
      <c r="B380" t="s">
        <v>1955</v>
      </c>
    </row>
    <row r="381" spans="1:2" x14ac:dyDescent="0.25">
      <c r="A381" s="17">
        <v>32080</v>
      </c>
      <c r="B381" t="s">
        <v>1956</v>
      </c>
    </row>
    <row r="382" spans="1:2" x14ac:dyDescent="0.25">
      <c r="A382" s="17">
        <v>32085</v>
      </c>
      <c r="B382" t="s">
        <v>1957</v>
      </c>
    </row>
    <row r="383" spans="1:2" x14ac:dyDescent="0.25">
      <c r="A383" s="17">
        <v>33007</v>
      </c>
      <c r="B383" t="s">
        <v>1958</v>
      </c>
    </row>
    <row r="384" spans="1:2" x14ac:dyDescent="0.25">
      <c r="A384" s="17">
        <v>33017</v>
      </c>
      <c r="B384" t="s">
        <v>1959</v>
      </c>
    </row>
    <row r="385" spans="1:2" x14ac:dyDescent="0.25">
      <c r="A385" s="17">
        <v>33025</v>
      </c>
      <c r="B385" t="s">
        <v>1960</v>
      </c>
    </row>
    <row r="386" spans="1:2" x14ac:dyDescent="0.25">
      <c r="A386" s="17">
        <v>33030</v>
      </c>
      <c r="B386" t="s">
        <v>1961</v>
      </c>
    </row>
    <row r="387" spans="1:2" x14ac:dyDescent="0.25">
      <c r="A387" s="17">
        <v>33035</v>
      </c>
      <c r="B387" t="s">
        <v>1962</v>
      </c>
    </row>
    <row r="388" spans="1:2" x14ac:dyDescent="0.25">
      <c r="A388" s="17">
        <v>33040</v>
      </c>
      <c r="B388" t="s">
        <v>1963</v>
      </c>
    </row>
    <row r="389" spans="1:2" x14ac:dyDescent="0.25">
      <c r="A389" s="17">
        <v>33045</v>
      </c>
      <c r="B389" t="s">
        <v>1964</v>
      </c>
    </row>
    <row r="390" spans="1:2" x14ac:dyDescent="0.25">
      <c r="A390" s="17">
        <v>33052</v>
      </c>
      <c r="B390" t="s">
        <v>1965</v>
      </c>
    </row>
    <row r="391" spans="1:2" x14ac:dyDescent="0.25">
      <c r="A391" s="17">
        <v>33060</v>
      </c>
      <c r="B391" t="s">
        <v>1966</v>
      </c>
    </row>
    <row r="392" spans="1:2" x14ac:dyDescent="0.25">
      <c r="A392" s="17">
        <v>33065</v>
      </c>
      <c r="B392" t="s">
        <v>1967</v>
      </c>
    </row>
    <row r="393" spans="1:2" x14ac:dyDescent="0.25">
      <c r="A393" s="17">
        <v>33070</v>
      </c>
      <c r="B393" t="s">
        <v>1968</v>
      </c>
    </row>
    <row r="394" spans="1:2" x14ac:dyDescent="0.25">
      <c r="A394" s="17">
        <v>33080</v>
      </c>
      <c r="B394" t="s">
        <v>1969</v>
      </c>
    </row>
    <row r="395" spans="1:2" x14ac:dyDescent="0.25">
      <c r="A395" s="17">
        <v>33085</v>
      </c>
      <c r="B395" t="s">
        <v>1970</v>
      </c>
    </row>
    <row r="396" spans="1:2" x14ac:dyDescent="0.25">
      <c r="A396" s="17">
        <v>33090</v>
      </c>
      <c r="B396" t="s">
        <v>1971</v>
      </c>
    </row>
    <row r="397" spans="1:2" x14ac:dyDescent="0.25">
      <c r="A397" s="17">
        <v>33095</v>
      </c>
      <c r="B397" t="s">
        <v>1972</v>
      </c>
    </row>
    <row r="398" spans="1:2" x14ac:dyDescent="0.25">
      <c r="A398" s="17">
        <v>33102</v>
      </c>
      <c r="B398" t="s">
        <v>1973</v>
      </c>
    </row>
    <row r="399" spans="1:2" x14ac:dyDescent="0.25">
      <c r="A399" s="17">
        <v>33115</v>
      </c>
      <c r="B399" t="s">
        <v>1974</v>
      </c>
    </row>
    <row r="400" spans="1:2" x14ac:dyDescent="0.25">
      <c r="A400" s="17">
        <v>33123</v>
      </c>
      <c r="B400" t="s">
        <v>1975</v>
      </c>
    </row>
    <row r="401" spans="1:2" x14ac:dyDescent="0.25">
      <c r="A401" s="17">
        <v>34007</v>
      </c>
      <c r="B401" t="s">
        <v>1976</v>
      </c>
    </row>
    <row r="402" spans="1:2" x14ac:dyDescent="0.25">
      <c r="A402" s="17">
        <v>34017</v>
      </c>
      <c r="B402" t="s">
        <v>1977</v>
      </c>
    </row>
    <row r="403" spans="1:2" x14ac:dyDescent="0.25">
      <c r="A403" s="17">
        <v>34025</v>
      </c>
      <c r="B403" t="s">
        <v>1978</v>
      </c>
    </row>
    <row r="404" spans="1:2" x14ac:dyDescent="0.25">
      <c r="A404" s="17">
        <v>34030</v>
      </c>
      <c r="B404" t="s">
        <v>1979</v>
      </c>
    </row>
    <row r="405" spans="1:2" x14ac:dyDescent="0.25">
      <c r="A405" s="17">
        <v>34038</v>
      </c>
      <c r="B405" t="s">
        <v>1980</v>
      </c>
    </row>
    <row r="406" spans="1:2" x14ac:dyDescent="0.25">
      <c r="A406" s="17">
        <v>34048</v>
      </c>
      <c r="B406" t="s">
        <v>1981</v>
      </c>
    </row>
    <row r="407" spans="1:2" x14ac:dyDescent="0.25">
      <c r="A407" s="17">
        <v>34058</v>
      </c>
      <c r="B407" t="s">
        <v>1982</v>
      </c>
    </row>
    <row r="408" spans="1:2" x14ac:dyDescent="0.25">
      <c r="A408" s="17">
        <v>34060</v>
      </c>
      <c r="B408" t="s">
        <v>1983</v>
      </c>
    </row>
    <row r="409" spans="1:2" x14ac:dyDescent="0.25">
      <c r="A409" s="17">
        <v>34065</v>
      </c>
      <c r="B409" t="s">
        <v>1984</v>
      </c>
    </row>
    <row r="410" spans="1:2" x14ac:dyDescent="0.25">
      <c r="A410" s="17">
        <v>34078</v>
      </c>
      <c r="B410" t="s">
        <v>1985</v>
      </c>
    </row>
    <row r="411" spans="1:2" x14ac:dyDescent="0.25">
      <c r="A411" s="17">
        <v>34085</v>
      </c>
      <c r="B411" t="s">
        <v>1986</v>
      </c>
    </row>
    <row r="412" spans="1:2" x14ac:dyDescent="0.25">
      <c r="A412" s="17">
        <v>34090</v>
      </c>
      <c r="B412" t="s">
        <v>1987</v>
      </c>
    </row>
    <row r="413" spans="1:2" x14ac:dyDescent="0.25">
      <c r="A413" s="17">
        <v>34097</v>
      </c>
      <c r="B413" t="s">
        <v>1988</v>
      </c>
    </row>
    <row r="414" spans="1:2" x14ac:dyDescent="0.25">
      <c r="A414" s="17">
        <v>34105</v>
      </c>
      <c r="B414" t="s">
        <v>1989</v>
      </c>
    </row>
    <row r="415" spans="1:2" x14ac:dyDescent="0.25">
      <c r="A415" s="17">
        <v>34115</v>
      </c>
      <c r="B415" t="s">
        <v>1990</v>
      </c>
    </row>
    <row r="416" spans="1:2" x14ac:dyDescent="0.25">
      <c r="A416" s="17">
        <v>34120</v>
      </c>
      <c r="B416" t="s">
        <v>1991</v>
      </c>
    </row>
    <row r="417" spans="1:2" x14ac:dyDescent="0.25">
      <c r="A417" s="17">
        <v>34128</v>
      </c>
      <c r="B417" t="s">
        <v>1992</v>
      </c>
    </row>
    <row r="418" spans="1:2" x14ac:dyDescent="0.25">
      <c r="A418" s="17">
        <v>34135</v>
      </c>
      <c r="B418" t="s">
        <v>1993</v>
      </c>
    </row>
    <row r="419" spans="1:2" x14ac:dyDescent="0.25">
      <c r="A419" s="17">
        <v>34902</v>
      </c>
      <c r="B419" t="s">
        <v>1994</v>
      </c>
    </row>
    <row r="420" spans="1:2" x14ac:dyDescent="0.25">
      <c r="A420" s="17">
        <v>34904</v>
      </c>
      <c r="B420" t="s">
        <v>1995</v>
      </c>
    </row>
    <row r="421" spans="1:2" x14ac:dyDescent="0.25">
      <c r="A421" s="17">
        <v>34906</v>
      </c>
      <c r="B421" t="s">
        <v>1996</v>
      </c>
    </row>
    <row r="422" spans="1:2" x14ac:dyDescent="0.25">
      <c r="A422" s="17">
        <v>35005</v>
      </c>
      <c r="B422" t="s">
        <v>1997</v>
      </c>
    </row>
    <row r="423" spans="1:2" x14ac:dyDescent="0.25">
      <c r="A423" s="17">
        <v>35010</v>
      </c>
      <c r="B423" t="s">
        <v>1998</v>
      </c>
    </row>
    <row r="424" spans="1:2" x14ac:dyDescent="0.25">
      <c r="A424" s="17">
        <v>35015</v>
      </c>
      <c r="B424" t="s">
        <v>1999</v>
      </c>
    </row>
    <row r="425" spans="1:2" x14ac:dyDescent="0.25">
      <c r="A425" s="17">
        <v>35020</v>
      </c>
      <c r="B425" t="s">
        <v>1881</v>
      </c>
    </row>
    <row r="426" spans="1:2" x14ac:dyDescent="0.25">
      <c r="A426" s="17">
        <v>35027</v>
      </c>
      <c r="B426" t="s">
        <v>2000</v>
      </c>
    </row>
    <row r="427" spans="1:2" x14ac:dyDescent="0.25">
      <c r="A427" s="17">
        <v>35035</v>
      </c>
      <c r="B427" t="s">
        <v>2001</v>
      </c>
    </row>
    <row r="428" spans="1:2" x14ac:dyDescent="0.25">
      <c r="A428" s="17">
        <v>35040</v>
      </c>
      <c r="B428" t="s">
        <v>2002</v>
      </c>
    </row>
    <row r="429" spans="1:2" x14ac:dyDescent="0.25">
      <c r="A429" s="17">
        <v>35045</v>
      </c>
      <c r="B429" t="s">
        <v>2003</v>
      </c>
    </row>
    <row r="430" spans="1:2" x14ac:dyDescent="0.25">
      <c r="A430" s="17">
        <v>35050</v>
      </c>
      <c r="B430" t="s">
        <v>2004</v>
      </c>
    </row>
    <row r="431" spans="1:2" x14ac:dyDescent="0.25">
      <c r="A431" s="17">
        <v>35055</v>
      </c>
      <c r="B431" t="s">
        <v>2005</v>
      </c>
    </row>
    <row r="432" spans="1:2" x14ac:dyDescent="0.25">
      <c r="A432" s="17">
        <v>35902</v>
      </c>
      <c r="B432" t="s">
        <v>2006</v>
      </c>
    </row>
    <row r="433" spans="1:2" x14ac:dyDescent="0.25">
      <c r="A433" s="17">
        <v>35904</v>
      </c>
      <c r="B433" t="s">
        <v>2007</v>
      </c>
    </row>
    <row r="434" spans="1:2" x14ac:dyDescent="0.25">
      <c r="A434" s="17">
        <v>35906</v>
      </c>
      <c r="B434" t="s">
        <v>2008</v>
      </c>
    </row>
    <row r="435" spans="1:2" x14ac:dyDescent="0.25">
      <c r="A435" s="17">
        <v>35908</v>
      </c>
      <c r="B435" t="s">
        <v>2009</v>
      </c>
    </row>
    <row r="436" spans="1:2" x14ac:dyDescent="0.25">
      <c r="A436" s="17">
        <v>36033</v>
      </c>
      <c r="B436" t="s">
        <v>2010</v>
      </c>
    </row>
    <row r="437" spans="1:2" x14ac:dyDescent="0.25">
      <c r="A437" s="17">
        <v>37067</v>
      </c>
      <c r="B437" t="s">
        <v>2011</v>
      </c>
    </row>
    <row r="438" spans="1:2" x14ac:dyDescent="0.25">
      <c r="A438" s="17">
        <v>37205</v>
      </c>
      <c r="B438" t="s">
        <v>2012</v>
      </c>
    </row>
    <row r="439" spans="1:2" x14ac:dyDescent="0.25">
      <c r="A439" s="17">
        <v>37210</v>
      </c>
      <c r="B439" t="s">
        <v>2013</v>
      </c>
    </row>
    <row r="440" spans="1:2" x14ac:dyDescent="0.25">
      <c r="A440" s="17">
        <v>37215</v>
      </c>
      <c r="B440" t="s">
        <v>2014</v>
      </c>
    </row>
    <row r="441" spans="1:2" x14ac:dyDescent="0.25">
      <c r="A441" s="17">
        <v>37220</v>
      </c>
      <c r="B441" t="s">
        <v>2015</v>
      </c>
    </row>
    <row r="442" spans="1:2" x14ac:dyDescent="0.25">
      <c r="A442" s="17">
        <v>37225</v>
      </c>
      <c r="B442" t="s">
        <v>2016</v>
      </c>
    </row>
    <row r="443" spans="1:2" x14ac:dyDescent="0.25">
      <c r="A443" s="17">
        <v>37230</v>
      </c>
      <c r="B443" t="s">
        <v>2017</v>
      </c>
    </row>
    <row r="444" spans="1:2" x14ac:dyDescent="0.25">
      <c r="A444" s="17">
        <v>37235</v>
      </c>
      <c r="B444" t="s">
        <v>2018</v>
      </c>
    </row>
    <row r="445" spans="1:2" x14ac:dyDescent="0.25">
      <c r="A445" s="17">
        <v>37240</v>
      </c>
      <c r="B445" t="s">
        <v>2019</v>
      </c>
    </row>
    <row r="446" spans="1:2" x14ac:dyDescent="0.25">
      <c r="A446" s="17">
        <v>37245</v>
      </c>
      <c r="B446" t="s">
        <v>2020</v>
      </c>
    </row>
    <row r="447" spans="1:2" x14ac:dyDescent="0.25">
      <c r="A447" s="17">
        <v>37250</v>
      </c>
      <c r="B447" t="s">
        <v>2021</v>
      </c>
    </row>
    <row r="448" spans="1:2" x14ac:dyDescent="0.25">
      <c r="A448" s="17">
        <v>38005</v>
      </c>
      <c r="B448" t="s">
        <v>2022</v>
      </c>
    </row>
    <row r="449" spans="1:2" x14ac:dyDescent="0.25">
      <c r="A449" s="17">
        <v>38010</v>
      </c>
      <c r="B449" t="s">
        <v>2023</v>
      </c>
    </row>
    <row r="450" spans="1:2" x14ac:dyDescent="0.25">
      <c r="A450" s="17">
        <v>38015</v>
      </c>
      <c r="B450" t="s">
        <v>2024</v>
      </c>
    </row>
    <row r="451" spans="1:2" x14ac:dyDescent="0.25">
      <c r="A451" s="17">
        <v>38020</v>
      </c>
      <c r="B451" t="s">
        <v>2025</v>
      </c>
    </row>
    <row r="452" spans="1:2" x14ac:dyDescent="0.25">
      <c r="A452" s="17">
        <v>38028</v>
      </c>
      <c r="B452" t="s">
        <v>2026</v>
      </c>
    </row>
    <row r="453" spans="1:2" x14ac:dyDescent="0.25">
      <c r="A453" s="17">
        <v>38035</v>
      </c>
      <c r="B453" t="s">
        <v>1711</v>
      </c>
    </row>
    <row r="454" spans="1:2" x14ac:dyDescent="0.25">
      <c r="A454" s="17">
        <v>38040</v>
      </c>
      <c r="B454" t="s">
        <v>2027</v>
      </c>
    </row>
    <row r="455" spans="1:2" x14ac:dyDescent="0.25">
      <c r="A455" s="17">
        <v>38047</v>
      </c>
      <c r="B455" t="s">
        <v>2028</v>
      </c>
    </row>
    <row r="456" spans="1:2" x14ac:dyDescent="0.25">
      <c r="A456" s="17">
        <v>38055</v>
      </c>
      <c r="B456" t="s">
        <v>2029</v>
      </c>
    </row>
    <row r="457" spans="1:2" x14ac:dyDescent="0.25">
      <c r="A457" s="17">
        <v>38060</v>
      </c>
      <c r="B457" t="s">
        <v>2030</v>
      </c>
    </row>
    <row r="458" spans="1:2" x14ac:dyDescent="0.25">
      <c r="A458" s="17">
        <v>38065</v>
      </c>
      <c r="B458" t="s">
        <v>2031</v>
      </c>
    </row>
    <row r="459" spans="1:2" x14ac:dyDescent="0.25">
      <c r="A459" s="17">
        <v>38070</v>
      </c>
      <c r="B459" t="s">
        <v>2032</v>
      </c>
    </row>
    <row r="460" spans="1:2" x14ac:dyDescent="0.25">
      <c r="A460" s="17">
        <v>38802</v>
      </c>
      <c r="B460" t="s">
        <v>2033</v>
      </c>
    </row>
    <row r="461" spans="1:2" x14ac:dyDescent="0.25">
      <c r="A461" s="17">
        <v>39005</v>
      </c>
      <c r="B461" t="s">
        <v>2034</v>
      </c>
    </row>
    <row r="462" spans="1:2" x14ac:dyDescent="0.25">
      <c r="A462" s="17">
        <v>39010</v>
      </c>
      <c r="B462" t="s">
        <v>2035</v>
      </c>
    </row>
    <row r="463" spans="1:2" x14ac:dyDescent="0.25">
      <c r="A463" s="17">
        <v>39015</v>
      </c>
      <c r="B463" t="s">
        <v>2036</v>
      </c>
    </row>
    <row r="464" spans="1:2" x14ac:dyDescent="0.25">
      <c r="A464" s="17">
        <v>39020</v>
      </c>
      <c r="B464" t="s">
        <v>2037</v>
      </c>
    </row>
    <row r="465" spans="1:2" x14ac:dyDescent="0.25">
      <c r="A465" s="17">
        <v>39025</v>
      </c>
      <c r="B465" t="s">
        <v>2038</v>
      </c>
    </row>
    <row r="466" spans="1:2" x14ac:dyDescent="0.25">
      <c r="A466" s="17">
        <v>39030</v>
      </c>
      <c r="B466" t="s">
        <v>2039</v>
      </c>
    </row>
    <row r="467" spans="1:2" x14ac:dyDescent="0.25">
      <c r="A467" s="17">
        <v>39035</v>
      </c>
      <c r="B467" t="s">
        <v>2040</v>
      </c>
    </row>
    <row r="468" spans="1:2" x14ac:dyDescent="0.25">
      <c r="A468" s="17">
        <v>39043</v>
      </c>
      <c r="B468" t="s">
        <v>2041</v>
      </c>
    </row>
    <row r="469" spans="1:2" x14ac:dyDescent="0.25">
      <c r="A469" s="17">
        <v>39060</v>
      </c>
      <c r="B469" t="s">
        <v>2042</v>
      </c>
    </row>
    <row r="470" spans="1:2" x14ac:dyDescent="0.25">
      <c r="A470" s="17">
        <v>39062</v>
      </c>
      <c r="B470" t="s">
        <v>2043</v>
      </c>
    </row>
    <row r="471" spans="1:2" x14ac:dyDescent="0.25">
      <c r="A471" s="17">
        <v>39077</v>
      </c>
      <c r="B471" t="s">
        <v>2044</v>
      </c>
    </row>
    <row r="472" spans="1:2" x14ac:dyDescent="0.25">
      <c r="A472" s="17">
        <v>39085</v>
      </c>
      <c r="B472" t="s">
        <v>2045</v>
      </c>
    </row>
    <row r="473" spans="1:2" x14ac:dyDescent="0.25">
      <c r="A473" s="17">
        <v>39090</v>
      </c>
      <c r="B473" t="s">
        <v>2046</v>
      </c>
    </row>
    <row r="474" spans="1:2" x14ac:dyDescent="0.25">
      <c r="A474" s="17">
        <v>39097</v>
      </c>
      <c r="B474" t="s">
        <v>2047</v>
      </c>
    </row>
    <row r="475" spans="1:2" x14ac:dyDescent="0.25">
      <c r="A475" s="17">
        <v>39105</v>
      </c>
      <c r="B475" t="s">
        <v>2048</v>
      </c>
    </row>
    <row r="476" spans="1:2" x14ac:dyDescent="0.25">
      <c r="A476" s="17">
        <v>39117</v>
      </c>
      <c r="B476" t="s">
        <v>2049</v>
      </c>
    </row>
    <row r="477" spans="1:2" x14ac:dyDescent="0.25">
      <c r="A477" s="17">
        <v>39130</v>
      </c>
      <c r="B477" t="s">
        <v>2050</v>
      </c>
    </row>
    <row r="478" spans="1:2" x14ac:dyDescent="0.25">
      <c r="A478" s="17">
        <v>39135</v>
      </c>
      <c r="B478" t="s">
        <v>2051</v>
      </c>
    </row>
    <row r="479" spans="1:2" x14ac:dyDescent="0.25">
      <c r="A479" s="17">
        <v>39145</v>
      </c>
      <c r="B479" t="s">
        <v>2052</v>
      </c>
    </row>
    <row r="480" spans="1:2" x14ac:dyDescent="0.25">
      <c r="A480" s="17">
        <v>39150</v>
      </c>
      <c r="B480" t="s">
        <v>2053</v>
      </c>
    </row>
    <row r="481" spans="1:2" x14ac:dyDescent="0.25">
      <c r="A481" s="17">
        <v>39155</v>
      </c>
      <c r="B481" t="s">
        <v>2054</v>
      </c>
    </row>
    <row r="482" spans="1:2" x14ac:dyDescent="0.25">
      <c r="A482" s="17">
        <v>39165</v>
      </c>
      <c r="B482" t="s">
        <v>2055</v>
      </c>
    </row>
    <row r="483" spans="1:2" x14ac:dyDescent="0.25">
      <c r="A483" s="17">
        <v>39170</v>
      </c>
      <c r="B483" t="s">
        <v>2056</v>
      </c>
    </row>
    <row r="484" spans="1:2" x14ac:dyDescent="0.25">
      <c r="A484" s="17">
        <v>40005</v>
      </c>
      <c r="B484" t="s">
        <v>2057</v>
      </c>
    </row>
    <row r="485" spans="1:2" x14ac:dyDescent="0.25">
      <c r="A485" s="17">
        <v>40010</v>
      </c>
      <c r="B485" t="s">
        <v>2058</v>
      </c>
    </row>
    <row r="486" spans="1:2" x14ac:dyDescent="0.25">
      <c r="A486" s="17">
        <v>40017</v>
      </c>
      <c r="B486" t="s">
        <v>2059</v>
      </c>
    </row>
    <row r="487" spans="1:2" x14ac:dyDescent="0.25">
      <c r="A487" s="17">
        <v>40025</v>
      </c>
      <c r="B487" t="s">
        <v>2060</v>
      </c>
    </row>
    <row r="488" spans="1:2" x14ac:dyDescent="0.25">
      <c r="A488" s="17">
        <v>40032</v>
      </c>
      <c r="B488" t="s">
        <v>2061</v>
      </c>
    </row>
    <row r="489" spans="1:2" x14ac:dyDescent="0.25">
      <c r="A489" s="17">
        <v>40043</v>
      </c>
      <c r="B489" t="s">
        <v>2062</v>
      </c>
    </row>
    <row r="490" spans="1:2" x14ac:dyDescent="0.25">
      <c r="A490" s="17">
        <v>40047</v>
      </c>
      <c r="B490" t="s">
        <v>2063</v>
      </c>
    </row>
    <row r="491" spans="1:2" x14ac:dyDescent="0.25">
      <c r="A491" s="17">
        <v>41012</v>
      </c>
      <c r="B491" t="s">
        <v>2064</v>
      </c>
    </row>
    <row r="492" spans="1:2" x14ac:dyDescent="0.25">
      <c r="A492" s="17">
        <v>41020</v>
      </c>
      <c r="B492" t="s">
        <v>2065</v>
      </c>
    </row>
    <row r="493" spans="1:2" x14ac:dyDescent="0.25">
      <c r="A493" s="17">
        <v>41027</v>
      </c>
      <c r="B493" t="s">
        <v>2066</v>
      </c>
    </row>
    <row r="494" spans="1:2" x14ac:dyDescent="0.25">
      <c r="A494" s="17">
        <v>41037</v>
      </c>
      <c r="B494" t="s">
        <v>2067</v>
      </c>
    </row>
    <row r="495" spans="1:2" x14ac:dyDescent="0.25">
      <c r="A495" s="17">
        <v>41038</v>
      </c>
      <c r="B495" t="s">
        <v>2068</v>
      </c>
    </row>
    <row r="496" spans="1:2" x14ac:dyDescent="0.25">
      <c r="A496" s="17">
        <v>41055</v>
      </c>
      <c r="B496" t="s">
        <v>2069</v>
      </c>
    </row>
    <row r="497" spans="1:2" x14ac:dyDescent="0.25">
      <c r="A497" s="17">
        <v>41060</v>
      </c>
      <c r="B497" t="s">
        <v>2070</v>
      </c>
    </row>
    <row r="498" spans="1:2" x14ac:dyDescent="0.25">
      <c r="A498" s="17">
        <v>41065</v>
      </c>
      <c r="B498" t="s">
        <v>2071</v>
      </c>
    </row>
    <row r="499" spans="1:2" x14ac:dyDescent="0.25">
      <c r="A499" s="17">
        <v>41070</v>
      </c>
      <c r="B499" t="s">
        <v>2072</v>
      </c>
    </row>
    <row r="500" spans="1:2" x14ac:dyDescent="0.25">
      <c r="A500" s="17">
        <v>41075</v>
      </c>
      <c r="B500" t="s">
        <v>2073</v>
      </c>
    </row>
    <row r="501" spans="1:2" x14ac:dyDescent="0.25">
      <c r="A501" s="17">
        <v>41080</v>
      </c>
      <c r="B501" t="s">
        <v>2074</v>
      </c>
    </row>
    <row r="502" spans="1:2" x14ac:dyDescent="0.25">
      <c r="A502" s="17">
        <v>41085</v>
      </c>
      <c r="B502" t="s">
        <v>2075</v>
      </c>
    </row>
    <row r="503" spans="1:2" x14ac:dyDescent="0.25">
      <c r="A503" s="17">
        <v>41098</v>
      </c>
      <c r="B503" t="s">
        <v>2076</v>
      </c>
    </row>
    <row r="504" spans="1:2" x14ac:dyDescent="0.25">
      <c r="A504" s="17">
        <v>41117</v>
      </c>
      <c r="B504" t="s">
        <v>2077</v>
      </c>
    </row>
    <row r="505" spans="1:2" x14ac:dyDescent="0.25">
      <c r="A505" s="17">
        <v>42005</v>
      </c>
      <c r="B505" t="s">
        <v>2078</v>
      </c>
    </row>
    <row r="506" spans="1:2" x14ac:dyDescent="0.25">
      <c r="A506" s="17">
        <v>42020</v>
      </c>
      <c r="B506" t="s">
        <v>2079</v>
      </c>
    </row>
    <row r="507" spans="1:2" x14ac:dyDescent="0.25">
      <c r="A507" s="17">
        <v>42025</v>
      </c>
      <c r="B507" t="s">
        <v>2080</v>
      </c>
    </row>
    <row r="508" spans="1:2" x14ac:dyDescent="0.25">
      <c r="A508" s="17">
        <v>42032</v>
      </c>
      <c r="B508" t="s">
        <v>2081</v>
      </c>
    </row>
    <row r="509" spans="1:2" x14ac:dyDescent="0.25">
      <c r="A509" s="17">
        <v>42040</v>
      </c>
      <c r="B509" t="s">
        <v>2082</v>
      </c>
    </row>
    <row r="510" spans="1:2" x14ac:dyDescent="0.25">
      <c r="A510" s="17">
        <v>42045</v>
      </c>
      <c r="B510" t="s">
        <v>2083</v>
      </c>
    </row>
    <row r="511" spans="1:2" x14ac:dyDescent="0.25">
      <c r="A511" s="17">
        <v>42050</v>
      </c>
      <c r="B511" t="s">
        <v>2084</v>
      </c>
    </row>
    <row r="512" spans="1:2" x14ac:dyDescent="0.25">
      <c r="A512" s="17">
        <v>42055</v>
      </c>
      <c r="B512" t="s">
        <v>2085</v>
      </c>
    </row>
    <row r="513" spans="1:2" x14ac:dyDescent="0.25">
      <c r="A513" s="17">
        <v>42060</v>
      </c>
      <c r="B513" t="s">
        <v>2085</v>
      </c>
    </row>
    <row r="514" spans="1:2" x14ac:dyDescent="0.25">
      <c r="A514" s="17">
        <v>42065</v>
      </c>
      <c r="B514" t="s">
        <v>2086</v>
      </c>
    </row>
    <row r="515" spans="1:2" x14ac:dyDescent="0.25">
      <c r="A515" s="17">
        <v>42070</v>
      </c>
      <c r="B515" t="s">
        <v>2087</v>
      </c>
    </row>
    <row r="516" spans="1:2" x14ac:dyDescent="0.25">
      <c r="A516" s="17">
        <v>42075</v>
      </c>
      <c r="B516" t="s">
        <v>2088</v>
      </c>
    </row>
    <row r="517" spans="1:2" x14ac:dyDescent="0.25">
      <c r="A517" s="17">
        <v>42078</v>
      </c>
      <c r="B517" t="s">
        <v>2089</v>
      </c>
    </row>
    <row r="518" spans="1:2" x14ac:dyDescent="0.25">
      <c r="A518" s="17">
        <v>42088</v>
      </c>
      <c r="B518" t="s">
        <v>2090</v>
      </c>
    </row>
    <row r="519" spans="1:2" x14ac:dyDescent="0.25">
      <c r="A519" s="17">
        <v>42095</v>
      </c>
      <c r="B519" t="s">
        <v>2091</v>
      </c>
    </row>
    <row r="520" spans="1:2" x14ac:dyDescent="0.25">
      <c r="A520" s="17">
        <v>42098</v>
      </c>
      <c r="B520" t="s">
        <v>2092</v>
      </c>
    </row>
    <row r="521" spans="1:2" x14ac:dyDescent="0.25">
      <c r="A521" s="17">
        <v>42100</v>
      </c>
      <c r="B521" t="s">
        <v>2093</v>
      </c>
    </row>
    <row r="522" spans="1:2" x14ac:dyDescent="0.25">
      <c r="A522" s="17">
        <v>42110</v>
      </c>
      <c r="B522" t="s">
        <v>2094</v>
      </c>
    </row>
    <row r="523" spans="1:2" x14ac:dyDescent="0.25">
      <c r="A523" s="17">
        <v>43027</v>
      </c>
      <c r="B523" t="s">
        <v>2095</v>
      </c>
    </row>
    <row r="524" spans="1:2" x14ac:dyDescent="0.25">
      <c r="A524" s="17">
        <v>44003</v>
      </c>
      <c r="B524" t="s">
        <v>317</v>
      </c>
    </row>
    <row r="525" spans="1:2" x14ac:dyDescent="0.25">
      <c r="A525" s="17">
        <v>44005</v>
      </c>
      <c r="B525" t="s">
        <v>318</v>
      </c>
    </row>
    <row r="526" spans="1:2" x14ac:dyDescent="0.25">
      <c r="A526" s="17">
        <v>44010</v>
      </c>
      <c r="B526" t="s">
        <v>319</v>
      </c>
    </row>
    <row r="527" spans="1:2" x14ac:dyDescent="0.25">
      <c r="A527" s="17">
        <v>44015</v>
      </c>
      <c r="B527" t="s">
        <v>320</v>
      </c>
    </row>
    <row r="528" spans="1:2" x14ac:dyDescent="0.25">
      <c r="A528" s="17">
        <v>44023</v>
      </c>
      <c r="B528" t="s">
        <v>321</v>
      </c>
    </row>
    <row r="529" spans="1:2" x14ac:dyDescent="0.25">
      <c r="A529" s="17">
        <v>44037</v>
      </c>
      <c r="B529" t="s">
        <v>322</v>
      </c>
    </row>
    <row r="530" spans="1:2" x14ac:dyDescent="0.25">
      <c r="A530" s="17">
        <v>44045</v>
      </c>
      <c r="B530" t="s">
        <v>323</v>
      </c>
    </row>
    <row r="531" spans="1:2" x14ac:dyDescent="0.25">
      <c r="A531" s="17">
        <v>44050</v>
      </c>
      <c r="B531" t="s">
        <v>324</v>
      </c>
    </row>
    <row r="532" spans="1:2" x14ac:dyDescent="0.25">
      <c r="A532" s="17">
        <v>44055</v>
      </c>
      <c r="B532" t="s">
        <v>325</v>
      </c>
    </row>
    <row r="533" spans="1:2" x14ac:dyDescent="0.25">
      <c r="A533" s="17">
        <v>44060</v>
      </c>
      <c r="B533" t="s">
        <v>326</v>
      </c>
    </row>
    <row r="534" spans="1:2" x14ac:dyDescent="0.25">
      <c r="A534" s="17">
        <v>44071</v>
      </c>
      <c r="B534" t="s">
        <v>327</v>
      </c>
    </row>
    <row r="535" spans="1:2" x14ac:dyDescent="0.25">
      <c r="A535" s="17">
        <v>44080</v>
      </c>
      <c r="B535" t="s">
        <v>328</v>
      </c>
    </row>
    <row r="536" spans="1:2" x14ac:dyDescent="0.25">
      <c r="A536" s="17">
        <v>45008</v>
      </c>
      <c r="B536" t="s">
        <v>329</v>
      </c>
    </row>
    <row r="537" spans="1:2" x14ac:dyDescent="0.25">
      <c r="A537" s="17">
        <v>45020</v>
      </c>
      <c r="B537" t="s">
        <v>330</v>
      </c>
    </row>
    <row r="538" spans="1:2" x14ac:dyDescent="0.25">
      <c r="A538" s="17">
        <v>45025</v>
      </c>
      <c r="B538" t="s">
        <v>329</v>
      </c>
    </row>
    <row r="539" spans="1:2" x14ac:dyDescent="0.25">
      <c r="A539" s="17">
        <v>45030</v>
      </c>
      <c r="B539" t="s">
        <v>331</v>
      </c>
    </row>
    <row r="540" spans="1:2" x14ac:dyDescent="0.25">
      <c r="A540" s="17">
        <v>45035</v>
      </c>
      <c r="B540" t="s">
        <v>332</v>
      </c>
    </row>
    <row r="541" spans="1:2" x14ac:dyDescent="0.25">
      <c r="A541" s="17">
        <v>45043</v>
      </c>
      <c r="B541" t="s">
        <v>333</v>
      </c>
    </row>
    <row r="542" spans="1:2" x14ac:dyDescent="0.25">
      <c r="A542" s="17">
        <v>45050</v>
      </c>
      <c r="B542" t="s">
        <v>334</v>
      </c>
    </row>
    <row r="543" spans="1:2" x14ac:dyDescent="0.25">
      <c r="A543" s="17">
        <v>45055</v>
      </c>
      <c r="B543" t="s">
        <v>333</v>
      </c>
    </row>
    <row r="544" spans="1:2" x14ac:dyDescent="0.25">
      <c r="A544" s="17">
        <v>45060</v>
      </c>
      <c r="B544" t="s">
        <v>335</v>
      </c>
    </row>
    <row r="545" spans="1:2" x14ac:dyDescent="0.25">
      <c r="A545" s="17">
        <v>45072</v>
      </c>
      <c r="B545" t="s">
        <v>336</v>
      </c>
    </row>
    <row r="546" spans="1:2" x14ac:dyDescent="0.25">
      <c r="A546" s="17">
        <v>45080</v>
      </c>
      <c r="B546" t="s">
        <v>337</v>
      </c>
    </row>
    <row r="547" spans="1:2" x14ac:dyDescent="0.25">
      <c r="A547" s="17">
        <v>45085</v>
      </c>
      <c r="B547" t="s">
        <v>338</v>
      </c>
    </row>
    <row r="548" spans="1:2" x14ac:dyDescent="0.25">
      <c r="A548" s="17">
        <v>45093</v>
      </c>
      <c r="B548" t="s">
        <v>339</v>
      </c>
    </row>
    <row r="549" spans="1:2" x14ac:dyDescent="0.25">
      <c r="A549" s="17">
        <v>45095</v>
      </c>
      <c r="B549" t="s">
        <v>340</v>
      </c>
    </row>
    <row r="550" spans="1:2" x14ac:dyDescent="0.25">
      <c r="A550" s="17">
        <v>45100</v>
      </c>
      <c r="B550" t="s">
        <v>341</v>
      </c>
    </row>
    <row r="551" spans="1:2" x14ac:dyDescent="0.25">
      <c r="A551" s="17">
        <v>45105</v>
      </c>
      <c r="B551" t="s">
        <v>342</v>
      </c>
    </row>
    <row r="552" spans="1:2" x14ac:dyDescent="0.25">
      <c r="A552" s="17">
        <v>45115</v>
      </c>
      <c r="B552" t="s">
        <v>343</v>
      </c>
    </row>
    <row r="553" spans="1:2" x14ac:dyDescent="0.25">
      <c r="A553" s="17">
        <v>46005</v>
      </c>
      <c r="B553" t="s">
        <v>344</v>
      </c>
    </row>
    <row r="554" spans="1:2" x14ac:dyDescent="0.25">
      <c r="A554" s="17">
        <v>46010</v>
      </c>
      <c r="B554" t="s">
        <v>345</v>
      </c>
    </row>
    <row r="555" spans="1:2" x14ac:dyDescent="0.25">
      <c r="A555" s="17">
        <v>46017</v>
      </c>
      <c r="B555" t="s">
        <v>346</v>
      </c>
    </row>
    <row r="556" spans="1:2" x14ac:dyDescent="0.25">
      <c r="A556" s="17">
        <v>46025</v>
      </c>
      <c r="B556" t="s">
        <v>347</v>
      </c>
    </row>
    <row r="557" spans="1:2" x14ac:dyDescent="0.25">
      <c r="A557" s="17">
        <v>46030</v>
      </c>
      <c r="B557" t="s">
        <v>348</v>
      </c>
    </row>
    <row r="558" spans="1:2" x14ac:dyDescent="0.25">
      <c r="A558" s="17">
        <v>46035</v>
      </c>
      <c r="B558" t="s">
        <v>349</v>
      </c>
    </row>
    <row r="559" spans="1:2" x14ac:dyDescent="0.25">
      <c r="A559" s="17">
        <v>46040</v>
      </c>
      <c r="B559" t="s">
        <v>349</v>
      </c>
    </row>
    <row r="560" spans="1:2" x14ac:dyDescent="0.25">
      <c r="A560" s="17">
        <v>46045</v>
      </c>
      <c r="B560" t="s">
        <v>350</v>
      </c>
    </row>
    <row r="561" spans="1:2" x14ac:dyDescent="0.25">
      <c r="A561" s="17">
        <v>46050</v>
      </c>
      <c r="B561" t="s">
        <v>351</v>
      </c>
    </row>
    <row r="562" spans="1:2" x14ac:dyDescent="0.25">
      <c r="A562" s="17">
        <v>46058</v>
      </c>
      <c r="B562" t="s">
        <v>352</v>
      </c>
    </row>
    <row r="563" spans="1:2" x14ac:dyDescent="0.25">
      <c r="A563" s="17">
        <v>46065</v>
      </c>
      <c r="B563" t="s">
        <v>353</v>
      </c>
    </row>
    <row r="564" spans="1:2" x14ac:dyDescent="0.25">
      <c r="A564" s="17">
        <v>46070</v>
      </c>
      <c r="B564" t="s">
        <v>354</v>
      </c>
    </row>
    <row r="565" spans="1:2" x14ac:dyDescent="0.25">
      <c r="A565" s="17">
        <v>46075</v>
      </c>
      <c r="B565" t="s">
        <v>355</v>
      </c>
    </row>
    <row r="566" spans="1:2" x14ac:dyDescent="0.25">
      <c r="A566" s="17">
        <v>46078</v>
      </c>
      <c r="B566" t="s">
        <v>356</v>
      </c>
    </row>
    <row r="567" spans="1:2" x14ac:dyDescent="0.25">
      <c r="A567" s="17">
        <v>46080</v>
      </c>
      <c r="B567" t="s">
        <v>357</v>
      </c>
    </row>
    <row r="568" spans="1:2" x14ac:dyDescent="0.25">
      <c r="A568" s="17">
        <v>46085</v>
      </c>
      <c r="B568" t="s">
        <v>358</v>
      </c>
    </row>
    <row r="569" spans="1:2" x14ac:dyDescent="0.25">
      <c r="A569" s="17">
        <v>46090</v>
      </c>
      <c r="B569" t="s">
        <v>359</v>
      </c>
    </row>
    <row r="570" spans="1:2" x14ac:dyDescent="0.25">
      <c r="A570" s="17">
        <v>46095</v>
      </c>
      <c r="B570" t="s">
        <v>360</v>
      </c>
    </row>
    <row r="571" spans="1:2" x14ac:dyDescent="0.25">
      <c r="A571" s="17">
        <v>46100</v>
      </c>
      <c r="B571" t="s">
        <v>361</v>
      </c>
    </row>
    <row r="572" spans="1:2" x14ac:dyDescent="0.25">
      <c r="A572" s="17">
        <v>46105</v>
      </c>
      <c r="B572" t="s">
        <v>1891</v>
      </c>
    </row>
    <row r="573" spans="1:2" x14ac:dyDescent="0.25">
      <c r="A573" s="17">
        <v>46112</v>
      </c>
      <c r="B573" t="s">
        <v>362</v>
      </c>
    </row>
    <row r="574" spans="1:2" x14ac:dyDescent="0.25">
      <c r="A574" s="17">
        <v>47010</v>
      </c>
      <c r="B574" t="s">
        <v>363</v>
      </c>
    </row>
    <row r="575" spans="1:2" x14ac:dyDescent="0.25">
      <c r="A575" s="17">
        <v>47017</v>
      </c>
      <c r="B575" t="s">
        <v>364</v>
      </c>
    </row>
    <row r="576" spans="1:2" x14ac:dyDescent="0.25">
      <c r="A576" s="17">
        <v>47025</v>
      </c>
      <c r="B576" t="s">
        <v>365</v>
      </c>
    </row>
    <row r="577" spans="1:2" x14ac:dyDescent="0.25">
      <c r="A577" s="17">
        <v>47030</v>
      </c>
      <c r="B577" t="s">
        <v>366</v>
      </c>
    </row>
    <row r="578" spans="1:2" x14ac:dyDescent="0.25">
      <c r="A578" s="17">
        <v>47035</v>
      </c>
      <c r="B578" t="s">
        <v>367</v>
      </c>
    </row>
    <row r="579" spans="1:2" x14ac:dyDescent="0.25">
      <c r="A579" s="17">
        <v>47040</v>
      </c>
      <c r="B579" t="s">
        <v>368</v>
      </c>
    </row>
    <row r="580" spans="1:2" x14ac:dyDescent="0.25">
      <c r="A580" s="17">
        <v>47047</v>
      </c>
      <c r="B580" t="s">
        <v>369</v>
      </c>
    </row>
    <row r="581" spans="1:2" x14ac:dyDescent="0.25">
      <c r="A581" s="17">
        <v>47055</v>
      </c>
      <c r="B581" t="s">
        <v>370</v>
      </c>
    </row>
    <row r="582" spans="1:2" x14ac:dyDescent="0.25">
      <c r="A582" s="17">
        <v>48005</v>
      </c>
      <c r="B582" t="s">
        <v>371</v>
      </c>
    </row>
    <row r="583" spans="1:2" x14ac:dyDescent="0.25">
      <c r="A583" s="17">
        <v>48010</v>
      </c>
      <c r="B583" t="s">
        <v>372</v>
      </c>
    </row>
    <row r="584" spans="1:2" x14ac:dyDescent="0.25">
      <c r="A584" s="17">
        <v>48015</v>
      </c>
      <c r="B584" t="s">
        <v>373</v>
      </c>
    </row>
    <row r="585" spans="1:2" x14ac:dyDescent="0.25">
      <c r="A585" s="17">
        <v>48020</v>
      </c>
      <c r="B585" t="s">
        <v>374</v>
      </c>
    </row>
    <row r="586" spans="1:2" x14ac:dyDescent="0.25">
      <c r="A586" s="17">
        <v>48028</v>
      </c>
      <c r="B586" t="s">
        <v>375</v>
      </c>
    </row>
    <row r="587" spans="1:2" x14ac:dyDescent="0.25">
      <c r="A587" s="17">
        <v>48038</v>
      </c>
      <c r="B587" t="s">
        <v>376</v>
      </c>
    </row>
    <row r="588" spans="1:2" x14ac:dyDescent="0.25">
      <c r="A588" s="17">
        <v>48045</v>
      </c>
      <c r="B588" t="s">
        <v>377</v>
      </c>
    </row>
    <row r="589" spans="1:2" x14ac:dyDescent="0.25">
      <c r="A589" s="17">
        <v>48050</v>
      </c>
      <c r="B589" t="s">
        <v>378</v>
      </c>
    </row>
    <row r="590" spans="1:2" x14ac:dyDescent="0.25">
      <c r="A590" s="17">
        <v>49005</v>
      </c>
      <c r="B590" t="s">
        <v>379</v>
      </c>
    </row>
    <row r="591" spans="1:2" x14ac:dyDescent="0.25">
      <c r="A591" s="17">
        <v>49015</v>
      </c>
      <c r="B591" t="s">
        <v>380</v>
      </c>
    </row>
    <row r="592" spans="1:2" x14ac:dyDescent="0.25">
      <c r="A592" s="17">
        <v>49020</v>
      </c>
      <c r="B592" t="s">
        <v>381</v>
      </c>
    </row>
    <row r="593" spans="1:2" x14ac:dyDescent="0.25">
      <c r="A593" s="17">
        <v>49025</v>
      </c>
      <c r="B593" t="s">
        <v>382</v>
      </c>
    </row>
    <row r="594" spans="1:2" x14ac:dyDescent="0.25">
      <c r="A594" s="17">
        <v>49030</v>
      </c>
      <c r="B594" t="s">
        <v>383</v>
      </c>
    </row>
    <row r="595" spans="1:2" x14ac:dyDescent="0.25">
      <c r="A595" s="17">
        <v>49040</v>
      </c>
      <c r="B595" t="s">
        <v>384</v>
      </c>
    </row>
    <row r="596" spans="1:2" x14ac:dyDescent="0.25">
      <c r="A596" s="17">
        <v>49048</v>
      </c>
      <c r="B596" t="s">
        <v>385</v>
      </c>
    </row>
    <row r="597" spans="1:2" x14ac:dyDescent="0.25">
      <c r="A597" s="17">
        <v>49058</v>
      </c>
      <c r="B597" t="s">
        <v>386</v>
      </c>
    </row>
    <row r="598" spans="1:2" x14ac:dyDescent="0.25">
      <c r="A598" s="17">
        <v>49070</v>
      </c>
      <c r="B598" t="s">
        <v>387</v>
      </c>
    </row>
    <row r="599" spans="1:2" x14ac:dyDescent="0.25">
      <c r="A599" s="17">
        <v>49075</v>
      </c>
      <c r="B599" t="s">
        <v>388</v>
      </c>
    </row>
    <row r="600" spans="1:2" x14ac:dyDescent="0.25">
      <c r="A600" s="17">
        <v>49080</v>
      </c>
      <c r="B600" t="s">
        <v>388</v>
      </c>
    </row>
    <row r="601" spans="1:2" x14ac:dyDescent="0.25">
      <c r="A601" s="17">
        <v>49085</v>
      </c>
      <c r="B601" t="s">
        <v>389</v>
      </c>
    </row>
    <row r="602" spans="1:2" x14ac:dyDescent="0.25">
      <c r="A602" s="17">
        <v>49095</v>
      </c>
      <c r="B602" t="s">
        <v>390</v>
      </c>
    </row>
    <row r="603" spans="1:2" x14ac:dyDescent="0.25">
      <c r="A603" s="17">
        <v>49100</v>
      </c>
      <c r="B603" t="s">
        <v>391</v>
      </c>
    </row>
    <row r="604" spans="1:2" x14ac:dyDescent="0.25">
      <c r="A604" s="17">
        <v>49105</v>
      </c>
      <c r="B604" t="s">
        <v>392</v>
      </c>
    </row>
    <row r="605" spans="1:2" x14ac:dyDescent="0.25">
      <c r="A605" s="17">
        <v>49113</v>
      </c>
      <c r="B605" t="s">
        <v>393</v>
      </c>
    </row>
    <row r="606" spans="1:2" x14ac:dyDescent="0.25">
      <c r="A606" s="17">
        <v>49125</v>
      </c>
      <c r="B606" t="s">
        <v>394</v>
      </c>
    </row>
    <row r="607" spans="1:2" x14ac:dyDescent="0.25">
      <c r="A607" s="17">
        <v>49130</v>
      </c>
      <c r="B607" t="s">
        <v>395</v>
      </c>
    </row>
    <row r="608" spans="1:2" x14ac:dyDescent="0.25">
      <c r="A608" s="17">
        <v>50005</v>
      </c>
      <c r="B608" t="s">
        <v>396</v>
      </c>
    </row>
    <row r="609" spans="1:2" x14ac:dyDescent="0.25">
      <c r="A609" s="17">
        <v>50013</v>
      </c>
      <c r="B609" t="s">
        <v>397</v>
      </c>
    </row>
    <row r="610" spans="1:2" x14ac:dyDescent="0.25">
      <c r="A610" s="17">
        <v>50023</v>
      </c>
      <c r="B610" t="s">
        <v>398</v>
      </c>
    </row>
    <row r="611" spans="1:2" x14ac:dyDescent="0.25">
      <c r="A611" s="17">
        <v>50030</v>
      </c>
      <c r="B611" t="s">
        <v>399</v>
      </c>
    </row>
    <row r="612" spans="1:2" x14ac:dyDescent="0.25">
      <c r="A612" s="17">
        <v>50035</v>
      </c>
      <c r="B612" t="s">
        <v>399</v>
      </c>
    </row>
    <row r="613" spans="1:2" x14ac:dyDescent="0.25">
      <c r="A613" s="17">
        <v>50042</v>
      </c>
      <c r="B613" t="s">
        <v>400</v>
      </c>
    </row>
    <row r="614" spans="1:2" x14ac:dyDescent="0.25">
      <c r="A614" s="17">
        <v>50050</v>
      </c>
      <c r="B614" t="s">
        <v>1786</v>
      </c>
    </row>
    <row r="615" spans="1:2" x14ac:dyDescent="0.25">
      <c r="A615" s="17">
        <v>50057</v>
      </c>
      <c r="B615" t="s">
        <v>401</v>
      </c>
    </row>
    <row r="616" spans="1:2" x14ac:dyDescent="0.25">
      <c r="A616" s="17">
        <v>50065</v>
      </c>
      <c r="B616" t="s">
        <v>402</v>
      </c>
    </row>
    <row r="617" spans="1:2" x14ac:dyDescent="0.25">
      <c r="A617" s="17">
        <v>50072</v>
      </c>
      <c r="B617" t="s">
        <v>403</v>
      </c>
    </row>
    <row r="618" spans="1:2" x14ac:dyDescent="0.25">
      <c r="A618" s="17">
        <v>50085</v>
      </c>
      <c r="B618" t="s">
        <v>404</v>
      </c>
    </row>
    <row r="619" spans="1:2" x14ac:dyDescent="0.25">
      <c r="A619" s="17">
        <v>50090</v>
      </c>
      <c r="B619" t="s">
        <v>405</v>
      </c>
    </row>
    <row r="620" spans="1:2" x14ac:dyDescent="0.25">
      <c r="A620" s="17">
        <v>50095</v>
      </c>
      <c r="B620" t="s">
        <v>406</v>
      </c>
    </row>
    <row r="621" spans="1:2" x14ac:dyDescent="0.25">
      <c r="A621" s="17">
        <v>50100</v>
      </c>
      <c r="B621" t="s">
        <v>407</v>
      </c>
    </row>
    <row r="622" spans="1:2" x14ac:dyDescent="0.25">
      <c r="A622" s="17">
        <v>50113</v>
      </c>
      <c r="B622" t="s">
        <v>408</v>
      </c>
    </row>
    <row r="623" spans="1:2" x14ac:dyDescent="0.25">
      <c r="A623" s="17">
        <v>50128</v>
      </c>
      <c r="B623" t="s">
        <v>409</v>
      </c>
    </row>
    <row r="624" spans="1:2" x14ac:dyDescent="0.25">
      <c r="A624" s="17">
        <v>50802</v>
      </c>
      <c r="B624" t="s">
        <v>410</v>
      </c>
    </row>
    <row r="625" spans="1:2" x14ac:dyDescent="0.25">
      <c r="A625" s="17">
        <v>51008</v>
      </c>
      <c r="B625" t="s">
        <v>411</v>
      </c>
    </row>
    <row r="626" spans="1:2" x14ac:dyDescent="0.25">
      <c r="A626" s="17">
        <v>51015</v>
      </c>
      <c r="B626" t="s">
        <v>412</v>
      </c>
    </row>
    <row r="627" spans="1:2" x14ac:dyDescent="0.25">
      <c r="A627" s="17">
        <v>51020</v>
      </c>
      <c r="B627" t="s">
        <v>413</v>
      </c>
    </row>
    <row r="628" spans="1:2" x14ac:dyDescent="0.25">
      <c r="A628" s="17">
        <v>51025</v>
      </c>
      <c r="B628" t="s">
        <v>414</v>
      </c>
    </row>
    <row r="629" spans="1:2" x14ac:dyDescent="0.25">
      <c r="A629" s="17">
        <v>51030</v>
      </c>
      <c r="B629" t="s">
        <v>415</v>
      </c>
    </row>
    <row r="630" spans="1:2" x14ac:dyDescent="0.25">
      <c r="A630" s="17">
        <v>51035</v>
      </c>
      <c r="B630" t="s">
        <v>1597</v>
      </c>
    </row>
    <row r="631" spans="1:2" x14ac:dyDescent="0.25">
      <c r="A631" s="17">
        <v>51040</v>
      </c>
      <c r="B631" t="s">
        <v>416</v>
      </c>
    </row>
    <row r="632" spans="1:2" x14ac:dyDescent="0.25">
      <c r="A632" s="17">
        <v>51045</v>
      </c>
      <c r="B632" t="s">
        <v>417</v>
      </c>
    </row>
    <row r="633" spans="1:2" x14ac:dyDescent="0.25">
      <c r="A633" s="17">
        <v>51050</v>
      </c>
      <c r="B633" t="s">
        <v>418</v>
      </c>
    </row>
    <row r="634" spans="1:2" x14ac:dyDescent="0.25">
      <c r="A634" s="17">
        <v>51055</v>
      </c>
      <c r="B634" t="s">
        <v>419</v>
      </c>
    </row>
    <row r="635" spans="1:2" x14ac:dyDescent="0.25">
      <c r="A635" s="17">
        <v>51060</v>
      </c>
      <c r="B635" t="s">
        <v>420</v>
      </c>
    </row>
    <row r="636" spans="1:2" x14ac:dyDescent="0.25">
      <c r="A636" s="17">
        <v>51065</v>
      </c>
      <c r="B636" t="s">
        <v>421</v>
      </c>
    </row>
    <row r="637" spans="1:2" x14ac:dyDescent="0.25">
      <c r="A637" s="17">
        <v>51070</v>
      </c>
      <c r="B637" t="s">
        <v>422</v>
      </c>
    </row>
    <row r="638" spans="1:2" x14ac:dyDescent="0.25">
      <c r="A638" s="17">
        <v>51075</v>
      </c>
      <c r="B638" t="s">
        <v>423</v>
      </c>
    </row>
    <row r="639" spans="1:2" x14ac:dyDescent="0.25">
      <c r="A639" s="17">
        <v>51080</v>
      </c>
      <c r="B639" t="s">
        <v>424</v>
      </c>
    </row>
    <row r="640" spans="1:2" x14ac:dyDescent="0.25">
      <c r="A640" s="17">
        <v>51085</v>
      </c>
      <c r="B640" t="s">
        <v>425</v>
      </c>
    </row>
    <row r="641" spans="1:2" x14ac:dyDescent="0.25">
      <c r="A641" s="17">
        <v>51090</v>
      </c>
      <c r="B641" t="s">
        <v>426</v>
      </c>
    </row>
    <row r="642" spans="1:2" x14ac:dyDescent="0.25">
      <c r="A642" s="17">
        <v>52007</v>
      </c>
      <c r="B642" t="s">
        <v>427</v>
      </c>
    </row>
    <row r="643" spans="1:2" x14ac:dyDescent="0.25">
      <c r="A643" s="17">
        <v>52017</v>
      </c>
      <c r="B643" t="s">
        <v>428</v>
      </c>
    </row>
    <row r="644" spans="1:2" x14ac:dyDescent="0.25">
      <c r="A644" s="17">
        <v>52030</v>
      </c>
      <c r="B644" t="s">
        <v>429</v>
      </c>
    </row>
    <row r="645" spans="1:2" x14ac:dyDescent="0.25">
      <c r="A645" s="17">
        <v>52035</v>
      </c>
      <c r="B645" t="s">
        <v>430</v>
      </c>
    </row>
    <row r="646" spans="1:2" x14ac:dyDescent="0.25">
      <c r="A646" s="17">
        <v>52040</v>
      </c>
      <c r="B646" t="s">
        <v>431</v>
      </c>
    </row>
    <row r="647" spans="1:2" x14ac:dyDescent="0.25">
      <c r="A647" s="17">
        <v>52045</v>
      </c>
      <c r="B647" t="s">
        <v>432</v>
      </c>
    </row>
    <row r="648" spans="1:2" x14ac:dyDescent="0.25">
      <c r="A648" s="17">
        <v>52050</v>
      </c>
      <c r="B648" t="s">
        <v>433</v>
      </c>
    </row>
    <row r="649" spans="1:2" x14ac:dyDescent="0.25">
      <c r="A649" s="17">
        <v>52055</v>
      </c>
      <c r="B649" t="s">
        <v>434</v>
      </c>
    </row>
    <row r="650" spans="1:2" x14ac:dyDescent="0.25">
      <c r="A650" s="17">
        <v>52062</v>
      </c>
      <c r="B650" t="s">
        <v>435</v>
      </c>
    </row>
    <row r="651" spans="1:2" x14ac:dyDescent="0.25">
      <c r="A651" s="17">
        <v>52070</v>
      </c>
      <c r="B651" t="s">
        <v>436</v>
      </c>
    </row>
    <row r="652" spans="1:2" x14ac:dyDescent="0.25">
      <c r="A652" s="17">
        <v>52075</v>
      </c>
      <c r="B652" t="s">
        <v>437</v>
      </c>
    </row>
    <row r="653" spans="1:2" x14ac:dyDescent="0.25">
      <c r="A653" s="17">
        <v>52080</v>
      </c>
      <c r="B653" t="s">
        <v>438</v>
      </c>
    </row>
    <row r="654" spans="1:2" x14ac:dyDescent="0.25">
      <c r="A654" s="17">
        <v>52085</v>
      </c>
      <c r="B654" t="s">
        <v>439</v>
      </c>
    </row>
    <row r="655" spans="1:2" x14ac:dyDescent="0.25">
      <c r="A655" s="17">
        <v>52090</v>
      </c>
      <c r="B655" t="s">
        <v>440</v>
      </c>
    </row>
    <row r="656" spans="1:2" x14ac:dyDescent="0.25">
      <c r="A656" s="17">
        <v>52095</v>
      </c>
      <c r="B656" t="s">
        <v>441</v>
      </c>
    </row>
    <row r="657" spans="1:2" x14ac:dyDescent="0.25">
      <c r="A657" s="17">
        <v>53005</v>
      </c>
      <c r="B657" t="s">
        <v>442</v>
      </c>
    </row>
    <row r="658" spans="1:2" x14ac:dyDescent="0.25">
      <c r="A658" s="17">
        <v>53010</v>
      </c>
      <c r="B658" t="s">
        <v>443</v>
      </c>
    </row>
    <row r="659" spans="1:2" x14ac:dyDescent="0.25">
      <c r="A659" s="17">
        <v>53015</v>
      </c>
      <c r="B659" t="s">
        <v>444</v>
      </c>
    </row>
    <row r="660" spans="1:2" x14ac:dyDescent="0.25">
      <c r="A660" s="17">
        <v>53020</v>
      </c>
      <c r="B660" t="s">
        <v>445</v>
      </c>
    </row>
    <row r="661" spans="1:2" x14ac:dyDescent="0.25">
      <c r="A661" s="17">
        <v>53025</v>
      </c>
      <c r="B661" t="s">
        <v>446</v>
      </c>
    </row>
    <row r="662" spans="1:2" x14ac:dyDescent="0.25">
      <c r="A662" s="17">
        <v>53032</v>
      </c>
      <c r="B662" t="s">
        <v>447</v>
      </c>
    </row>
    <row r="663" spans="1:2" x14ac:dyDescent="0.25">
      <c r="A663" s="17">
        <v>53040</v>
      </c>
      <c r="B663" t="s">
        <v>448</v>
      </c>
    </row>
    <row r="664" spans="1:2" x14ac:dyDescent="0.25">
      <c r="A664" s="17">
        <v>53050</v>
      </c>
      <c r="B664" t="s">
        <v>449</v>
      </c>
    </row>
    <row r="665" spans="1:2" x14ac:dyDescent="0.25">
      <c r="A665" s="17">
        <v>53052</v>
      </c>
      <c r="B665" t="s">
        <v>450</v>
      </c>
    </row>
    <row r="666" spans="1:2" x14ac:dyDescent="0.25">
      <c r="A666" s="17">
        <v>53065</v>
      </c>
      <c r="B666" t="s">
        <v>451</v>
      </c>
    </row>
    <row r="667" spans="1:2" x14ac:dyDescent="0.25">
      <c r="A667" s="17">
        <v>53072</v>
      </c>
      <c r="B667" t="s">
        <v>452</v>
      </c>
    </row>
    <row r="668" spans="1:2" x14ac:dyDescent="0.25">
      <c r="A668" s="17">
        <v>53085</v>
      </c>
      <c r="B668" t="s">
        <v>453</v>
      </c>
    </row>
    <row r="669" spans="1:2" x14ac:dyDescent="0.25">
      <c r="A669" s="17">
        <v>54008</v>
      </c>
      <c r="B669" t="s">
        <v>1371</v>
      </c>
    </row>
    <row r="670" spans="1:2" x14ac:dyDescent="0.25">
      <c r="A670" s="17">
        <v>54017</v>
      </c>
      <c r="B670" t="s">
        <v>1380</v>
      </c>
    </row>
    <row r="671" spans="1:2" x14ac:dyDescent="0.25">
      <c r="A671" s="17">
        <v>54025</v>
      </c>
      <c r="B671" t="s">
        <v>1378</v>
      </c>
    </row>
    <row r="672" spans="1:2" x14ac:dyDescent="0.25">
      <c r="A672" s="17">
        <v>54030</v>
      </c>
      <c r="B672" t="s">
        <v>1379</v>
      </c>
    </row>
    <row r="673" spans="1:2" x14ac:dyDescent="0.25">
      <c r="A673" s="17">
        <v>54035</v>
      </c>
      <c r="B673" t="s">
        <v>1377</v>
      </c>
    </row>
    <row r="674" spans="1:2" x14ac:dyDescent="0.25">
      <c r="A674" s="17">
        <v>54048</v>
      </c>
      <c r="B674" t="s">
        <v>1370</v>
      </c>
    </row>
    <row r="675" spans="1:2" x14ac:dyDescent="0.25">
      <c r="A675" s="17">
        <v>54060</v>
      </c>
      <c r="B675" t="s">
        <v>1372</v>
      </c>
    </row>
    <row r="676" spans="1:2" x14ac:dyDescent="0.25">
      <c r="A676" s="17">
        <v>54065</v>
      </c>
      <c r="B676" t="s">
        <v>454</v>
      </c>
    </row>
    <row r="677" spans="1:2" x14ac:dyDescent="0.25">
      <c r="A677" s="17">
        <v>54072</v>
      </c>
      <c r="B677" t="s">
        <v>1365</v>
      </c>
    </row>
    <row r="678" spans="1:2" x14ac:dyDescent="0.25">
      <c r="A678" s="17">
        <v>54090</v>
      </c>
      <c r="B678" t="s">
        <v>1366</v>
      </c>
    </row>
    <row r="679" spans="1:2" x14ac:dyDescent="0.25">
      <c r="A679" s="17">
        <v>54095</v>
      </c>
      <c r="B679" t="s">
        <v>455</v>
      </c>
    </row>
    <row r="680" spans="1:2" x14ac:dyDescent="0.25">
      <c r="A680" s="17">
        <v>54100</v>
      </c>
      <c r="B680" t="s">
        <v>1368</v>
      </c>
    </row>
    <row r="681" spans="1:2" x14ac:dyDescent="0.25">
      <c r="A681" s="17">
        <v>54105</v>
      </c>
      <c r="B681" t="s">
        <v>456</v>
      </c>
    </row>
    <row r="682" spans="1:2" x14ac:dyDescent="0.25">
      <c r="A682" s="17">
        <v>54110</v>
      </c>
      <c r="B682" t="s">
        <v>1376</v>
      </c>
    </row>
    <row r="683" spans="1:2" x14ac:dyDescent="0.25">
      <c r="A683" s="17">
        <v>54115</v>
      </c>
      <c r="B683" t="s">
        <v>1375</v>
      </c>
    </row>
    <row r="684" spans="1:2" x14ac:dyDescent="0.25">
      <c r="A684" s="17">
        <v>54120</v>
      </c>
      <c r="B684" t="s">
        <v>1374</v>
      </c>
    </row>
    <row r="685" spans="1:2" x14ac:dyDescent="0.25">
      <c r="A685" s="17">
        <v>54125</v>
      </c>
      <c r="B685" t="s">
        <v>457</v>
      </c>
    </row>
    <row r="686" spans="1:2" x14ac:dyDescent="0.25">
      <c r="A686" s="17">
        <v>55008</v>
      </c>
      <c r="B686" t="s">
        <v>458</v>
      </c>
    </row>
    <row r="687" spans="1:2" x14ac:dyDescent="0.25">
      <c r="A687" s="17">
        <v>55015</v>
      </c>
      <c r="B687" t="s">
        <v>459</v>
      </c>
    </row>
    <row r="688" spans="1:2" x14ac:dyDescent="0.25">
      <c r="A688" s="17">
        <v>55023</v>
      </c>
      <c r="B688" t="s">
        <v>460</v>
      </c>
    </row>
    <row r="689" spans="1:2" x14ac:dyDescent="0.25">
      <c r="A689" s="17">
        <v>55030</v>
      </c>
      <c r="B689" t="s">
        <v>461</v>
      </c>
    </row>
    <row r="690" spans="1:2" x14ac:dyDescent="0.25">
      <c r="A690" s="17">
        <v>55037</v>
      </c>
      <c r="B690" t="s">
        <v>462</v>
      </c>
    </row>
    <row r="691" spans="1:2" x14ac:dyDescent="0.25">
      <c r="A691" s="17">
        <v>55048</v>
      </c>
      <c r="B691" t="s">
        <v>463</v>
      </c>
    </row>
    <row r="692" spans="1:2" x14ac:dyDescent="0.25">
      <c r="A692" s="17">
        <v>55057</v>
      </c>
      <c r="B692" t="s">
        <v>464</v>
      </c>
    </row>
    <row r="693" spans="1:2" x14ac:dyDescent="0.25">
      <c r="A693" s="17">
        <v>55065</v>
      </c>
      <c r="B693" t="s">
        <v>465</v>
      </c>
    </row>
    <row r="694" spans="1:2" x14ac:dyDescent="0.25">
      <c r="A694" s="17">
        <v>56005</v>
      </c>
      <c r="B694" t="s">
        <v>466</v>
      </c>
    </row>
    <row r="695" spans="1:2" x14ac:dyDescent="0.25">
      <c r="A695" s="17">
        <v>56010</v>
      </c>
      <c r="B695" t="s">
        <v>467</v>
      </c>
    </row>
    <row r="696" spans="1:2" x14ac:dyDescent="0.25">
      <c r="A696" s="17">
        <v>56015</v>
      </c>
      <c r="B696" t="s">
        <v>468</v>
      </c>
    </row>
    <row r="697" spans="1:2" x14ac:dyDescent="0.25">
      <c r="A697" s="17">
        <v>56023</v>
      </c>
      <c r="B697" t="s">
        <v>469</v>
      </c>
    </row>
    <row r="698" spans="1:2" x14ac:dyDescent="0.25">
      <c r="A698" s="17">
        <v>56030</v>
      </c>
      <c r="B698" t="s">
        <v>470</v>
      </c>
    </row>
    <row r="699" spans="1:2" x14ac:dyDescent="0.25">
      <c r="A699" s="17">
        <v>56035</v>
      </c>
      <c r="B699" t="s">
        <v>471</v>
      </c>
    </row>
    <row r="700" spans="1:2" x14ac:dyDescent="0.25">
      <c r="A700" s="17">
        <v>56042</v>
      </c>
      <c r="B700" t="s">
        <v>472</v>
      </c>
    </row>
    <row r="701" spans="1:2" x14ac:dyDescent="0.25">
      <c r="A701" s="17">
        <v>56050</v>
      </c>
      <c r="B701" t="s">
        <v>1924</v>
      </c>
    </row>
    <row r="702" spans="1:2" x14ac:dyDescent="0.25">
      <c r="A702" s="17">
        <v>56055</v>
      </c>
      <c r="B702" t="s">
        <v>473</v>
      </c>
    </row>
    <row r="703" spans="1:2" x14ac:dyDescent="0.25">
      <c r="A703" s="17">
        <v>56060</v>
      </c>
      <c r="B703" t="s">
        <v>474</v>
      </c>
    </row>
    <row r="704" spans="1:2" x14ac:dyDescent="0.25">
      <c r="A704" s="17">
        <v>56065</v>
      </c>
      <c r="B704" t="s">
        <v>475</v>
      </c>
    </row>
    <row r="705" spans="1:2" x14ac:dyDescent="0.25">
      <c r="A705" s="17">
        <v>56083</v>
      </c>
      <c r="B705" t="s">
        <v>476</v>
      </c>
    </row>
    <row r="706" spans="1:2" x14ac:dyDescent="0.25">
      <c r="A706" s="17">
        <v>56097</v>
      </c>
      <c r="B706" t="s">
        <v>477</v>
      </c>
    </row>
    <row r="707" spans="1:2" x14ac:dyDescent="0.25">
      <c r="A707" s="17">
        <v>56105</v>
      </c>
      <c r="B707" t="s">
        <v>478</v>
      </c>
    </row>
    <row r="708" spans="1:2" x14ac:dyDescent="0.25">
      <c r="A708" s="17">
        <v>57005</v>
      </c>
      <c r="B708" t="s">
        <v>479</v>
      </c>
    </row>
    <row r="709" spans="1:2" x14ac:dyDescent="0.25">
      <c r="A709" s="17">
        <v>57010</v>
      </c>
      <c r="B709" t="s">
        <v>480</v>
      </c>
    </row>
    <row r="710" spans="1:2" x14ac:dyDescent="0.25">
      <c r="A710" s="17">
        <v>57020</v>
      </c>
      <c r="B710" t="s">
        <v>481</v>
      </c>
    </row>
    <row r="711" spans="1:2" x14ac:dyDescent="0.25">
      <c r="A711" s="17">
        <v>57025</v>
      </c>
      <c r="B711" t="s">
        <v>482</v>
      </c>
    </row>
    <row r="712" spans="1:2" x14ac:dyDescent="0.25">
      <c r="A712" s="17">
        <v>57030</v>
      </c>
      <c r="B712" t="s">
        <v>483</v>
      </c>
    </row>
    <row r="713" spans="1:2" x14ac:dyDescent="0.25">
      <c r="A713" s="17">
        <v>57033</v>
      </c>
      <c r="B713" t="s">
        <v>484</v>
      </c>
    </row>
    <row r="714" spans="1:2" x14ac:dyDescent="0.25">
      <c r="A714" s="17">
        <v>57035</v>
      </c>
      <c r="B714" t="s">
        <v>485</v>
      </c>
    </row>
    <row r="715" spans="1:2" x14ac:dyDescent="0.25">
      <c r="A715" s="17">
        <v>57040</v>
      </c>
      <c r="B715" t="s">
        <v>486</v>
      </c>
    </row>
    <row r="716" spans="1:2" x14ac:dyDescent="0.25">
      <c r="A716" s="17">
        <v>57045</v>
      </c>
      <c r="B716" t="s">
        <v>487</v>
      </c>
    </row>
    <row r="717" spans="1:2" x14ac:dyDescent="0.25">
      <c r="A717" s="17">
        <v>57050</v>
      </c>
      <c r="B717" t="s">
        <v>488</v>
      </c>
    </row>
    <row r="718" spans="1:2" x14ac:dyDescent="0.25">
      <c r="A718" s="17">
        <v>57057</v>
      </c>
      <c r="B718" t="s">
        <v>489</v>
      </c>
    </row>
    <row r="719" spans="1:2" x14ac:dyDescent="0.25">
      <c r="A719" s="17">
        <v>57068</v>
      </c>
      <c r="B719" t="s">
        <v>490</v>
      </c>
    </row>
    <row r="720" spans="1:2" x14ac:dyDescent="0.25">
      <c r="A720" s="17">
        <v>57075</v>
      </c>
      <c r="B720" t="s">
        <v>491</v>
      </c>
    </row>
    <row r="721" spans="1:2" x14ac:dyDescent="0.25">
      <c r="A721" s="17">
        <v>58007</v>
      </c>
      <c r="B721" t="s">
        <v>492</v>
      </c>
    </row>
    <row r="722" spans="1:2" x14ac:dyDescent="0.25">
      <c r="A722" s="17">
        <v>58012</v>
      </c>
      <c r="B722" t="s">
        <v>493</v>
      </c>
    </row>
    <row r="723" spans="1:2" x14ac:dyDescent="0.25">
      <c r="A723" s="17">
        <v>58033</v>
      </c>
      <c r="B723" t="s">
        <v>494</v>
      </c>
    </row>
    <row r="724" spans="1:2" x14ac:dyDescent="0.25">
      <c r="A724" s="17">
        <v>58037</v>
      </c>
      <c r="B724" t="s">
        <v>495</v>
      </c>
    </row>
    <row r="725" spans="1:2" x14ac:dyDescent="0.25">
      <c r="A725" s="17">
        <v>58227</v>
      </c>
      <c r="B725" t="s">
        <v>496</v>
      </c>
    </row>
    <row r="726" spans="1:2" x14ac:dyDescent="0.25">
      <c r="A726" s="17">
        <v>59010</v>
      </c>
      <c r="B726" t="s">
        <v>497</v>
      </c>
    </row>
    <row r="727" spans="1:2" x14ac:dyDescent="0.25">
      <c r="A727" s="17">
        <v>59015</v>
      </c>
      <c r="B727" t="s">
        <v>498</v>
      </c>
    </row>
    <row r="728" spans="1:2" x14ac:dyDescent="0.25">
      <c r="A728" s="17">
        <v>59020</v>
      </c>
      <c r="B728" t="s">
        <v>499</v>
      </c>
    </row>
    <row r="729" spans="1:2" x14ac:dyDescent="0.25">
      <c r="A729" s="17">
        <v>59025</v>
      </c>
      <c r="B729" t="s">
        <v>500</v>
      </c>
    </row>
    <row r="730" spans="1:2" x14ac:dyDescent="0.25">
      <c r="A730" s="17">
        <v>59030</v>
      </c>
      <c r="B730" t="s">
        <v>501</v>
      </c>
    </row>
    <row r="731" spans="1:2" x14ac:dyDescent="0.25">
      <c r="A731" s="17">
        <v>59035</v>
      </c>
      <c r="B731" t="s">
        <v>502</v>
      </c>
    </row>
    <row r="732" spans="1:2" x14ac:dyDescent="0.25">
      <c r="A732" s="17">
        <v>60005</v>
      </c>
      <c r="B732" t="s">
        <v>503</v>
      </c>
    </row>
    <row r="733" spans="1:2" x14ac:dyDescent="0.25">
      <c r="A733" s="17">
        <v>60013</v>
      </c>
      <c r="B733" t="s">
        <v>504</v>
      </c>
    </row>
    <row r="734" spans="1:2" x14ac:dyDescent="0.25">
      <c r="A734" s="17">
        <v>60020</v>
      </c>
      <c r="B734" t="s">
        <v>505</v>
      </c>
    </row>
    <row r="735" spans="1:2" x14ac:dyDescent="0.25">
      <c r="A735" s="17">
        <v>60028</v>
      </c>
      <c r="B735" t="s">
        <v>506</v>
      </c>
    </row>
    <row r="736" spans="1:2" x14ac:dyDescent="0.25">
      <c r="A736" s="17">
        <v>60035</v>
      </c>
      <c r="B736" t="s">
        <v>507</v>
      </c>
    </row>
    <row r="737" spans="1:2" x14ac:dyDescent="0.25">
      <c r="A737" s="17">
        <v>60040</v>
      </c>
      <c r="B737" t="s">
        <v>507</v>
      </c>
    </row>
    <row r="738" spans="1:2" x14ac:dyDescent="0.25">
      <c r="A738" s="17">
        <v>61005</v>
      </c>
      <c r="B738" t="s">
        <v>508</v>
      </c>
    </row>
    <row r="739" spans="1:2" x14ac:dyDescent="0.25">
      <c r="A739" s="17">
        <v>61013</v>
      </c>
      <c r="B739" t="s">
        <v>509</v>
      </c>
    </row>
    <row r="740" spans="1:2" x14ac:dyDescent="0.25">
      <c r="A740" s="17">
        <v>61020</v>
      </c>
      <c r="B740" t="s">
        <v>510</v>
      </c>
    </row>
    <row r="741" spans="1:2" x14ac:dyDescent="0.25">
      <c r="A741" s="17">
        <v>61025</v>
      </c>
      <c r="B741" t="s">
        <v>511</v>
      </c>
    </row>
    <row r="742" spans="1:2" x14ac:dyDescent="0.25">
      <c r="A742" s="17">
        <v>61027</v>
      </c>
      <c r="B742" t="s">
        <v>512</v>
      </c>
    </row>
    <row r="743" spans="1:2" x14ac:dyDescent="0.25">
      <c r="A743" s="17">
        <v>61030</v>
      </c>
      <c r="B743" t="s">
        <v>513</v>
      </c>
    </row>
    <row r="744" spans="1:2" x14ac:dyDescent="0.25">
      <c r="A744" s="17">
        <v>61035</v>
      </c>
      <c r="B744" t="s">
        <v>514</v>
      </c>
    </row>
    <row r="745" spans="1:2" x14ac:dyDescent="0.25">
      <c r="A745" s="17">
        <v>61040</v>
      </c>
      <c r="B745" t="s">
        <v>515</v>
      </c>
    </row>
    <row r="746" spans="1:2" x14ac:dyDescent="0.25">
      <c r="A746" s="17">
        <v>61045</v>
      </c>
      <c r="B746" t="s">
        <v>1956</v>
      </c>
    </row>
    <row r="747" spans="1:2" x14ac:dyDescent="0.25">
      <c r="A747" s="17">
        <v>61050</v>
      </c>
      <c r="B747" t="s">
        <v>516</v>
      </c>
    </row>
    <row r="748" spans="1:2" x14ac:dyDescent="0.25">
      <c r="A748" s="17">
        <v>62007</v>
      </c>
      <c r="B748" t="s">
        <v>517</v>
      </c>
    </row>
    <row r="749" spans="1:2" x14ac:dyDescent="0.25">
      <c r="A749" s="17">
        <v>62015</v>
      </c>
      <c r="B749" t="s">
        <v>518</v>
      </c>
    </row>
    <row r="750" spans="1:2" x14ac:dyDescent="0.25">
      <c r="A750" s="17">
        <v>62020</v>
      </c>
      <c r="B750" t="s">
        <v>519</v>
      </c>
    </row>
    <row r="751" spans="1:2" x14ac:dyDescent="0.25">
      <c r="A751" s="17">
        <v>62025</v>
      </c>
      <c r="B751" t="s">
        <v>520</v>
      </c>
    </row>
    <row r="752" spans="1:2" x14ac:dyDescent="0.25">
      <c r="A752" s="17">
        <v>62030</v>
      </c>
      <c r="B752" t="s">
        <v>521</v>
      </c>
    </row>
    <row r="753" spans="1:2" x14ac:dyDescent="0.25">
      <c r="A753" s="17">
        <v>62037</v>
      </c>
      <c r="B753" t="s">
        <v>522</v>
      </c>
    </row>
    <row r="754" spans="1:2" x14ac:dyDescent="0.25">
      <c r="A754" s="17">
        <v>62047</v>
      </c>
      <c r="B754" t="s">
        <v>523</v>
      </c>
    </row>
    <row r="755" spans="1:2" x14ac:dyDescent="0.25">
      <c r="A755" s="17">
        <v>62053</v>
      </c>
      <c r="B755" t="s">
        <v>524</v>
      </c>
    </row>
    <row r="756" spans="1:2" x14ac:dyDescent="0.25">
      <c r="A756" s="17">
        <v>62055</v>
      </c>
      <c r="B756" t="s">
        <v>525</v>
      </c>
    </row>
    <row r="757" spans="1:2" x14ac:dyDescent="0.25">
      <c r="A757" s="17">
        <v>62060</v>
      </c>
      <c r="B757" t="s">
        <v>1672</v>
      </c>
    </row>
    <row r="758" spans="1:2" x14ac:dyDescent="0.25">
      <c r="A758" s="17">
        <v>62065</v>
      </c>
      <c r="B758" t="s">
        <v>526</v>
      </c>
    </row>
    <row r="759" spans="1:2" x14ac:dyDescent="0.25">
      <c r="A759" s="17">
        <v>62070</v>
      </c>
      <c r="B759" t="s">
        <v>527</v>
      </c>
    </row>
    <row r="760" spans="1:2" x14ac:dyDescent="0.25">
      <c r="A760" s="17">
        <v>62075</v>
      </c>
      <c r="B760" t="s">
        <v>528</v>
      </c>
    </row>
    <row r="761" spans="1:2" x14ac:dyDescent="0.25">
      <c r="A761" s="17">
        <v>62080</v>
      </c>
      <c r="B761" t="s">
        <v>529</v>
      </c>
    </row>
    <row r="762" spans="1:2" x14ac:dyDescent="0.25">
      <c r="A762" s="17">
        <v>62085</v>
      </c>
      <c r="B762" t="s">
        <v>530</v>
      </c>
    </row>
    <row r="763" spans="1:2" x14ac:dyDescent="0.25">
      <c r="A763" s="17">
        <v>62802</v>
      </c>
      <c r="B763" t="s">
        <v>531</v>
      </c>
    </row>
    <row r="764" spans="1:2" x14ac:dyDescent="0.25">
      <c r="A764" s="17">
        <v>62902</v>
      </c>
      <c r="B764" t="s">
        <v>532</v>
      </c>
    </row>
    <row r="765" spans="1:2" x14ac:dyDescent="0.25">
      <c r="A765" s="17">
        <v>62904</v>
      </c>
      <c r="B765" t="s">
        <v>533</v>
      </c>
    </row>
    <row r="766" spans="1:2" x14ac:dyDescent="0.25">
      <c r="A766" s="17">
        <v>62906</v>
      </c>
      <c r="B766" t="s">
        <v>534</v>
      </c>
    </row>
    <row r="767" spans="1:2" x14ac:dyDescent="0.25">
      <c r="A767" s="17">
        <v>62908</v>
      </c>
      <c r="B767" t="s">
        <v>535</v>
      </c>
    </row>
    <row r="768" spans="1:2" x14ac:dyDescent="0.25">
      <c r="A768" s="17">
        <v>62910</v>
      </c>
      <c r="B768" t="s">
        <v>536</v>
      </c>
    </row>
    <row r="769" spans="1:2" x14ac:dyDescent="0.25">
      <c r="A769" s="17">
        <v>62912</v>
      </c>
      <c r="B769" t="s">
        <v>537</v>
      </c>
    </row>
    <row r="770" spans="1:2" x14ac:dyDescent="0.25">
      <c r="A770" s="17">
        <v>62914</v>
      </c>
      <c r="B770" t="s">
        <v>538</v>
      </c>
    </row>
    <row r="771" spans="1:2" x14ac:dyDescent="0.25">
      <c r="A771" s="17">
        <v>62916</v>
      </c>
      <c r="B771" t="s">
        <v>539</v>
      </c>
    </row>
    <row r="772" spans="1:2" x14ac:dyDescent="0.25">
      <c r="A772" s="17">
        <v>62918</v>
      </c>
      <c r="B772" t="s">
        <v>540</v>
      </c>
    </row>
    <row r="773" spans="1:2" x14ac:dyDescent="0.25">
      <c r="A773" s="17">
        <v>62919</v>
      </c>
      <c r="B773" t="s">
        <v>541</v>
      </c>
    </row>
    <row r="774" spans="1:2" x14ac:dyDescent="0.25">
      <c r="A774" s="17">
        <v>62920</v>
      </c>
      <c r="B774" t="s">
        <v>542</v>
      </c>
    </row>
    <row r="775" spans="1:2" x14ac:dyDescent="0.25">
      <c r="A775" s="17">
        <v>62922</v>
      </c>
      <c r="B775" t="s">
        <v>543</v>
      </c>
    </row>
    <row r="776" spans="1:2" x14ac:dyDescent="0.25">
      <c r="A776" s="17">
        <v>63005</v>
      </c>
      <c r="B776" t="s">
        <v>544</v>
      </c>
    </row>
    <row r="777" spans="1:2" x14ac:dyDescent="0.25">
      <c r="A777" s="17">
        <v>63013</v>
      </c>
      <c r="B777" t="s">
        <v>545</v>
      </c>
    </row>
    <row r="778" spans="1:2" x14ac:dyDescent="0.25">
      <c r="A778" s="17">
        <v>63023</v>
      </c>
      <c r="B778" t="s">
        <v>546</v>
      </c>
    </row>
    <row r="779" spans="1:2" x14ac:dyDescent="0.25">
      <c r="A779" s="17">
        <v>63030</v>
      </c>
      <c r="B779" t="s">
        <v>547</v>
      </c>
    </row>
    <row r="780" spans="1:2" x14ac:dyDescent="0.25">
      <c r="A780" s="17">
        <v>63035</v>
      </c>
      <c r="B780" t="s">
        <v>548</v>
      </c>
    </row>
    <row r="781" spans="1:2" x14ac:dyDescent="0.25">
      <c r="A781" s="17">
        <v>63040</v>
      </c>
      <c r="B781" t="s">
        <v>549</v>
      </c>
    </row>
    <row r="782" spans="1:2" x14ac:dyDescent="0.25">
      <c r="A782" s="17">
        <v>63048</v>
      </c>
      <c r="B782" t="s">
        <v>550</v>
      </c>
    </row>
    <row r="783" spans="1:2" x14ac:dyDescent="0.25">
      <c r="A783" s="17">
        <v>63055</v>
      </c>
      <c r="B783" t="s">
        <v>551</v>
      </c>
    </row>
    <row r="784" spans="1:2" x14ac:dyDescent="0.25">
      <c r="A784" s="17">
        <v>63060</v>
      </c>
      <c r="B784" t="s">
        <v>552</v>
      </c>
    </row>
    <row r="785" spans="1:2" x14ac:dyDescent="0.25">
      <c r="A785" s="17">
        <v>63065</v>
      </c>
      <c r="B785" t="s">
        <v>553</v>
      </c>
    </row>
    <row r="786" spans="1:2" x14ac:dyDescent="0.25">
      <c r="A786" s="17">
        <v>64008</v>
      </c>
      <c r="B786" t="s">
        <v>554</v>
      </c>
    </row>
    <row r="787" spans="1:2" x14ac:dyDescent="0.25">
      <c r="A787" s="17">
        <v>64015</v>
      </c>
      <c r="B787" t="s">
        <v>555</v>
      </c>
    </row>
    <row r="788" spans="1:2" x14ac:dyDescent="0.25">
      <c r="A788" s="17">
        <v>65005</v>
      </c>
      <c r="B788" t="s">
        <v>556</v>
      </c>
    </row>
    <row r="789" spans="1:2" x14ac:dyDescent="0.25">
      <c r="A789" s="17">
        <v>66007</v>
      </c>
      <c r="B789" t="s">
        <v>557</v>
      </c>
    </row>
    <row r="790" spans="1:2" x14ac:dyDescent="0.25">
      <c r="A790" s="17">
        <v>66023</v>
      </c>
      <c r="B790" t="s">
        <v>558</v>
      </c>
    </row>
    <row r="791" spans="1:2" x14ac:dyDescent="0.25">
      <c r="A791" s="17">
        <v>66032</v>
      </c>
      <c r="B791" t="s">
        <v>559</v>
      </c>
    </row>
    <row r="792" spans="1:2" x14ac:dyDescent="0.25">
      <c r="A792" s="17">
        <v>66047</v>
      </c>
      <c r="B792" t="s">
        <v>560</v>
      </c>
    </row>
    <row r="793" spans="1:2" x14ac:dyDescent="0.25">
      <c r="A793" s="17">
        <v>66058</v>
      </c>
      <c r="B793" t="s">
        <v>561</v>
      </c>
    </row>
    <row r="794" spans="1:2" x14ac:dyDescent="0.25">
      <c r="A794" s="17">
        <v>66062</v>
      </c>
      <c r="B794" t="s">
        <v>562</v>
      </c>
    </row>
    <row r="795" spans="1:2" x14ac:dyDescent="0.25">
      <c r="A795" s="17">
        <v>66072</v>
      </c>
      <c r="B795" t="s">
        <v>563</v>
      </c>
    </row>
    <row r="796" spans="1:2" x14ac:dyDescent="0.25">
      <c r="A796" s="17">
        <v>66087</v>
      </c>
      <c r="B796" t="s">
        <v>564</v>
      </c>
    </row>
    <row r="797" spans="1:2" x14ac:dyDescent="0.25">
      <c r="A797" s="17">
        <v>66092</v>
      </c>
      <c r="B797" t="s">
        <v>565</v>
      </c>
    </row>
    <row r="798" spans="1:2" x14ac:dyDescent="0.25">
      <c r="A798" s="17">
        <v>66097</v>
      </c>
      <c r="B798" t="s">
        <v>566</v>
      </c>
    </row>
    <row r="799" spans="1:2" x14ac:dyDescent="0.25">
      <c r="A799" s="17">
        <v>66102</v>
      </c>
      <c r="B799" t="s">
        <v>567</v>
      </c>
    </row>
    <row r="800" spans="1:2" x14ac:dyDescent="0.25">
      <c r="A800" s="17">
        <v>66107</v>
      </c>
      <c r="B800" t="s">
        <v>568</v>
      </c>
    </row>
    <row r="801" spans="1:2" x14ac:dyDescent="0.25">
      <c r="A801" s="17">
        <v>66112</v>
      </c>
      <c r="B801" t="s">
        <v>569</v>
      </c>
    </row>
    <row r="802" spans="1:2" x14ac:dyDescent="0.25">
      <c r="A802" s="17">
        <v>66117</v>
      </c>
      <c r="B802" t="s">
        <v>570</v>
      </c>
    </row>
    <row r="803" spans="1:2" x14ac:dyDescent="0.25">
      <c r="A803" s="17">
        <v>66127</v>
      </c>
      <c r="B803" t="s">
        <v>571</v>
      </c>
    </row>
    <row r="804" spans="1:2" x14ac:dyDescent="0.25">
      <c r="A804" s="17">
        <v>66142</v>
      </c>
      <c r="B804" t="s">
        <v>572</v>
      </c>
    </row>
    <row r="805" spans="1:2" x14ac:dyDescent="0.25">
      <c r="A805" s="17">
        <v>67005</v>
      </c>
      <c r="B805" t="s">
        <v>573</v>
      </c>
    </row>
    <row r="806" spans="1:2" x14ac:dyDescent="0.25">
      <c r="A806" s="17">
        <v>67010</v>
      </c>
      <c r="B806" t="s">
        <v>574</v>
      </c>
    </row>
    <row r="807" spans="1:2" x14ac:dyDescent="0.25">
      <c r="A807" s="17">
        <v>67015</v>
      </c>
      <c r="B807" t="s">
        <v>575</v>
      </c>
    </row>
    <row r="808" spans="1:2" x14ac:dyDescent="0.25">
      <c r="A808" s="17">
        <v>67020</v>
      </c>
      <c r="B808" t="s">
        <v>576</v>
      </c>
    </row>
    <row r="809" spans="1:2" x14ac:dyDescent="0.25">
      <c r="A809" s="17">
        <v>67025</v>
      </c>
      <c r="B809" t="s">
        <v>577</v>
      </c>
    </row>
    <row r="810" spans="1:2" x14ac:dyDescent="0.25">
      <c r="A810" s="17">
        <v>67030</v>
      </c>
      <c r="B810" t="s">
        <v>578</v>
      </c>
    </row>
    <row r="811" spans="1:2" x14ac:dyDescent="0.25">
      <c r="A811" s="17">
        <v>67035</v>
      </c>
      <c r="B811" t="s">
        <v>579</v>
      </c>
    </row>
    <row r="812" spans="1:2" x14ac:dyDescent="0.25">
      <c r="A812" s="17">
        <v>67040</v>
      </c>
      <c r="B812" t="s">
        <v>1870</v>
      </c>
    </row>
    <row r="813" spans="1:2" x14ac:dyDescent="0.25">
      <c r="A813" s="17">
        <v>67045</v>
      </c>
      <c r="B813" t="s">
        <v>580</v>
      </c>
    </row>
    <row r="814" spans="1:2" x14ac:dyDescent="0.25">
      <c r="A814" s="17">
        <v>67050</v>
      </c>
      <c r="B814" t="s">
        <v>581</v>
      </c>
    </row>
    <row r="815" spans="1:2" x14ac:dyDescent="0.25">
      <c r="A815" s="17">
        <v>67055</v>
      </c>
      <c r="B815" t="s">
        <v>582</v>
      </c>
    </row>
    <row r="816" spans="1:2" x14ac:dyDescent="0.25">
      <c r="A816" s="17">
        <v>67802</v>
      </c>
      <c r="B816" t="s">
        <v>583</v>
      </c>
    </row>
    <row r="817" spans="1:2" x14ac:dyDescent="0.25">
      <c r="A817" s="17">
        <v>68005</v>
      </c>
      <c r="B817" t="s">
        <v>584</v>
      </c>
    </row>
    <row r="818" spans="1:2" x14ac:dyDescent="0.25">
      <c r="A818" s="17">
        <v>68010</v>
      </c>
      <c r="B818" t="s">
        <v>585</v>
      </c>
    </row>
    <row r="819" spans="1:2" x14ac:dyDescent="0.25">
      <c r="A819" s="17">
        <v>68015</v>
      </c>
      <c r="B819" t="s">
        <v>585</v>
      </c>
    </row>
    <row r="820" spans="1:2" x14ac:dyDescent="0.25">
      <c r="A820" s="17">
        <v>68020</v>
      </c>
      <c r="B820" t="s">
        <v>586</v>
      </c>
    </row>
    <row r="821" spans="1:2" x14ac:dyDescent="0.25">
      <c r="A821" s="17">
        <v>68025</v>
      </c>
      <c r="B821" t="s">
        <v>587</v>
      </c>
    </row>
    <row r="822" spans="1:2" x14ac:dyDescent="0.25">
      <c r="A822" s="17">
        <v>68030</v>
      </c>
      <c r="B822" t="s">
        <v>588</v>
      </c>
    </row>
    <row r="823" spans="1:2" x14ac:dyDescent="0.25">
      <c r="A823" s="17">
        <v>68035</v>
      </c>
      <c r="B823" t="s">
        <v>589</v>
      </c>
    </row>
    <row r="824" spans="1:2" x14ac:dyDescent="0.25">
      <c r="A824" s="17">
        <v>68040</v>
      </c>
      <c r="B824" t="s">
        <v>590</v>
      </c>
    </row>
    <row r="825" spans="1:2" x14ac:dyDescent="0.25">
      <c r="A825" s="17">
        <v>68045</v>
      </c>
      <c r="B825" t="s">
        <v>591</v>
      </c>
    </row>
    <row r="826" spans="1:2" x14ac:dyDescent="0.25">
      <c r="A826" s="17">
        <v>68050</v>
      </c>
      <c r="B826" t="s">
        <v>592</v>
      </c>
    </row>
    <row r="827" spans="1:2" x14ac:dyDescent="0.25">
      <c r="A827" s="17">
        <v>68055</v>
      </c>
      <c r="B827" t="s">
        <v>593</v>
      </c>
    </row>
    <row r="828" spans="1:2" x14ac:dyDescent="0.25">
      <c r="A828" s="17">
        <v>69005</v>
      </c>
      <c r="B828" t="s">
        <v>594</v>
      </c>
    </row>
    <row r="829" spans="1:2" x14ac:dyDescent="0.25">
      <c r="A829" s="17">
        <v>69010</v>
      </c>
      <c r="B829" t="s">
        <v>595</v>
      </c>
    </row>
    <row r="830" spans="1:2" x14ac:dyDescent="0.25">
      <c r="A830" s="17">
        <v>69017</v>
      </c>
      <c r="B830" t="s">
        <v>596</v>
      </c>
    </row>
    <row r="831" spans="1:2" x14ac:dyDescent="0.25">
      <c r="A831" s="17">
        <v>69025</v>
      </c>
      <c r="B831" t="s">
        <v>597</v>
      </c>
    </row>
    <row r="832" spans="1:2" x14ac:dyDescent="0.25">
      <c r="A832" s="17">
        <v>69030</v>
      </c>
      <c r="B832" t="s">
        <v>598</v>
      </c>
    </row>
    <row r="833" spans="1:2" x14ac:dyDescent="0.25">
      <c r="A833" s="17">
        <v>69037</v>
      </c>
      <c r="B833" t="s">
        <v>599</v>
      </c>
    </row>
    <row r="834" spans="1:2" x14ac:dyDescent="0.25">
      <c r="A834" s="17">
        <v>69045</v>
      </c>
      <c r="B834" t="s">
        <v>600</v>
      </c>
    </row>
    <row r="835" spans="1:2" x14ac:dyDescent="0.25">
      <c r="A835" s="17">
        <v>69050</v>
      </c>
      <c r="B835" t="s">
        <v>601</v>
      </c>
    </row>
    <row r="836" spans="1:2" x14ac:dyDescent="0.25">
      <c r="A836" s="17">
        <v>69055</v>
      </c>
      <c r="B836" t="s">
        <v>602</v>
      </c>
    </row>
    <row r="837" spans="1:2" x14ac:dyDescent="0.25">
      <c r="A837" s="17">
        <v>69060</v>
      </c>
      <c r="B837" t="s">
        <v>603</v>
      </c>
    </row>
    <row r="838" spans="1:2" x14ac:dyDescent="0.25">
      <c r="A838" s="17">
        <v>69065</v>
      </c>
      <c r="B838" t="s">
        <v>604</v>
      </c>
    </row>
    <row r="839" spans="1:2" x14ac:dyDescent="0.25">
      <c r="A839" s="17">
        <v>69070</v>
      </c>
      <c r="B839" t="s">
        <v>605</v>
      </c>
    </row>
    <row r="840" spans="1:2" x14ac:dyDescent="0.25">
      <c r="A840" s="17">
        <v>69075</v>
      </c>
      <c r="B840" t="s">
        <v>606</v>
      </c>
    </row>
    <row r="841" spans="1:2" x14ac:dyDescent="0.25">
      <c r="A841" s="17">
        <v>69802</v>
      </c>
      <c r="B841" t="s">
        <v>607</v>
      </c>
    </row>
    <row r="842" spans="1:2" x14ac:dyDescent="0.25">
      <c r="A842" s="17">
        <v>70005</v>
      </c>
      <c r="B842" t="s">
        <v>608</v>
      </c>
    </row>
    <row r="843" spans="1:2" x14ac:dyDescent="0.25">
      <c r="A843" s="17">
        <v>70012</v>
      </c>
      <c r="B843" t="s">
        <v>609</v>
      </c>
    </row>
    <row r="844" spans="1:2" x14ac:dyDescent="0.25">
      <c r="A844" s="17">
        <v>70022</v>
      </c>
      <c r="B844" t="s">
        <v>610</v>
      </c>
    </row>
    <row r="845" spans="1:2" x14ac:dyDescent="0.25">
      <c r="A845" s="17">
        <v>70030</v>
      </c>
      <c r="B845" t="s">
        <v>611</v>
      </c>
    </row>
    <row r="846" spans="1:2" x14ac:dyDescent="0.25">
      <c r="A846" s="17">
        <v>70035</v>
      </c>
      <c r="B846" t="s">
        <v>1887</v>
      </c>
    </row>
    <row r="847" spans="1:2" x14ac:dyDescent="0.25">
      <c r="A847" s="17">
        <v>70040</v>
      </c>
      <c r="B847" t="s">
        <v>612</v>
      </c>
    </row>
    <row r="848" spans="1:2" x14ac:dyDescent="0.25">
      <c r="A848" s="17">
        <v>70052</v>
      </c>
      <c r="B848" t="s">
        <v>613</v>
      </c>
    </row>
    <row r="849" spans="1:2" x14ac:dyDescent="0.25">
      <c r="A849" s="17">
        <v>71005</v>
      </c>
      <c r="B849" t="s">
        <v>614</v>
      </c>
    </row>
    <row r="850" spans="1:2" x14ac:dyDescent="0.25">
      <c r="A850" s="17">
        <v>71015</v>
      </c>
      <c r="B850" t="s">
        <v>615</v>
      </c>
    </row>
    <row r="851" spans="1:2" x14ac:dyDescent="0.25">
      <c r="A851" s="17">
        <v>71020</v>
      </c>
      <c r="B851" t="s">
        <v>616</v>
      </c>
    </row>
    <row r="852" spans="1:2" x14ac:dyDescent="0.25">
      <c r="A852" s="17">
        <v>71025</v>
      </c>
      <c r="B852" t="s">
        <v>617</v>
      </c>
    </row>
    <row r="853" spans="1:2" x14ac:dyDescent="0.25">
      <c r="A853" s="17">
        <v>71033</v>
      </c>
      <c r="B853" t="s">
        <v>618</v>
      </c>
    </row>
    <row r="854" spans="1:2" x14ac:dyDescent="0.25">
      <c r="A854" s="17">
        <v>71040</v>
      </c>
      <c r="B854" t="s">
        <v>619</v>
      </c>
    </row>
    <row r="855" spans="1:2" x14ac:dyDescent="0.25">
      <c r="A855" s="17">
        <v>71045</v>
      </c>
      <c r="B855" t="s">
        <v>620</v>
      </c>
    </row>
    <row r="856" spans="1:2" x14ac:dyDescent="0.25">
      <c r="A856" s="17">
        <v>71050</v>
      </c>
      <c r="B856" t="s">
        <v>621</v>
      </c>
    </row>
    <row r="857" spans="1:2" x14ac:dyDescent="0.25">
      <c r="A857" s="17">
        <v>71055</v>
      </c>
      <c r="B857" t="s">
        <v>622</v>
      </c>
    </row>
    <row r="858" spans="1:2" x14ac:dyDescent="0.25">
      <c r="A858" s="17">
        <v>71060</v>
      </c>
      <c r="B858" t="s">
        <v>623</v>
      </c>
    </row>
    <row r="859" spans="1:2" x14ac:dyDescent="0.25">
      <c r="A859" s="17">
        <v>71065</v>
      </c>
      <c r="B859" t="s">
        <v>624</v>
      </c>
    </row>
    <row r="860" spans="1:2" x14ac:dyDescent="0.25">
      <c r="A860" s="17">
        <v>71070</v>
      </c>
      <c r="B860" t="s">
        <v>625</v>
      </c>
    </row>
    <row r="861" spans="1:2" x14ac:dyDescent="0.25">
      <c r="A861" s="17">
        <v>71075</v>
      </c>
      <c r="B861" t="s">
        <v>626</v>
      </c>
    </row>
    <row r="862" spans="1:2" x14ac:dyDescent="0.25">
      <c r="A862" s="17">
        <v>71083</v>
      </c>
      <c r="B862" t="s">
        <v>627</v>
      </c>
    </row>
    <row r="863" spans="1:2" x14ac:dyDescent="0.25">
      <c r="A863" s="17">
        <v>71090</v>
      </c>
      <c r="B863" t="s">
        <v>628</v>
      </c>
    </row>
    <row r="864" spans="1:2" x14ac:dyDescent="0.25">
      <c r="A864" s="17">
        <v>71095</v>
      </c>
      <c r="B864" t="s">
        <v>629</v>
      </c>
    </row>
    <row r="865" spans="1:2" x14ac:dyDescent="0.25">
      <c r="A865" s="17">
        <v>71100</v>
      </c>
      <c r="B865" t="s">
        <v>630</v>
      </c>
    </row>
    <row r="866" spans="1:2" x14ac:dyDescent="0.25">
      <c r="A866" s="17">
        <v>71105</v>
      </c>
      <c r="B866" t="s">
        <v>631</v>
      </c>
    </row>
    <row r="867" spans="1:2" x14ac:dyDescent="0.25">
      <c r="A867" s="17">
        <v>71110</v>
      </c>
      <c r="B867" t="s">
        <v>632</v>
      </c>
    </row>
    <row r="868" spans="1:2" x14ac:dyDescent="0.25">
      <c r="A868" s="17">
        <v>71115</v>
      </c>
      <c r="B868" t="s">
        <v>633</v>
      </c>
    </row>
    <row r="869" spans="1:2" x14ac:dyDescent="0.25">
      <c r="A869" s="17">
        <v>71125</v>
      </c>
      <c r="B869" t="s">
        <v>634</v>
      </c>
    </row>
    <row r="870" spans="1:2" x14ac:dyDescent="0.25">
      <c r="A870" s="17">
        <v>71133</v>
      </c>
      <c r="B870" t="s">
        <v>635</v>
      </c>
    </row>
    <row r="871" spans="1:2" x14ac:dyDescent="0.25">
      <c r="A871" s="17">
        <v>71140</v>
      </c>
      <c r="B871" t="s">
        <v>636</v>
      </c>
    </row>
    <row r="872" spans="1:2" x14ac:dyDescent="0.25">
      <c r="A872" s="17">
        <v>72005</v>
      </c>
      <c r="B872" t="s">
        <v>637</v>
      </c>
    </row>
    <row r="873" spans="1:2" x14ac:dyDescent="0.25">
      <c r="A873" s="17">
        <v>72010</v>
      </c>
      <c r="B873" t="s">
        <v>638</v>
      </c>
    </row>
    <row r="874" spans="1:2" x14ac:dyDescent="0.25">
      <c r="A874" s="17">
        <v>72015</v>
      </c>
      <c r="B874" t="s">
        <v>639</v>
      </c>
    </row>
    <row r="875" spans="1:2" x14ac:dyDescent="0.25">
      <c r="A875" s="17">
        <v>72020</v>
      </c>
      <c r="B875" t="s">
        <v>640</v>
      </c>
    </row>
    <row r="876" spans="1:2" x14ac:dyDescent="0.25">
      <c r="A876" s="17">
        <v>72025</v>
      </c>
      <c r="B876" t="s">
        <v>641</v>
      </c>
    </row>
    <row r="877" spans="1:2" x14ac:dyDescent="0.25">
      <c r="A877" s="17">
        <v>72032</v>
      </c>
      <c r="B877" t="s">
        <v>642</v>
      </c>
    </row>
    <row r="878" spans="1:2" x14ac:dyDescent="0.25">
      <c r="A878" s="17">
        <v>72043</v>
      </c>
      <c r="B878" t="s">
        <v>643</v>
      </c>
    </row>
    <row r="879" spans="1:2" x14ac:dyDescent="0.25">
      <c r="A879" s="17">
        <v>73005</v>
      </c>
      <c r="B879" t="s">
        <v>644</v>
      </c>
    </row>
    <row r="880" spans="1:2" x14ac:dyDescent="0.25">
      <c r="A880" s="17">
        <v>73010</v>
      </c>
      <c r="B880" t="s">
        <v>645</v>
      </c>
    </row>
    <row r="881" spans="1:2" x14ac:dyDescent="0.25">
      <c r="A881" s="17">
        <v>73015</v>
      </c>
      <c r="B881" t="s">
        <v>646</v>
      </c>
    </row>
    <row r="882" spans="1:2" x14ac:dyDescent="0.25">
      <c r="A882" s="17">
        <v>73020</v>
      </c>
      <c r="B882" t="s">
        <v>647</v>
      </c>
    </row>
    <row r="883" spans="1:2" x14ac:dyDescent="0.25">
      <c r="A883" s="17">
        <v>73025</v>
      </c>
      <c r="B883" t="s">
        <v>648</v>
      </c>
    </row>
    <row r="884" spans="1:2" x14ac:dyDescent="0.25">
      <c r="A884" s="17">
        <v>73030</v>
      </c>
      <c r="B884" t="s">
        <v>649</v>
      </c>
    </row>
    <row r="885" spans="1:2" x14ac:dyDescent="0.25">
      <c r="A885" s="17">
        <v>73035</v>
      </c>
      <c r="B885" t="s">
        <v>650</v>
      </c>
    </row>
    <row r="886" spans="1:2" x14ac:dyDescent="0.25">
      <c r="A886" s="17">
        <v>74005</v>
      </c>
      <c r="B886" t="s">
        <v>651</v>
      </c>
    </row>
    <row r="887" spans="1:2" x14ac:dyDescent="0.25">
      <c r="A887" s="17">
        <v>75005</v>
      </c>
      <c r="B887" t="s">
        <v>652</v>
      </c>
    </row>
    <row r="888" spans="1:2" x14ac:dyDescent="0.25">
      <c r="A888" s="17">
        <v>75017</v>
      </c>
      <c r="B888" t="s">
        <v>653</v>
      </c>
    </row>
    <row r="889" spans="1:2" x14ac:dyDescent="0.25">
      <c r="A889" s="17">
        <v>75028</v>
      </c>
      <c r="B889" t="s">
        <v>654</v>
      </c>
    </row>
    <row r="890" spans="1:2" x14ac:dyDescent="0.25">
      <c r="A890" s="17">
        <v>75040</v>
      </c>
      <c r="B890" t="s">
        <v>655</v>
      </c>
    </row>
    <row r="891" spans="1:2" x14ac:dyDescent="0.25">
      <c r="A891" s="17">
        <v>75045</v>
      </c>
      <c r="B891" t="s">
        <v>656</v>
      </c>
    </row>
    <row r="892" spans="1:2" x14ac:dyDescent="0.25">
      <c r="A892" s="17">
        <v>76008</v>
      </c>
      <c r="B892" t="s">
        <v>657</v>
      </c>
    </row>
    <row r="893" spans="1:2" x14ac:dyDescent="0.25">
      <c r="A893" s="17">
        <v>76020</v>
      </c>
      <c r="B893" t="s">
        <v>658</v>
      </c>
    </row>
    <row r="894" spans="1:2" x14ac:dyDescent="0.25">
      <c r="A894" s="17">
        <v>76025</v>
      </c>
      <c r="B894" t="s">
        <v>659</v>
      </c>
    </row>
    <row r="895" spans="1:2" x14ac:dyDescent="0.25">
      <c r="A895" s="17">
        <v>76030</v>
      </c>
      <c r="B895" t="s">
        <v>660</v>
      </c>
    </row>
    <row r="896" spans="1:2" x14ac:dyDescent="0.25">
      <c r="A896" s="17">
        <v>76035</v>
      </c>
      <c r="B896" t="s">
        <v>661</v>
      </c>
    </row>
    <row r="897" spans="1:2" x14ac:dyDescent="0.25">
      <c r="A897" s="17">
        <v>76043</v>
      </c>
      <c r="B897" t="s">
        <v>662</v>
      </c>
    </row>
    <row r="898" spans="1:2" x14ac:dyDescent="0.25">
      <c r="A898" s="17">
        <v>76052</v>
      </c>
      <c r="B898" t="s">
        <v>663</v>
      </c>
    </row>
    <row r="899" spans="1:2" x14ac:dyDescent="0.25">
      <c r="A899" s="17">
        <v>76055</v>
      </c>
      <c r="B899" t="s">
        <v>664</v>
      </c>
    </row>
    <row r="900" spans="1:2" x14ac:dyDescent="0.25">
      <c r="A900" s="17">
        <v>76065</v>
      </c>
      <c r="B900" t="s">
        <v>665</v>
      </c>
    </row>
    <row r="901" spans="1:2" x14ac:dyDescent="0.25">
      <c r="A901" s="17">
        <v>77011</v>
      </c>
      <c r="B901" t="s">
        <v>666</v>
      </c>
    </row>
    <row r="902" spans="1:2" x14ac:dyDescent="0.25">
      <c r="A902" s="17">
        <v>77012</v>
      </c>
      <c r="B902" t="s">
        <v>667</v>
      </c>
    </row>
    <row r="903" spans="1:2" x14ac:dyDescent="0.25">
      <c r="A903" s="17">
        <v>77022</v>
      </c>
      <c r="B903" t="s">
        <v>668</v>
      </c>
    </row>
    <row r="904" spans="1:2" x14ac:dyDescent="0.25">
      <c r="A904" s="17">
        <v>77030</v>
      </c>
      <c r="B904" t="s">
        <v>669</v>
      </c>
    </row>
    <row r="905" spans="1:2" x14ac:dyDescent="0.25">
      <c r="A905" s="17">
        <v>77035</v>
      </c>
      <c r="B905" t="s">
        <v>670</v>
      </c>
    </row>
    <row r="906" spans="1:2" x14ac:dyDescent="0.25">
      <c r="A906" s="17">
        <v>77043</v>
      </c>
      <c r="B906" t="s">
        <v>671</v>
      </c>
    </row>
    <row r="907" spans="1:2" x14ac:dyDescent="0.25">
      <c r="A907" s="17">
        <v>77050</v>
      </c>
      <c r="B907" t="s">
        <v>672</v>
      </c>
    </row>
    <row r="908" spans="1:2" x14ac:dyDescent="0.25">
      <c r="A908" s="17">
        <v>77055</v>
      </c>
      <c r="B908" t="s">
        <v>673</v>
      </c>
    </row>
    <row r="909" spans="1:2" x14ac:dyDescent="0.25">
      <c r="A909" s="17">
        <v>77060</v>
      </c>
      <c r="B909" t="s">
        <v>674</v>
      </c>
    </row>
    <row r="910" spans="1:2" x14ac:dyDescent="0.25">
      <c r="A910" s="17">
        <v>77065</v>
      </c>
      <c r="B910" t="s">
        <v>675</v>
      </c>
    </row>
    <row r="911" spans="1:2" x14ac:dyDescent="0.25">
      <c r="A911" s="17">
        <v>78005</v>
      </c>
      <c r="B911" t="s">
        <v>676</v>
      </c>
    </row>
    <row r="912" spans="1:2" x14ac:dyDescent="0.25">
      <c r="A912" s="17">
        <v>78010</v>
      </c>
      <c r="B912" t="s">
        <v>677</v>
      </c>
    </row>
    <row r="913" spans="1:2" x14ac:dyDescent="0.25">
      <c r="A913" s="17">
        <v>78015</v>
      </c>
      <c r="B913" t="s">
        <v>678</v>
      </c>
    </row>
    <row r="914" spans="1:2" x14ac:dyDescent="0.25">
      <c r="A914" s="17">
        <v>78020</v>
      </c>
      <c r="B914" t="s">
        <v>679</v>
      </c>
    </row>
    <row r="915" spans="1:2" x14ac:dyDescent="0.25">
      <c r="A915" s="17">
        <v>78032</v>
      </c>
      <c r="B915" t="s">
        <v>680</v>
      </c>
    </row>
    <row r="916" spans="1:2" x14ac:dyDescent="0.25">
      <c r="A916" s="17">
        <v>78042</v>
      </c>
      <c r="B916" t="s">
        <v>681</v>
      </c>
    </row>
    <row r="917" spans="1:2" x14ac:dyDescent="0.25">
      <c r="A917" s="17">
        <v>78047</v>
      </c>
      <c r="B917" t="s">
        <v>682</v>
      </c>
    </row>
    <row r="918" spans="1:2" x14ac:dyDescent="0.25">
      <c r="A918" s="17">
        <v>78050</v>
      </c>
      <c r="B918" t="s">
        <v>683</v>
      </c>
    </row>
    <row r="919" spans="1:2" x14ac:dyDescent="0.25">
      <c r="A919" s="17">
        <v>78055</v>
      </c>
      <c r="B919" t="s">
        <v>684</v>
      </c>
    </row>
    <row r="920" spans="1:2" x14ac:dyDescent="0.25">
      <c r="A920" s="17">
        <v>78060</v>
      </c>
      <c r="B920" t="s">
        <v>685</v>
      </c>
    </row>
    <row r="921" spans="1:2" x14ac:dyDescent="0.25">
      <c r="A921" s="17">
        <v>78065</v>
      </c>
      <c r="B921" t="s">
        <v>686</v>
      </c>
    </row>
    <row r="922" spans="1:2" x14ac:dyDescent="0.25">
      <c r="A922" s="17">
        <v>78070</v>
      </c>
      <c r="B922" t="s">
        <v>687</v>
      </c>
    </row>
    <row r="923" spans="1:2" x14ac:dyDescent="0.25">
      <c r="A923" s="17">
        <v>78075</v>
      </c>
      <c r="B923" t="s">
        <v>688</v>
      </c>
    </row>
    <row r="924" spans="1:2" x14ac:dyDescent="0.25">
      <c r="A924" s="17">
        <v>78095</v>
      </c>
      <c r="B924" t="s">
        <v>689</v>
      </c>
    </row>
    <row r="925" spans="1:2" x14ac:dyDescent="0.25">
      <c r="A925" s="17">
        <v>78100</v>
      </c>
      <c r="B925" t="s">
        <v>690</v>
      </c>
    </row>
    <row r="926" spans="1:2" x14ac:dyDescent="0.25">
      <c r="A926" s="17">
        <v>78102</v>
      </c>
      <c r="B926" t="s">
        <v>691</v>
      </c>
    </row>
    <row r="927" spans="1:2" x14ac:dyDescent="0.25">
      <c r="A927" s="17">
        <v>78115</v>
      </c>
      <c r="B927" t="s">
        <v>692</v>
      </c>
    </row>
    <row r="928" spans="1:2" x14ac:dyDescent="0.25">
      <c r="A928" s="17">
        <v>78120</v>
      </c>
      <c r="B928" t="s">
        <v>693</v>
      </c>
    </row>
    <row r="929" spans="1:2" x14ac:dyDescent="0.25">
      <c r="A929" s="17">
        <v>78127</v>
      </c>
      <c r="B929" t="s">
        <v>694</v>
      </c>
    </row>
    <row r="930" spans="1:2" x14ac:dyDescent="0.25">
      <c r="A930" s="17">
        <v>78130</v>
      </c>
      <c r="B930" t="s">
        <v>695</v>
      </c>
    </row>
    <row r="931" spans="1:2" x14ac:dyDescent="0.25">
      <c r="A931" s="17">
        <v>78802</v>
      </c>
      <c r="B931" t="s">
        <v>696</v>
      </c>
    </row>
    <row r="932" spans="1:2" x14ac:dyDescent="0.25">
      <c r="A932" s="17">
        <v>79005</v>
      </c>
      <c r="B932" t="s">
        <v>697</v>
      </c>
    </row>
    <row r="933" spans="1:2" x14ac:dyDescent="0.25">
      <c r="A933" s="17">
        <v>79010</v>
      </c>
      <c r="B933" t="s">
        <v>698</v>
      </c>
    </row>
    <row r="934" spans="1:2" x14ac:dyDescent="0.25">
      <c r="A934" s="17">
        <v>79015</v>
      </c>
      <c r="B934" t="s">
        <v>699</v>
      </c>
    </row>
    <row r="935" spans="1:2" x14ac:dyDescent="0.25">
      <c r="A935" s="17">
        <v>79022</v>
      </c>
      <c r="B935" t="s">
        <v>700</v>
      </c>
    </row>
    <row r="936" spans="1:2" x14ac:dyDescent="0.25">
      <c r="A936" s="17">
        <v>79025</v>
      </c>
      <c r="B936" t="s">
        <v>701</v>
      </c>
    </row>
    <row r="937" spans="1:2" x14ac:dyDescent="0.25">
      <c r="A937" s="17">
        <v>79030</v>
      </c>
      <c r="B937" t="s">
        <v>702</v>
      </c>
    </row>
    <row r="938" spans="1:2" x14ac:dyDescent="0.25">
      <c r="A938" s="17">
        <v>79037</v>
      </c>
      <c r="B938" t="s">
        <v>703</v>
      </c>
    </row>
    <row r="939" spans="1:2" x14ac:dyDescent="0.25">
      <c r="A939" s="17">
        <v>79047</v>
      </c>
      <c r="B939" t="s">
        <v>704</v>
      </c>
    </row>
    <row r="940" spans="1:2" x14ac:dyDescent="0.25">
      <c r="A940" s="17">
        <v>79050</v>
      </c>
      <c r="B940" t="s">
        <v>705</v>
      </c>
    </row>
    <row r="941" spans="1:2" x14ac:dyDescent="0.25">
      <c r="A941" s="17">
        <v>79060</v>
      </c>
      <c r="B941" t="s">
        <v>706</v>
      </c>
    </row>
    <row r="942" spans="1:2" x14ac:dyDescent="0.25">
      <c r="A942" s="17">
        <v>79065</v>
      </c>
      <c r="B942" t="s">
        <v>707</v>
      </c>
    </row>
    <row r="943" spans="1:2" x14ac:dyDescent="0.25">
      <c r="A943" s="17">
        <v>79078</v>
      </c>
      <c r="B943" t="s">
        <v>708</v>
      </c>
    </row>
    <row r="944" spans="1:2" x14ac:dyDescent="0.25">
      <c r="A944" s="17">
        <v>79088</v>
      </c>
      <c r="B944" t="s">
        <v>709</v>
      </c>
    </row>
    <row r="945" spans="1:2" x14ac:dyDescent="0.25">
      <c r="A945" s="17">
        <v>79097</v>
      </c>
      <c r="B945" t="s">
        <v>710</v>
      </c>
    </row>
    <row r="946" spans="1:2" x14ac:dyDescent="0.25">
      <c r="A946" s="17">
        <v>79105</v>
      </c>
      <c r="B946" t="s">
        <v>711</v>
      </c>
    </row>
    <row r="947" spans="1:2" x14ac:dyDescent="0.25">
      <c r="A947" s="17">
        <v>79110</v>
      </c>
      <c r="B947" t="s">
        <v>712</v>
      </c>
    </row>
    <row r="948" spans="1:2" x14ac:dyDescent="0.25">
      <c r="A948" s="17">
        <v>79115</v>
      </c>
      <c r="B948" t="s">
        <v>713</v>
      </c>
    </row>
    <row r="949" spans="1:2" x14ac:dyDescent="0.25">
      <c r="A949" s="17">
        <v>79902</v>
      </c>
      <c r="B949" t="s">
        <v>714</v>
      </c>
    </row>
    <row r="950" spans="1:2" x14ac:dyDescent="0.25">
      <c r="A950" s="17">
        <v>79904</v>
      </c>
      <c r="B950" t="s">
        <v>715</v>
      </c>
    </row>
    <row r="951" spans="1:2" x14ac:dyDescent="0.25">
      <c r="A951" s="17">
        <v>79906</v>
      </c>
      <c r="B951" t="s">
        <v>716</v>
      </c>
    </row>
    <row r="952" spans="1:2" x14ac:dyDescent="0.25">
      <c r="A952" s="17">
        <v>79910</v>
      </c>
      <c r="B952" t="s">
        <v>717</v>
      </c>
    </row>
    <row r="953" spans="1:2" x14ac:dyDescent="0.25">
      <c r="A953" s="17">
        <v>79912</v>
      </c>
      <c r="B953" t="s">
        <v>718</v>
      </c>
    </row>
    <row r="954" spans="1:2" x14ac:dyDescent="0.25">
      <c r="A954" s="17">
        <v>79914</v>
      </c>
      <c r="B954" t="s">
        <v>719</v>
      </c>
    </row>
    <row r="955" spans="1:2" x14ac:dyDescent="0.25">
      <c r="A955" s="17">
        <v>79916</v>
      </c>
      <c r="B955" t="s">
        <v>720</v>
      </c>
    </row>
    <row r="956" spans="1:2" x14ac:dyDescent="0.25">
      <c r="A956" s="17">
        <v>79920</v>
      </c>
      <c r="B956" t="s">
        <v>721</v>
      </c>
    </row>
    <row r="957" spans="1:2" x14ac:dyDescent="0.25">
      <c r="A957" s="17">
        <v>79922</v>
      </c>
      <c r="B957" t="s">
        <v>722</v>
      </c>
    </row>
    <row r="958" spans="1:2" x14ac:dyDescent="0.25">
      <c r="A958" s="17">
        <v>79924</v>
      </c>
      <c r="B958" t="s">
        <v>723</v>
      </c>
    </row>
    <row r="959" spans="1:2" x14ac:dyDescent="0.25">
      <c r="A959" s="17">
        <v>79926</v>
      </c>
      <c r="B959" t="s">
        <v>724</v>
      </c>
    </row>
    <row r="960" spans="1:2" x14ac:dyDescent="0.25">
      <c r="A960" s="17">
        <v>80005</v>
      </c>
      <c r="B960" t="s">
        <v>725</v>
      </c>
    </row>
    <row r="961" spans="1:2" x14ac:dyDescent="0.25">
      <c r="A961" s="17">
        <v>80010</v>
      </c>
      <c r="B961" t="s">
        <v>726</v>
      </c>
    </row>
    <row r="962" spans="1:2" x14ac:dyDescent="0.25">
      <c r="A962" s="17">
        <v>80015</v>
      </c>
      <c r="B962" t="s">
        <v>727</v>
      </c>
    </row>
    <row r="963" spans="1:2" x14ac:dyDescent="0.25">
      <c r="A963" s="17">
        <v>80020</v>
      </c>
      <c r="B963" t="s">
        <v>728</v>
      </c>
    </row>
    <row r="964" spans="1:2" x14ac:dyDescent="0.25">
      <c r="A964" s="17">
        <v>80027</v>
      </c>
      <c r="B964" t="s">
        <v>729</v>
      </c>
    </row>
    <row r="965" spans="1:2" x14ac:dyDescent="0.25">
      <c r="A965" s="17">
        <v>80037</v>
      </c>
      <c r="B965" t="s">
        <v>730</v>
      </c>
    </row>
    <row r="966" spans="1:2" x14ac:dyDescent="0.25">
      <c r="A966" s="17">
        <v>80045</v>
      </c>
      <c r="B966" t="s">
        <v>731</v>
      </c>
    </row>
    <row r="967" spans="1:2" x14ac:dyDescent="0.25">
      <c r="A967" s="17">
        <v>80050</v>
      </c>
      <c r="B967" t="s">
        <v>732</v>
      </c>
    </row>
    <row r="968" spans="1:2" x14ac:dyDescent="0.25">
      <c r="A968" s="17">
        <v>80055</v>
      </c>
      <c r="B968" t="s">
        <v>733</v>
      </c>
    </row>
    <row r="969" spans="1:2" x14ac:dyDescent="0.25">
      <c r="A969" s="17">
        <v>80060</v>
      </c>
      <c r="B969" t="s">
        <v>734</v>
      </c>
    </row>
    <row r="970" spans="1:2" x14ac:dyDescent="0.25">
      <c r="A970" s="17">
        <v>80065</v>
      </c>
      <c r="B970" t="s">
        <v>735</v>
      </c>
    </row>
    <row r="971" spans="1:2" x14ac:dyDescent="0.25">
      <c r="A971" s="17">
        <v>80070</v>
      </c>
      <c r="B971" t="s">
        <v>736</v>
      </c>
    </row>
    <row r="972" spans="1:2" x14ac:dyDescent="0.25">
      <c r="A972" s="17">
        <v>80078</v>
      </c>
      <c r="B972" t="s">
        <v>737</v>
      </c>
    </row>
    <row r="973" spans="1:2" x14ac:dyDescent="0.25">
      <c r="A973" s="17">
        <v>80085</v>
      </c>
      <c r="B973" t="s">
        <v>738</v>
      </c>
    </row>
    <row r="974" spans="1:2" x14ac:dyDescent="0.25">
      <c r="A974" s="17">
        <v>80090</v>
      </c>
      <c r="B974" t="s">
        <v>739</v>
      </c>
    </row>
    <row r="975" spans="1:2" x14ac:dyDescent="0.25">
      <c r="A975" s="17">
        <v>80095</v>
      </c>
      <c r="B975" t="s">
        <v>740</v>
      </c>
    </row>
    <row r="976" spans="1:2" x14ac:dyDescent="0.25">
      <c r="A976" s="17">
        <v>80103</v>
      </c>
      <c r="B976" t="s">
        <v>741</v>
      </c>
    </row>
    <row r="977" spans="1:2" x14ac:dyDescent="0.25">
      <c r="A977" s="17">
        <v>80110</v>
      </c>
      <c r="B977" t="s">
        <v>742</v>
      </c>
    </row>
    <row r="978" spans="1:2" x14ac:dyDescent="0.25">
      <c r="A978" s="17">
        <v>80115</v>
      </c>
      <c r="B978" t="s">
        <v>743</v>
      </c>
    </row>
    <row r="979" spans="1:2" x14ac:dyDescent="0.25">
      <c r="A979" s="17">
        <v>80125</v>
      </c>
      <c r="B979" t="s">
        <v>744</v>
      </c>
    </row>
    <row r="980" spans="1:2" x14ac:dyDescent="0.25">
      <c r="A980" s="17">
        <v>80130</v>
      </c>
      <c r="B980" t="s">
        <v>745</v>
      </c>
    </row>
    <row r="981" spans="1:2" x14ac:dyDescent="0.25">
      <c r="A981" s="17">
        <v>80135</v>
      </c>
      <c r="B981" t="s">
        <v>746</v>
      </c>
    </row>
    <row r="982" spans="1:2" x14ac:dyDescent="0.25">
      <c r="A982" s="17">
        <v>80140</v>
      </c>
      <c r="B982" t="s">
        <v>747</v>
      </c>
    </row>
    <row r="983" spans="1:2" x14ac:dyDescent="0.25">
      <c r="A983" s="17">
        <v>80145</v>
      </c>
      <c r="B983" t="s">
        <v>748</v>
      </c>
    </row>
    <row r="984" spans="1:2" x14ac:dyDescent="0.25">
      <c r="A984" s="17">
        <v>81017</v>
      </c>
      <c r="B984" t="s">
        <v>749</v>
      </c>
    </row>
    <row r="985" spans="1:2" x14ac:dyDescent="0.25">
      <c r="A985" s="17">
        <v>82005</v>
      </c>
      <c r="B985" t="s">
        <v>1842</v>
      </c>
    </row>
    <row r="986" spans="1:2" x14ac:dyDescent="0.25">
      <c r="A986" s="17">
        <v>82010</v>
      </c>
      <c r="B986" t="s">
        <v>750</v>
      </c>
    </row>
    <row r="987" spans="1:2" x14ac:dyDescent="0.25">
      <c r="A987" s="17">
        <v>82015</v>
      </c>
      <c r="B987" t="s">
        <v>751</v>
      </c>
    </row>
    <row r="988" spans="1:2" x14ac:dyDescent="0.25">
      <c r="A988" s="17">
        <v>82020</v>
      </c>
      <c r="B988" t="s">
        <v>752</v>
      </c>
    </row>
    <row r="989" spans="1:2" x14ac:dyDescent="0.25">
      <c r="A989" s="17">
        <v>82025</v>
      </c>
      <c r="B989" t="s">
        <v>753</v>
      </c>
    </row>
    <row r="990" spans="1:2" x14ac:dyDescent="0.25">
      <c r="A990" s="17">
        <v>82030</v>
      </c>
      <c r="B990" t="s">
        <v>754</v>
      </c>
    </row>
    <row r="991" spans="1:2" x14ac:dyDescent="0.25">
      <c r="A991" s="17">
        <v>82035</v>
      </c>
      <c r="B991" t="s">
        <v>755</v>
      </c>
    </row>
    <row r="992" spans="1:2" x14ac:dyDescent="0.25">
      <c r="A992" s="17">
        <v>83005</v>
      </c>
      <c r="B992" t="s">
        <v>756</v>
      </c>
    </row>
    <row r="993" spans="1:2" x14ac:dyDescent="0.25">
      <c r="A993" s="17">
        <v>83010</v>
      </c>
      <c r="B993" t="s">
        <v>757</v>
      </c>
    </row>
    <row r="994" spans="1:2" x14ac:dyDescent="0.25">
      <c r="A994" s="17">
        <v>83015</v>
      </c>
      <c r="B994" t="s">
        <v>758</v>
      </c>
    </row>
    <row r="995" spans="1:2" x14ac:dyDescent="0.25">
      <c r="A995" s="17">
        <v>83020</v>
      </c>
      <c r="B995" t="s">
        <v>759</v>
      </c>
    </row>
    <row r="996" spans="1:2" x14ac:dyDescent="0.25">
      <c r="A996" s="17">
        <v>83032</v>
      </c>
      <c r="B996" t="s">
        <v>760</v>
      </c>
    </row>
    <row r="997" spans="1:2" x14ac:dyDescent="0.25">
      <c r="A997" s="17">
        <v>83040</v>
      </c>
      <c r="B997" t="s">
        <v>761</v>
      </c>
    </row>
    <row r="998" spans="1:2" x14ac:dyDescent="0.25">
      <c r="A998" s="17">
        <v>83045</v>
      </c>
      <c r="B998" t="s">
        <v>762</v>
      </c>
    </row>
    <row r="999" spans="1:2" x14ac:dyDescent="0.25">
      <c r="A999" s="17">
        <v>83050</v>
      </c>
      <c r="B999" t="s">
        <v>763</v>
      </c>
    </row>
    <row r="1000" spans="1:2" x14ac:dyDescent="0.25">
      <c r="A1000" s="17">
        <v>83055</v>
      </c>
      <c r="B1000" t="s">
        <v>764</v>
      </c>
    </row>
    <row r="1001" spans="1:2" x14ac:dyDescent="0.25">
      <c r="A1001" s="17">
        <v>83060</v>
      </c>
      <c r="B1001" t="s">
        <v>765</v>
      </c>
    </row>
    <row r="1002" spans="1:2" x14ac:dyDescent="0.25">
      <c r="A1002" s="17">
        <v>83065</v>
      </c>
      <c r="B1002" t="s">
        <v>766</v>
      </c>
    </row>
    <row r="1003" spans="1:2" x14ac:dyDescent="0.25">
      <c r="A1003" s="17">
        <v>83070</v>
      </c>
      <c r="B1003" t="s">
        <v>767</v>
      </c>
    </row>
    <row r="1004" spans="1:2" x14ac:dyDescent="0.25">
      <c r="A1004" s="17">
        <v>83075</v>
      </c>
      <c r="B1004" t="s">
        <v>768</v>
      </c>
    </row>
    <row r="1005" spans="1:2" x14ac:dyDescent="0.25">
      <c r="A1005" s="17">
        <v>83085</v>
      </c>
      <c r="B1005" t="s">
        <v>769</v>
      </c>
    </row>
    <row r="1006" spans="1:2" x14ac:dyDescent="0.25">
      <c r="A1006" s="17">
        <v>83088</v>
      </c>
      <c r="B1006" t="s">
        <v>770</v>
      </c>
    </row>
    <row r="1007" spans="1:2" x14ac:dyDescent="0.25">
      <c r="A1007" s="17">
        <v>83090</v>
      </c>
      <c r="B1007" t="s">
        <v>771</v>
      </c>
    </row>
    <row r="1008" spans="1:2" x14ac:dyDescent="0.25">
      <c r="A1008" s="17">
        <v>83095</v>
      </c>
      <c r="B1008" t="s">
        <v>772</v>
      </c>
    </row>
    <row r="1009" spans="1:2" x14ac:dyDescent="0.25">
      <c r="A1009" s="17">
        <v>83802</v>
      </c>
      <c r="B1009" t="s">
        <v>773</v>
      </c>
    </row>
    <row r="1010" spans="1:2" x14ac:dyDescent="0.25">
      <c r="A1010" s="17">
        <v>83804</v>
      </c>
      <c r="B1010" t="s">
        <v>774</v>
      </c>
    </row>
    <row r="1011" spans="1:2" x14ac:dyDescent="0.25">
      <c r="A1011" s="17">
        <v>83902</v>
      </c>
      <c r="B1011" t="s">
        <v>775</v>
      </c>
    </row>
    <row r="1012" spans="1:2" x14ac:dyDescent="0.25">
      <c r="A1012" s="17">
        <v>83904</v>
      </c>
      <c r="B1012" t="s">
        <v>776</v>
      </c>
    </row>
    <row r="1013" spans="1:2" x14ac:dyDescent="0.25">
      <c r="A1013" s="17">
        <v>83906</v>
      </c>
      <c r="B1013" t="s">
        <v>777</v>
      </c>
    </row>
    <row r="1014" spans="1:2" x14ac:dyDescent="0.25">
      <c r="A1014" s="17">
        <v>83908</v>
      </c>
      <c r="B1014" t="s">
        <v>778</v>
      </c>
    </row>
    <row r="1015" spans="1:2" x14ac:dyDescent="0.25">
      <c r="A1015" s="17">
        <v>83912</v>
      </c>
      <c r="B1015" t="s">
        <v>779</v>
      </c>
    </row>
    <row r="1016" spans="1:2" x14ac:dyDescent="0.25">
      <c r="A1016" s="17">
        <v>84005</v>
      </c>
      <c r="B1016" t="s">
        <v>780</v>
      </c>
    </row>
    <row r="1017" spans="1:2" x14ac:dyDescent="0.25">
      <c r="A1017" s="17">
        <v>84010</v>
      </c>
      <c r="B1017" t="s">
        <v>1479</v>
      </c>
    </row>
    <row r="1018" spans="1:2" x14ac:dyDescent="0.25">
      <c r="A1018" s="17">
        <v>84015</v>
      </c>
      <c r="B1018" t="s">
        <v>781</v>
      </c>
    </row>
    <row r="1019" spans="1:2" x14ac:dyDescent="0.25">
      <c r="A1019" s="17">
        <v>84020</v>
      </c>
      <c r="B1019" t="s">
        <v>782</v>
      </c>
    </row>
    <row r="1020" spans="1:2" x14ac:dyDescent="0.25">
      <c r="A1020" s="17">
        <v>84025</v>
      </c>
      <c r="B1020" t="s">
        <v>783</v>
      </c>
    </row>
    <row r="1021" spans="1:2" x14ac:dyDescent="0.25">
      <c r="A1021" s="17">
        <v>84030</v>
      </c>
      <c r="B1021" t="s">
        <v>784</v>
      </c>
    </row>
    <row r="1022" spans="1:2" x14ac:dyDescent="0.25">
      <c r="A1022" s="17">
        <v>84035</v>
      </c>
      <c r="B1022" t="s">
        <v>785</v>
      </c>
    </row>
    <row r="1023" spans="1:2" x14ac:dyDescent="0.25">
      <c r="A1023" s="17">
        <v>84040</v>
      </c>
      <c r="B1023" t="s">
        <v>786</v>
      </c>
    </row>
    <row r="1024" spans="1:2" x14ac:dyDescent="0.25">
      <c r="A1024" s="17">
        <v>84045</v>
      </c>
      <c r="B1024" t="s">
        <v>787</v>
      </c>
    </row>
    <row r="1025" spans="1:2" x14ac:dyDescent="0.25">
      <c r="A1025" s="17">
        <v>84050</v>
      </c>
      <c r="B1025" t="s">
        <v>788</v>
      </c>
    </row>
    <row r="1026" spans="1:2" x14ac:dyDescent="0.25">
      <c r="A1026" s="17">
        <v>84055</v>
      </c>
      <c r="B1026" t="s">
        <v>789</v>
      </c>
    </row>
    <row r="1027" spans="1:2" x14ac:dyDescent="0.25">
      <c r="A1027" s="17">
        <v>84060</v>
      </c>
      <c r="B1027" t="s">
        <v>790</v>
      </c>
    </row>
    <row r="1028" spans="1:2" x14ac:dyDescent="0.25">
      <c r="A1028" s="17">
        <v>84065</v>
      </c>
      <c r="B1028" t="s">
        <v>791</v>
      </c>
    </row>
    <row r="1029" spans="1:2" x14ac:dyDescent="0.25">
      <c r="A1029" s="17">
        <v>84070</v>
      </c>
      <c r="B1029" t="s">
        <v>792</v>
      </c>
    </row>
    <row r="1030" spans="1:2" x14ac:dyDescent="0.25">
      <c r="A1030" s="17">
        <v>84082</v>
      </c>
      <c r="B1030" t="s">
        <v>793</v>
      </c>
    </row>
    <row r="1031" spans="1:2" x14ac:dyDescent="0.25">
      <c r="A1031" s="17">
        <v>84090</v>
      </c>
      <c r="B1031" t="s">
        <v>794</v>
      </c>
    </row>
    <row r="1032" spans="1:2" x14ac:dyDescent="0.25">
      <c r="A1032" s="17">
        <v>84095</v>
      </c>
      <c r="B1032" t="s">
        <v>795</v>
      </c>
    </row>
    <row r="1033" spans="1:2" x14ac:dyDescent="0.25">
      <c r="A1033" s="17">
        <v>84100</v>
      </c>
      <c r="B1033" t="s">
        <v>796</v>
      </c>
    </row>
    <row r="1034" spans="1:2" x14ac:dyDescent="0.25">
      <c r="A1034" s="17">
        <v>84902</v>
      </c>
      <c r="B1034" t="s">
        <v>797</v>
      </c>
    </row>
    <row r="1035" spans="1:2" x14ac:dyDescent="0.25">
      <c r="A1035" s="17">
        <v>85005</v>
      </c>
      <c r="B1035" t="s">
        <v>798</v>
      </c>
    </row>
    <row r="1036" spans="1:2" x14ac:dyDescent="0.25">
      <c r="A1036" s="17">
        <v>85010</v>
      </c>
      <c r="B1036" t="s">
        <v>799</v>
      </c>
    </row>
    <row r="1037" spans="1:2" x14ac:dyDescent="0.25">
      <c r="A1037" s="17">
        <v>85015</v>
      </c>
      <c r="B1037" t="s">
        <v>800</v>
      </c>
    </row>
    <row r="1038" spans="1:2" x14ac:dyDescent="0.25">
      <c r="A1038" s="17">
        <v>85020</v>
      </c>
      <c r="B1038" t="s">
        <v>801</v>
      </c>
    </row>
    <row r="1039" spans="1:2" x14ac:dyDescent="0.25">
      <c r="A1039" s="17">
        <v>85025</v>
      </c>
      <c r="B1039" t="s">
        <v>802</v>
      </c>
    </row>
    <row r="1040" spans="1:2" x14ac:dyDescent="0.25">
      <c r="A1040" s="17">
        <v>85030</v>
      </c>
      <c r="B1040" t="s">
        <v>803</v>
      </c>
    </row>
    <row r="1041" spans="1:2" x14ac:dyDescent="0.25">
      <c r="A1041" s="17">
        <v>85037</v>
      </c>
      <c r="B1041" t="s">
        <v>804</v>
      </c>
    </row>
    <row r="1042" spans="1:2" x14ac:dyDescent="0.25">
      <c r="A1042" s="17">
        <v>85045</v>
      </c>
      <c r="B1042" t="s">
        <v>805</v>
      </c>
    </row>
    <row r="1043" spans="1:2" x14ac:dyDescent="0.25">
      <c r="A1043" s="17">
        <v>85050</v>
      </c>
      <c r="B1043" t="s">
        <v>806</v>
      </c>
    </row>
    <row r="1044" spans="1:2" x14ac:dyDescent="0.25">
      <c r="A1044" s="17">
        <v>85055</v>
      </c>
      <c r="B1044" t="s">
        <v>807</v>
      </c>
    </row>
    <row r="1045" spans="1:2" x14ac:dyDescent="0.25">
      <c r="A1045" s="17">
        <v>85060</v>
      </c>
      <c r="B1045" t="s">
        <v>808</v>
      </c>
    </row>
    <row r="1046" spans="1:2" x14ac:dyDescent="0.25">
      <c r="A1046" s="17">
        <v>85065</v>
      </c>
      <c r="B1046" t="s">
        <v>809</v>
      </c>
    </row>
    <row r="1047" spans="1:2" x14ac:dyDescent="0.25">
      <c r="A1047" s="17">
        <v>85070</v>
      </c>
      <c r="B1047" t="s">
        <v>810</v>
      </c>
    </row>
    <row r="1048" spans="1:2" x14ac:dyDescent="0.25">
      <c r="A1048" s="17">
        <v>85075</v>
      </c>
      <c r="B1048" t="s">
        <v>811</v>
      </c>
    </row>
    <row r="1049" spans="1:2" x14ac:dyDescent="0.25">
      <c r="A1049" s="17">
        <v>85080</v>
      </c>
      <c r="B1049" t="s">
        <v>812</v>
      </c>
    </row>
    <row r="1050" spans="1:2" x14ac:dyDescent="0.25">
      <c r="A1050" s="17">
        <v>85085</v>
      </c>
      <c r="B1050" t="s">
        <v>813</v>
      </c>
    </row>
    <row r="1051" spans="1:2" x14ac:dyDescent="0.25">
      <c r="A1051" s="17">
        <v>85090</v>
      </c>
      <c r="B1051" t="s">
        <v>814</v>
      </c>
    </row>
    <row r="1052" spans="1:2" x14ac:dyDescent="0.25">
      <c r="A1052" s="17">
        <v>85095</v>
      </c>
      <c r="B1052" t="s">
        <v>815</v>
      </c>
    </row>
    <row r="1053" spans="1:2" x14ac:dyDescent="0.25">
      <c r="A1053" s="17">
        <v>85100</v>
      </c>
      <c r="B1053" t="s">
        <v>816</v>
      </c>
    </row>
    <row r="1054" spans="1:2" x14ac:dyDescent="0.25">
      <c r="A1054" s="17">
        <v>85105</v>
      </c>
      <c r="B1054" t="s">
        <v>817</v>
      </c>
    </row>
    <row r="1055" spans="1:2" x14ac:dyDescent="0.25">
      <c r="A1055" s="17">
        <v>85802</v>
      </c>
      <c r="B1055" t="s">
        <v>818</v>
      </c>
    </row>
    <row r="1056" spans="1:2" x14ac:dyDescent="0.25">
      <c r="A1056" s="17">
        <v>85806</v>
      </c>
      <c r="B1056" t="s">
        <v>819</v>
      </c>
    </row>
    <row r="1057" spans="1:2" x14ac:dyDescent="0.25">
      <c r="A1057" s="17">
        <v>85905</v>
      </c>
      <c r="B1057" t="s">
        <v>820</v>
      </c>
    </row>
    <row r="1058" spans="1:2" x14ac:dyDescent="0.25">
      <c r="A1058" s="17">
        <v>85907</v>
      </c>
      <c r="B1058" t="s">
        <v>821</v>
      </c>
    </row>
    <row r="1059" spans="1:2" x14ac:dyDescent="0.25">
      <c r="A1059" s="17">
        <v>86042</v>
      </c>
      <c r="B1059" t="s">
        <v>822</v>
      </c>
    </row>
    <row r="1060" spans="1:2" x14ac:dyDescent="0.25">
      <c r="A1060" s="17">
        <v>87005</v>
      </c>
      <c r="B1060" t="s">
        <v>823</v>
      </c>
    </row>
    <row r="1061" spans="1:2" x14ac:dyDescent="0.25">
      <c r="A1061" s="17">
        <v>87010</v>
      </c>
      <c r="B1061" t="s">
        <v>824</v>
      </c>
    </row>
    <row r="1062" spans="1:2" x14ac:dyDescent="0.25">
      <c r="A1062" s="17">
        <v>87015</v>
      </c>
      <c r="B1062" t="s">
        <v>825</v>
      </c>
    </row>
    <row r="1063" spans="1:2" x14ac:dyDescent="0.25">
      <c r="A1063" s="17">
        <v>87020</v>
      </c>
      <c r="B1063" t="s">
        <v>826</v>
      </c>
    </row>
    <row r="1064" spans="1:2" x14ac:dyDescent="0.25">
      <c r="A1064" s="17">
        <v>87025</v>
      </c>
      <c r="B1064" t="s">
        <v>827</v>
      </c>
    </row>
    <row r="1065" spans="1:2" x14ac:dyDescent="0.25">
      <c r="A1065" s="17">
        <v>87030</v>
      </c>
      <c r="B1065" t="s">
        <v>828</v>
      </c>
    </row>
    <row r="1066" spans="1:2" x14ac:dyDescent="0.25">
      <c r="A1066" s="17">
        <v>87035</v>
      </c>
      <c r="B1066" t="s">
        <v>829</v>
      </c>
    </row>
    <row r="1067" spans="1:2" x14ac:dyDescent="0.25">
      <c r="A1067" s="17">
        <v>87042</v>
      </c>
      <c r="B1067" t="s">
        <v>830</v>
      </c>
    </row>
    <row r="1068" spans="1:2" x14ac:dyDescent="0.25">
      <c r="A1068" s="17">
        <v>87050</v>
      </c>
      <c r="B1068" t="s">
        <v>831</v>
      </c>
    </row>
    <row r="1069" spans="1:2" x14ac:dyDescent="0.25">
      <c r="A1069" s="17">
        <v>87058</v>
      </c>
      <c r="B1069" t="s">
        <v>832</v>
      </c>
    </row>
    <row r="1070" spans="1:2" x14ac:dyDescent="0.25">
      <c r="A1070" s="17">
        <v>87070</v>
      </c>
      <c r="B1070" t="s">
        <v>833</v>
      </c>
    </row>
    <row r="1071" spans="1:2" x14ac:dyDescent="0.25">
      <c r="A1071" s="17">
        <v>87075</v>
      </c>
      <c r="B1071" t="s">
        <v>834</v>
      </c>
    </row>
    <row r="1072" spans="1:2" x14ac:dyDescent="0.25">
      <c r="A1072" s="17">
        <v>87080</v>
      </c>
      <c r="B1072" t="s">
        <v>835</v>
      </c>
    </row>
    <row r="1073" spans="1:2" x14ac:dyDescent="0.25">
      <c r="A1073" s="17">
        <v>87085</v>
      </c>
      <c r="B1073" t="s">
        <v>836</v>
      </c>
    </row>
    <row r="1074" spans="1:2" x14ac:dyDescent="0.25">
      <c r="A1074" s="17">
        <v>87090</v>
      </c>
      <c r="B1074" t="s">
        <v>837</v>
      </c>
    </row>
    <row r="1075" spans="1:2" x14ac:dyDescent="0.25">
      <c r="A1075" s="17">
        <v>87095</v>
      </c>
      <c r="B1075" t="s">
        <v>838</v>
      </c>
    </row>
    <row r="1076" spans="1:2" x14ac:dyDescent="0.25">
      <c r="A1076" s="17">
        <v>87100</v>
      </c>
      <c r="B1076" t="s">
        <v>839</v>
      </c>
    </row>
    <row r="1077" spans="1:2" x14ac:dyDescent="0.25">
      <c r="A1077" s="17">
        <v>87105</v>
      </c>
      <c r="B1077" t="s">
        <v>840</v>
      </c>
    </row>
    <row r="1078" spans="1:2" x14ac:dyDescent="0.25">
      <c r="A1078" s="17">
        <v>87110</v>
      </c>
      <c r="B1078" t="s">
        <v>1772</v>
      </c>
    </row>
    <row r="1079" spans="1:2" x14ac:dyDescent="0.25">
      <c r="A1079" s="17">
        <v>87115</v>
      </c>
      <c r="B1079" t="s">
        <v>841</v>
      </c>
    </row>
    <row r="1080" spans="1:2" x14ac:dyDescent="0.25">
      <c r="A1080" s="17">
        <v>87120</v>
      </c>
      <c r="B1080" t="s">
        <v>493</v>
      </c>
    </row>
    <row r="1081" spans="1:2" x14ac:dyDescent="0.25">
      <c r="A1081" s="17">
        <v>87902</v>
      </c>
      <c r="B1081" t="s">
        <v>842</v>
      </c>
    </row>
    <row r="1082" spans="1:2" x14ac:dyDescent="0.25">
      <c r="A1082" s="17">
        <v>87904</v>
      </c>
      <c r="B1082" t="s">
        <v>843</v>
      </c>
    </row>
    <row r="1083" spans="1:2" x14ac:dyDescent="0.25">
      <c r="A1083" s="17">
        <v>88005</v>
      </c>
      <c r="B1083" t="s">
        <v>844</v>
      </c>
    </row>
    <row r="1084" spans="1:2" x14ac:dyDescent="0.25">
      <c r="A1084" s="17">
        <v>88010</v>
      </c>
      <c r="B1084" t="s">
        <v>845</v>
      </c>
    </row>
    <row r="1085" spans="1:2" x14ac:dyDescent="0.25">
      <c r="A1085" s="17">
        <v>88015</v>
      </c>
      <c r="B1085" t="s">
        <v>846</v>
      </c>
    </row>
    <row r="1086" spans="1:2" x14ac:dyDescent="0.25">
      <c r="A1086" s="17">
        <v>88022</v>
      </c>
      <c r="B1086" t="s">
        <v>847</v>
      </c>
    </row>
    <row r="1087" spans="1:2" x14ac:dyDescent="0.25">
      <c r="A1087" s="17">
        <v>88030</v>
      </c>
      <c r="B1087" t="s">
        <v>848</v>
      </c>
    </row>
    <row r="1088" spans="1:2" x14ac:dyDescent="0.25">
      <c r="A1088" s="17">
        <v>88035</v>
      </c>
      <c r="B1088" t="s">
        <v>849</v>
      </c>
    </row>
    <row r="1089" spans="1:2" x14ac:dyDescent="0.25">
      <c r="A1089" s="17">
        <v>88040</v>
      </c>
      <c r="B1089" t="s">
        <v>850</v>
      </c>
    </row>
    <row r="1090" spans="1:2" x14ac:dyDescent="0.25">
      <c r="A1090" s="17">
        <v>88045</v>
      </c>
      <c r="B1090" t="s">
        <v>851</v>
      </c>
    </row>
    <row r="1091" spans="1:2" x14ac:dyDescent="0.25">
      <c r="A1091" s="17">
        <v>88050</v>
      </c>
      <c r="B1091" t="s">
        <v>852</v>
      </c>
    </row>
    <row r="1092" spans="1:2" x14ac:dyDescent="0.25">
      <c r="A1092" s="17">
        <v>88055</v>
      </c>
      <c r="B1092" t="s">
        <v>853</v>
      </c>
    </row>
    <row r="1093" spans="1:2" x14ac:dyDescent="0.25">
      <c r="A1093" s="17">
        <v>88060</v>
      </c>
      <c r="B1093" t="s">
        <v>854</v>
      </c>
    </row>
    <row r="1094" spans="1:2" x14ac:dyDescent="0.25">
      <c r="A1094" s="17">
        <v>88065</v>
      </c>
      <c r="B1094" t="s">
        <v>855</v>
      </c>
    </row>
    <row r="1095" spans="1:2" x14ac:dyDescent="0.25">
      <c r="A1095" s="17">
        <v>88070</v>
      </c>
      <c r="B1095" t="s">
        <v>856</v>
      </c>
    </row>
    <row r="1096" spans="1:2" x14ac:dyDescent="0.25">
      <c r="A1096" s="17">
        <v>88075</v>
      </c>
      <c r="B1096" t="s">
        <v>857</v>
      </c>
    </row>
    <row r="1097" spans="1:2" x14ac:dyDescent="0.25">
      <c r="A1097" s="17">
        <v>88080</v>
      </c>
      <c r="B1097" t="s">
        <v>858</v>
      </c>
    </row>
    <row r="1098" spans="1:2" x14ac:dyDescent="0.25">
      <c r="A1098" s="17">
        <v>88085</v>
      </c>
      <c r="B1098" t="s">
        <v>859</v>
      </c>
    </row>
    <row r="1099" spans="1:2" x14ac:dyDescent="0.25">
      <c r="A1099" s="17">
        <v>88090</v>
      </c>
      <c r="B1099" t="s">
        <v>860</v>
      </c>
    </row>
    <row r="1100" spans="1:2" x14ac:dyDescent="0.25">
      <c r="A1100" s="17">
        <v>88802</v>
      </c>
      <c r="B1100" t="s">
        <v>861</v>
      </c>
    </row>
    <row r="1101" spans="1:2" x14ac:dyDescent="0.25">
      <c r="A1101" s="17">
        <v>88902</v>
      </c>
      <c r="B1101" t="s">
        <v>862</v>
      </c>
    </row>
    <row r="1102" spans="1:2" x14ac:dyDescent="0.25">
      <c r="A1102" s="17">
        <v>88904</v>
      </c>
      <c r="B1102" t="s">
        <v>863</v>
      </c>
    </row>
    <row r="1103" spans="1:2" x14ac:dyDescent="0.25">
      <c r="A1103" s="17">
        <v>89008</v>
      </c>
      <c r="B1103" t="s">
        <v>864</v>
      </c>
    </row>
    <row r="1104" spans="1:2" x14ac:dyDescent="0.25">
      <c r="A1104" s="17">
        <v>89010</v>
      </c>
      <c r="B1104" t="s">
        <v>865</v>
      </c>
    </row>
    <row r="1105" spans="1:2" x14ac:dyDescent="0.25">
      <c r="A1105" s="17">
        <v>89015</v>
      </c>
      <c r="B1105" t="s">
        <v>866</v>
      </c>
    </row>
    <row r="1106" spans="1:2" x14ac:dyDescent="0.25">
      <c r="A1106" s="17">
        <v>89040</v>
      </c>
      <c r="B1106" t="s">
        <v>867</v>
      </c>
    </row>
    <row r="1107" spans="1:2" x14ac:dyDescent="0.25">
      <c r="A1107" s="17">
        <v>89045</v>
      </c>
      <c r="B1107" t="s">
        <v>867</v>
      </c>
    </row>
    <row r="1108" spans="1:2" x14ac:dyDescent="0.25">
      <c r="A1108" s="17">
        <v>89050</v>
      </c>
      <c r="B1108" t="s">
        <v>868</v>
      </c>
    </row>
    <row r="1109" spans="1:2" x14ac:dyDescent="0.25">
      <c r="A1109" s="17">
        <v>89804</v>
      </c>
      <c r="B1109" t="s">
        <v>740</v>
      </c>
    </row>
    <row r="1110" spans="1:2" x14ac:dyDescent="0.25">
      <c r="A1110" s="17">
        <v>89902</v>
      </c>
      <c r="B1110" t="s">
        <v>869</v>
      </c>
    </row>
    <row r="1111" spans="1:2" x14ac:dyDescent="0.25">
      <c r="A1111" s="17">
        <v>89908</v>
      </c>
      <c r="B1111" t="s">
        <v>870</v>
      </c>
    </row>
    <row r="1112" spans="1:2" x14ac:dyDescent="0.25">
      <c r="A1112" s="17">
        <v>89910</v>
      </c>
      <c r="B1112" t="s">
        <v>871</v>
      </c>
    </row>
    <row r="1113" spans="1:2" x14ac:dyDescent="0.25">
      <c r="A1113" s="17">
        <v>89912</v>
      </c>
      <c r="B1113" t="s">
        <v>872</v>
      </c>
    </row>
    <row r="1114" spans="1:2" x14ac:dyDescent="0.25">
      <c r="A1114" s="17">
        <v>90012</v>
      </c>
      <c r="B1114" t="s">
        <v>873</v>
      </c>
    </row>
    <row r="1115" spans="1:2" x14ac:dyDescent="0.25">
      <c r="A1115" s="17">
        <v>90017</v>
      </c>
      <c r="B1115" t="s">
        <v>874</v>
      </c>
    </row>
    <row r="1116" spans="1:2" x14ac:dyDescent="0.25">
      <c r="A1116" s="17">
        <v>90027</v>
      </c>
      <c r="B1116" t="s">
        <v>875</v>
      </c>
    </row>
    <row r="1117" spans="1:2" x14ac:dyDescent="0.25">
      <c r="A1117" s="17">
        <v>90801</v>
      </c>
      <c r="B1117" t="s">
        <v>876</v>
      </c>
    </row>
    <row r="1118" spans="1:2" x14ac:dyDescent="0.25">
      <c r="A1118" s="17">
        <v>90802</v>
      </c>
      <c r="B1118" t="s">
        <v>877</v>
      </c>
    </row>
    <row r="1119" spans="1:2" x14ac:dyDescent="0.25">
      <c r="A1119" s="17">
        <v>90804</v>
      </c>
      <c r="B1119" t="s">
        <v>878</v>
      </c>
    </row>
    <row r="1120" spans="1:2" x14ac:dyDescent="0.25">
      <c r="A1120" s="17">
        <v>91005</v>
      </c>
      <c r="B1120" t="s">
        <v>879</v>
      </c>
    </row>
    <row r="1121" spans="1:2" x14ac:dyDescent="0.25">
      <c r="A1121" s="17">
        <v>91010</v>
      </c>
      <c r="B1121" t="s">
        <v>880</v>
      </c>
    </row>
    <row r="1122" spans="1:2" x14ac:dyDescent="0.25">
      <c r="A1122" s="17">
        <v>91015</v>
      </c>
      <c r="B1122" t="s">
        <v>881</v>
      </c>
    </row>
    <row r="1123" spans="1:2" x14ac:dyDescent="0.25">
      <c r="A1123" s="17">
        <v>91020</v>
      </c>
      <c r="B1123" t="s">
        <v>882</v>
      </c>
    </row>
    <row r="1124" spans="1:2" x14ac:dyDescent="0.25">
      <c r="A1124" s="17">
        <v>91025</v>
      </c>
      <c r="B1124" t="s">
        <v>883</v>
      </c>
    </row>
    <row r="1125" spans="1:2" x14ac:dyDescent="0.25">
      <c r="A1125" s="17">
        <v>91030</v>
      </c>
      <c r="B1125" t="s">
        <v>884</v>
      </c>
    </row>
    <row r="1126" spans="1:2" x14ac:dyDescent="0.25">
      <c r="A1126" s="17">
        <v>91035</v>
      </c>
      <c r="B1126" t="s">
        <v>885</v>
      </c>
    </row>
    <row r="1127" spans="1:2" x14ac:dyDescent="0.25">
      <c r="A1127" s="17">
        <v>91042</v>
      </c>
      <c r="B1127" t="s">
        <v>886</v>
      </c>
    </row>
    <row r="1128" spans="1:2" x14ac:dyDescent="0.25">
      <c r="A1128" s="17">
        <v>91050</v>
      </c>
      <c r="B1128" t="s">
        <v>887</v>
      </c>
    </row>
    <row r="1129" spans="1:2" x14ac:dyDescent="0.25">
      <c r="A1129" s="17">
        <v>91802</v>
      </c>
      <c r="B1129" t="s">
        <v>888</v>
      </c>
    </row>
    <row r="1130" spans="1:2" x14ac:dyDescent="0.25">
      <c r="A1130" s="17">
        <v>91902</v>
      </c>
      <c r="B1130" t="s">
        <v>889</v>
      </c>
    </row>
    <row r="1131" spans="1:2" x14ac:dyDescent="0.25">
      <c r="A1131" s="17">
        <v>92005</v>
      </c>
      <c r="B1131" t="s">
        <v>890</v>
      </c>
    </row>
    <row r="1132" spans="1:2" x14ac:dyDescent="0.25">
      <c r="A1132" s="17">
        <v>92010</v>
      </c>
      <c r="B1132" t="s">
        <v>891</v>
      </c>
    </row>
    <row r="1133" spans="1:2" x14ac:dyDescent="0.25">
      <c r="A1133" s="17">
        <v>92015</v>
      </c>
      <c r="B1133" t="s">
        <v>1668</v>
      </c>
    </row>
    <row r="1134" spans="1:2" x14ac:dyDescent="0.25">
      <c r="A1134" s="17">
        <v>92022</v>
      </c>
      <c r="B1134" t="s">
        <v>892</v>
      </c>
    </row>
    <row r="1135" spans="1:2" x14ac:dyDescent="0.25">
      <c r="A1135" s="17">
        <v>92030</v>
      </c>
      <c r="B1135" t="s">
        <v>893</v>
      </c>
    </row>
    <row r="1136" spans="1:2" x14ac:dyDescent="0.25">
      <c r="A1136" s="17">
        <v>92040</v>
      </c>
      <c r="B1136" t="s">
        <v>894</v>
      </c>
    </row>
    <row r="1137" spans="1:2" x14ac:dyDescent="0.25">
      <c r="A1137" s="17">
        <v>92045</v>
      </c>
      <c r="B1137" t="s">
        <v>895</v>
      </c>
    </row>
    <row r="1138" spans="1:2" x14ac:dyDescent="0.25">
      <c r="A1138" s="17">
        <v>92050</v>
      </c>
      <c r="B1138" t="s">
        <v>896</v>
      </c>
    </row>
    <row r="1139" spans="1:2" x14ac:dyDescent="0.25">
      <c r="A1139" s="17">
        <v>92055</v>
      </c>
      <c r="B1139" t="s">
        <v>897</v>
      </c>
    </row>
    <row r="1140" spans="1:2" x14ac:dyDescent="0.25">
      <c r="A1140" s="17">
        <v>92060</v>
      </c>
      <c r="B1140" t="s">
        <v>898</v>
      </c>
    </row>
    <row r="1141" spans="1:2" x14ac:dyDescent="0.25">
      <c r="A1141" s="17">
        <v>92065</v>
      </c>
      <c r="B1141" t="s">
        <v>899</v>
      </c>
    </row>
    <row r="1142" spans="1:2" x14ac:dyDescent="0.25">
      <c r="A1142" s="17">
        <v>92070</v>
      </c>
      <c r="B1142" t="s">
        <v>2020</v>
      </c>
    </row>
    <row r="1143" spans="1:2" x14ac:dyDescent="0.25">
      <c r="A1143" s="17">
        <v>92902</v>
      </c>
      <c r="B1143" t="s">
        <v>900</v>
      </c>
    </row>
    <row r="1144" spans="1:2" x14ac:dyDescent="0.25">
      <c r="A1144" s="17">
        <v>92904</v>
      </c>
      <c r="B1144" t="s">
        <v>901</v>
      </c>
    </row>
    <row r="1145" spans="1:2" x14ac:dyDescent="0.25">
      <c r="A1145" s="17">
        <v>93005</v>
      </c>
      <c r="B1145" t="s">
        <v>902</v>
      </c>
    </row>
    <row r="1146" spans="1:2" x14ac:dyDescent="0.25">
      <c r="A1146" s="17">
        <v>93012</v>
      </c>
      <c r="B1146" t="s">
        <v>903</v>
      </c>
    </row>
    <row r="1147" spans="1:2" x14ac:dyDescent="0.25">
      <c r="A1147" s="17">
        <v>93020</v>
      </c>
      <c r="B1147" t="s">
        <v>904</v>
      </c>
    </row>
    <row r="1148" spans="1:2" x14ac:dyDescent="0.25">
      <c r="A1148" s="17">
        <v>93025</v>
      </c>
      <c r="B1148" t="s">
        <v>905</v>
      </c>
    </row>
    <row r="1149" spans="1:2" x14ac:dyDescent="0.25">
      <c r="A1149" s="17">
        <v>93030</v>
      </c>
      <c r="B1149" t="s">
        <v>906</v>
      </c>
    </row>
    <row r="1150" spans="1:2" x14ac:dyDescent="0.25">
      <c r="A1150" s="17">
        <v>93035</v>
      </c>
      <c r="B1150" t="s">
        <v>907</v>
      </c>
    </row>
    <row r="1151" spans="1:2" x14ac:dyDescent="0.25">
      <c r="A1151" s="17">
        <v>93042</v>
      </c>
      <c r="B1151" t="s">
        <v>908</v>
      </c>
    </row>
    <row r="1152" spans="1:2" x14ac:dyDescent="0.25">
      <c r="A1152" s="17">
        <v>93045</v>
      </c>
      <c r="B1152" t="s">
        <v>909</v>
      </c>
    </row>
    <row r="1153" spans="1:2" x14ac:dyDescent="0.25">
      <c r="A1153" s="17">
        <v>93055</v>
      </c>
      <c r="B1153" t="s">
        <v>910</v>
      </c>
    </row>
    <row r="1154" spans="1:2" x14ac:dyDescent="0.25">
      <c r="A1154" s="17">
        <v>93060</v>
      </c>
      <c r="B1154" t="s">
        <v>911</v>
      </c>
    </row>
    <row r="1155" spans="1:2" x14ac:dyDescent="0.25">
      <c r="A1155" s="17">
        <v>93065</v>
      </c>
      <c r="B1155" t="s">
        <v>912</v>
      </c>
    </row>
    <row r="1156" spans="1:2" x14ac:dyDescent="0.25">
      <c r="A1156" s="17">
        <v>93070</v>
      </c>
      <c r="B1156" t="s">
        <v>913</v>
      </c>
    </row>
    <row r="1157" spans="1:2" x14ac:dyDescent="0.25">
      <c r="A1157" s="17">
        <v>93075</v>
      </c>
      <c r="B1157" t="s">
        <v>401</v>
      </c>
    </row>
    <row r="1158" spans="1:2" x14ac:dyDescent="0.25">
      <c r="A1158" s="17">
        <v>93080</v>
      </c>
      <c r="B1158" t="s">
        <v>914</v>
      </c>
    </row>
    <row r="1159" spans="1:2" x14ac:dyDescent="0.25">
      <c r="A1159" s="17">
        <v>93902</v>
      </c>
      <c r="B1159" t="s">
        <v>915</v>
      </c>
    </row>
    <row r="1160" spans="1:2" x14ac:dyDescent="0.25">
      <c r="A1160" s="17">
        <v>93904</v>
      </c>
      <c r="B1160" t="s">
        <v>916</v>
      </c>
    </row>
    <row r="1161" spans="1:2" x14ac:dyDescent="0.25">
      <c r="A1161" s="17">
        <v>93906</v>
      </c>
      <c r="B1161" t="s">
        <v>917</v>
      </c>
    </row>
    <row r="1162" spans="1:2" x14ac:dyDescent="0.25">
      <c r="A1162" s="17">
        <v>93908</v>
      </c>
      <c r="B1162" t="s">
        <v>918</v>
      </c>
    </row>
    <row r="1163" spans="1:2" x14ac:dyDescent="0.25">
      <c r="A1163" s="17">
        <v>94068</v>
      </c>
      <c r="B1163" t="s">
        <v>919</v>
      </c>
    </row>
    <row r="1164" spans="1:2" x14ac:dyDescent="0.25">
      <c r="A1164" s="17">
        <v>94205</v>
      </c>
      <c r="B1164" t="s">
        <v>920</v>
      </c>
    </row>
    <row r="1165" spans="1:2" x14ac:dyDescent="0.25">
      <c r="A1165" s="17">
        <v>94210</v>
      </c>
      <c r="B1165" t="s">
        <v>921</v>
      </c>
    </row>
    <row r="1166" spans="1:2" x14ac:dyDescent="0.25">
      <c r="A1166" s="17">
        <v>94215</v>
      </c>
      <c r="B1166" t="s">
        <v>922</v>
      </c>
    </row>
    <row r="1167" spans="1:2" x14ac:dyDescent="0.25">
      <c r="A1167" s="17">
        <v>94220</v>
      </c>
      <c r="B1167" t="s">
        <v>923</v>
      </c>
    </row>
    <row r="1168" spans="1:2" x14ac:dyDescent="0.25">
      <c r="A1168" s="17">
        <v>94225</v>
      </c>
      <c r="B1168" t="s">
        <v>924</v>
      </c>
    </row>
    <row r="1169" spans="1:2" x14ac:dyDescent="0.25">
      <c r="A1169" s="17">
        <v>94230</v>
      </c>
      <c r="B1169" t="s">
        <v>925</v>
      </c>
    </row>
    <row r="1170" spans="1:2" x14ac:dyDescent="0.25">
      <c r="A1170" s="17">
        <v>94235</v>
      </c>
      <c r="B1170" t="s">
        <v>926</v>
      </c>
    </row>
    <row r="1171" spans="1:2" x14ac:dyDescent="0.25">
      <c r="A1171" s="17">
        <v>94240</v>
      </c>
      <c r="B1171" t="s">
        <v>927</v>
      </c>
    </row>
    <row r="1172" spans="1:2" x14ac:dyDescent="0.25">
      <c r="A1172" s="17">
        <v>94245</v>
      </c>
      <c r="B1172" t="s">
        <v>928</v>
      </c>
    </row>
    <row r="1173" spans="1:2" x14ac:dyDescent="0.25">
      <c r="A1173" s="17">
        <v>94250</v>
      </c>
      <c r="B1173" t="s">
        <v>929</v>
      </c>
    </row>
    <row r="1174" spans="1:2" x14ac:dyDescent="0.25">
      <c r="A1174" s="17">
        <v>94255</v>
      </c>
      <c r="B1174" t="s">
        <v>930</v>
      </c>
    </row>
    <row r="1175" spans="1:2" x14ac:dyDescent="0.25">
      <c r="A1175" s="17">
        <v>94260</v>
      </c>
      <c r="B1175" t="s">
        <v>931</v>
      </c>
    </row>
    <row r="1176" spans="1:2" x14ac:dyDescent="0.25">
      <c r="A1176" s="17">
        <v>94265</v>
      </c>
      <c r="B1176" t="s">
        <v>932</v>
      </c>
    </row>
    <row r="1177" spans="1:2" x14ac:dyDescent="0.25">
      <c r="A1177" s="17">
        <v>94926</v>
      </c>
      <c r="B1177" t="s">
        <v>933</v>
      </c>
    </row>
    <row r="1178" spans="1:2" x14ac:dyDescent="0.25">
      <c r="A1178" s="17">
        <v>94928</v>
      </c>
      <c r="B1178" t="s">
        <v>934</v>
      </c>
    </row>
    <row r="1179" spans="1:2" x14ac:dyDescent="0.25">
      <c r="A1179" s="17">
        <v>94930</v>
      </c>
      <c r="B1179" t="s">
        <v>935</v>
      </c>
    </row>
    <row r="1180" spans="1:2" x14ac:dyDescent="0.25">
      <c r="A1180" s="17">
        <v>95005</v>
      </c>
      <c r="B1180" t="s">
        <v>936</v>
      </c>
    </row>
    <row r="1181" spans="1:2" x14ac:dyDescent="0.25">
      <c r="A1181" s="17">
        <v>95010</v>
      </c>
      <c r="B1181" t="s">
        <v>937</v>
      </c>
    </row>
    <row r="1182" spans="1:2" x14ac:dyDescent="0.25">
      <c r="A1182" s="17">
        <v>95018</v>
      </c>
      <c r="B1182" t="s">
        <v>938</v>
      </c>
    </row>
    <row r="1183" spans="1:2" x14ac:dyDescent="0.25">
      <c r="A1183" s="17">
        <v>95025</v>
      </c>
      <c r="B1183" t="s">
        <v>939</v>
      </c>
    </row>
    <row r="1184" spans="1:2" x14ac:dyDescent="0.25">
      <c r="A1184" s="17">
        <v>95032</v>
      </c>
      <c r="B1184" t="s">
        <v>940</v>
      </c>
    </row>
    <row r="1185" spans="1:2" x14ac:dyDescent="0.25">
      <c r="A1185" s="17">
        <v>95040</v>
      </c>
      <c r="B1185" t="s">
        <v>941</v>
      </c>
    </row>
    <row r="1186" spans="1:2" x14ac:dyDescent="0.25">
      <c r="A1186" s="17">
        <v>95045</v>
      </c>
      <c r="B1186" t="s">
        <v>942</v>
      </c>
    </row>
    <row r="1187" spans="1:2" x14ac:dyDescent="0.25">
      <c r="A1187" s="17">
        <v>95050</v>
      </c>
      <c r="B1187" t="s">
        <v>943</v>
      </c>
    </row>
    <row r="1188" spans="1:2" x14ac:dyDescent="0.25">
      <c r="A1188" s="17">
        <v>95802</v>
      </c>
      <c r="B1188" t="s">
        <v>944</v>
      </c>
    </row>
    <row r="1189" spans="1:2" x14ac:dyDescent="0.25">
      <c r="A1189" s="17">
        <v>95902</v>
      </c>
      <c r="B1189" t="s">
        <v>945</v>
      </c>
    </row>
    <row r="1190" spans="1:2" x14ac:dyDescent="0.25">
      <c r="A1190" s="17">
        <v>96005</v>
      </c>
      <c r="B1190" t="s">
        <v>946</v>
      </c>
    </row>
    <row r="1191" spans="1:2" x14ac:dyDescent="0.25">
      <c r="A1191" s="17">
        <v>96010</v>
      </c>
      <c r="B1191" t="s">
        <v>947</v>
      </c>
    </row>
    <row r="1192" spans="1:2" x14ac:dyDescent="0.25">
      <c r="A1192" s="17">
        <v>96015</v>
      </c>
      <c r="B1192" t="s">
        <v>948</v>
      </c>
    </row>
    <row r="1193" spans="1:2" x14ac:dyDescent="0.25">
      <c r="A1193" s="17">
        <v>96020</v>
      </c>
      <c r="B1193" t="s">
        <v>949</v>
      </c>
    </row>
    <row r="1194" spans="1:2" x14ac:dyDescent="0.25">
      <c r="A1194" s="17">
        <v>96025</v>
      </c>
      <c r="B1194" t="s">
        <v>950</v>
      </c>
    </row>
    <row r="1195" spans="1:2" x14ac:dyDescent="0.25">
      <c r="A1195" s="17">
        <v>96030</v>
      </c>
      <c r="B1195" t="s">
        <v>951</v>
      </c>
    </row>
    <row r="1196" spans="1:2" x14ac:dyDescent="0.25">
      <c r="A1196" s="17">
        <v>96035</v>
      </c>
      <c r="B1196" t="s">
        <v>952</v>
      </c>
    </row>
    <row r="1197" spans="1:2" x14ac:dyDescent="0.25">
      <c r="A1197" s="17">
        <v>96040</v>
      </c>
      <c r="B1197" t="s">
        <v>953</v>
      </c>
    </row>
    <row r="1198" spans="1:2" x14ac:dyDescent="0.25">
      <c r="A1198" s="17">
        <v>96802</v>
      </c>
      <c r="B1198" t="s">
        <v>954</v>
      </c>
    </row>
    <row r="1199" spans="1:2" x14ac:dyDescent="0.25">
      <c r="A1199" s="17">
        <v>96902</v>
      </c>
      <c r="B1199" t="s">
        <v>955</v>
      </c>
    </row>
    <row r="1200" spans="1:2" x14ac:dyDescent="0.25">
      <c r="A1200" s="17">
        <v>97007</v>
      </c>
      <c r="B1200" t="s">
        <v>956</v>
      </c>
    </row>
    <row r="1201" spans="1:2" x14ac:dyDescent="0.25">
      <c r="A1201" s="17">
        <v>97022</v>
      </c>
      <c r="B1201" t="s">
        <v>957</v>
      </c>
    </row>
    <row r="1202" spans="1:2" x14ac:dyDescent="0.25">
      <c r="A1202" s="17">
        <v>97035</v>
      </c>
      <c r="B1202" t="s">
        <v>958</v>
      </c>
    </row>
    <row r="1203" spans="1:2" x14ac:dyDescent="0.25">
      <c r="A1203" s="17">
        <v>97040</v>
      </c>
      <c r="B1203" t="s">
        <v>959</v>
      </c>
    </row>
    <row r="1204" spans="1:2" x14ac:dyDescent="0.25">
      <c r="A1204" s="17">
        <v>97802</v>
      </c>
      <c r="B1204" t="s">
        <v>960</v>
      </c>
    </row>
    <row r="1205" spans="1:2" x14ac:dyDescent="0.25">
      <c r="A1205" s="17">
        <v>97804</v>
      </c>
      <c r="B1205" t="s">
        <v>961</v>
      </c>
    </row>
    <row r="1206" spans="1:2" x14ac:dyDescent="0.25">
      <c r="A1206" s="17">
        <v>97806</v>
      </c>
      <c r="B1206" t="s">
        <v>962</v>
      </c>
    </row>
    <row r="1207" spans="1:2" x14ac:dyDescent="0.25">
      <c r="A1207" s="17">
        <v>97808</v>
      </c>
      <c r="B1207" t="s">
        <v>963</v>
      </c>
    </row>
    <row r="1208" spans="1:2" x14ac:dyDescent="0.25">
      <c r="A1208" s="17">
        <v>97810</v>
      </c>
      <c r="B1208" t="s">
        <v>964</v>
      </c>
    </row>
    <row r="1209" spans="1:2" x14ac:dyDescent="0.25">
      <c r="A1209" s="17">
        <v>97902</v>
      </c>
      <c r="B1209" t="s">
        <v>965</v>
      </c>
    </row>
    <row r="1210" spans="1:2" x14ac:dyDescent="0.25">
      <c r="A1210" s="17">
        <v>97904</v>
      </c>
      <c r="B1210" t="s">
        <v>966</v>
      </c>
    </row>
    <row r="1211" spans="1:2" x14ac:dyDescent="0.25">
      <c r="A1211" s="17">
        <v>97906</v>
      </c>
      <c r="B1211" t="s">
        <v>967</v>
      </c>
    </row>
    <row r="1212" spans="1:2" x14ac:dyDescent="0.25">
      <c r="A1212" s="17">
        <v>97908</v>
      </c>
      <c r="B1212" t="s">
        <v>968</v>
      </c>
    </row>
    <row r="1213" spans="1:2" x14ac:dyDescent="0.25">
      <c r="A1213" s="17">
        <v>97912</v>
      </c>
      <c r="B1213" t="s">
        <v>969</v>
      </c>
    </row>
    <row r="1214" spans="1:2" x14ac:dyDescent="0.25">
      <c r="A1214" s="17">
        <v>97914</v>
      </c>
      <c r="B1214" t="s">
        <v>970</v>
      </c>
    </row>
    <row r="1215" spans="1:2" x14ac:dyDescent="0.25">
      <c r="A1215" s="17">
        <v>98005</v>
      </c>
      <c r="B1215" t="s">
        <v>971</v>
      </c>
    </row>
    <row r="1216" spans="1:2" x14ac:dyDescent="0.25">
      <c r="A1216" s="17">
        <v>98010</v>
      </c>
      <c r="B1216" t="s">
        <v>972</v>
      </c>
    </row>
    <row r="1217" spans="1:2" x14ac:dyDescent="0.25">
      <c r="A1217" s="17">
        <v>98012</v>
      </c>
      <c r="B1217" t="s">
        <v>890</v>
      </c>
    </row>
    <row r="1218" spans="1:2" x14ac:dyDescent="0.25">
      <c r="A1218" s="17">
        <v>98014</v>
      </c>
      <c r="B1218" t="s">
        <v>973</v>
      </c>
    </row>
    <row r="1219" spans="1:2" x14ac:dyDescent="0.25">
      <c r="A1219" s="17">
        <v>98015</v>
      </c>
      <c r="B1219" t="s">
        <v>974</v>
      </c>
    </row>
    <row r="1220" spans="1:2" x14ac:dyDescent="0.25">
      <c r="A1220" s="17">
        <v>98020</v>
      </c>
      <c r="B1220" t="s">
        <v>975</v>
      </c>
    </row>
    <row r="1221" spans="1:2" x14ac:dyDescent="0.25">
      <c r="A1221" s="17">
        <v>98025</v>
      </c>
      <c r="B1221" t="s">
        <v>976</v>
      </c>
    </row>
    <row r="1222" spans="1:2" x14ac:dyDescent="0.25">
      <c r="A1222" s="17">
        <v>98030</v>
      </c>
      <c r="B1222" t="s">
        <v>977</v>
      </c>
    </row>
    <row r="1223" spans="1:2" x14ac:dyDescent="0.25">
      <c r="A1223" s="17">
        <v>98035</v>
      </c>
      <c r="B1223" t="s">
        <v>978</v>
      </c>
    </row>
    <row r="1224" spans="1:2" x14ac:dyDescent="0.25">
      <c r="A1224" s="17">
        <v>98040</v>
      </c>
      <c r="B1224" t="s">
        <v>979</v>
      </c>
    </row>
    <row r="1225" spans="1:2" x14ac:dyDescent="0.25">
      <c r="A1225" s="17">
        <v>98045</v>
      </c>
      <c r="B1225" t="s">
        <v>980</v>
      </c>
    </row>
    <row r="1226" spans="1:2" x14ac:dyDescent="0.25">
      <c r="A1226" s="17">
        <v>98050</v>
      </c>
      <c r="B1226" t="s">
        <v>1507</v>
      </c>
    </row>
    <row r="1227" spans="1:2" x14ac:dyDescent="0.25">
      <c r="A1227" s="17">
        <v>98055</v>
      </c>
      <c r="B1227" t="s">
        <v>981</v>
      </c>
    </row>
    <row r="1228" spans="1:2" x14ac:dyDescent="0.25">
      <c r="A1228" s="17">
        <v>98804</v>
      </c>
      <c r="B1228" t="s">
        <v>982</v>
      </c>
    </row>
    <row r="1229" spans="1:2" x14ac:dyDescent="0.25">
      <c r="A1229" s="17">
        <v>98806</v>
      </c>
      <c r="B1229" t="s">
        <v>976</v>
      </c>
    </row>
    <row r="1230" spans="1:2" x14ac:dyDescent="0.25">
      <c r="A1230" s="17">
        <v>98808</v>
      </c>
      <c r="B1230" t="s">
        <v>983</v>
      </c>
    </row>
    <row r="1231" spans="1:2" x14ac:dyDescent="0.25">
      <c r="A1231" s="17">
        <v>98904</v>
      </c>
      <c r="B1231" t="s">
        <v>984</v>
      </c>
    </row>
    <row r="1232" spans="1:2" x14ac:dyDescent="0.25">
      <c r="A1232" s="17">
        <v>98912</v>
      </c>
      <c r="B1232" t="s">
        <v>985</v>
      </c>
    </row>
    <row r="1233" spans="1:2" x14ac:dyDescent="0.25">
      <c r="A1233" s="17">
        <v>99005</v>
      </c>
      <c r="B1233" t="s">
        <v>986</v>
      </c>
    </row>
    <row r="1234" spans="1:2" x14ac:dyDescent="0.25">
      <c r="A1234" s="17">
        <v>99010</v>
      </c>
      <c r="B1234" t="s">
        <v>987</v>
      </c>
    </row>
    <row r="1235" spans="1:2" x14ac:dyDescent="0.25">
      <c r="A1235" s="17">
        <v>99015</v>
      </c>
      <c r="B1235" t="s">
        <v>988</v>
      </c>
    </row>
    <row r="1236" spans="1:2" x14ac:dyDescent="0.25">
      <c r="A1236" s="17">
        <v>99020</v>
      </c>
      <c r="B1236" t="s">
        <v>989</v>
      </c>
    </row>
    <row r="1237" spans="1:2" x14ac:dyDescent="0.25">
      <c r="A1237" s="17">
        <v>99025</v>
      </c>
      <c r="B1237" t="s">
        <v>990</v>
      </c>
    </row>
    <row r="1238" spans="1:2" x14ac:dyDescent="0.25">
      <c r="A1238" s="17">
        <v>99030</v>
      </c>
      <c r="B1238" t="s">
        <v>991</v>
      </c>
    </row>
    <row r="1239" spans="1:2" x14ac:dyDescent="0.25">
      <c r="A1239" s="17">
        <v>99035</v>
      </c>
      <c r="B1239" t="s">
        <v>992</v>
      </c>
    </row>
    <row r="1240" spans="1:2" x14ac:dyDescent="0.25">
      <c r="A1240" s="17">
        <v>99040</v>
      </c>
      <c r="B1240" t="s">
        <v>993</v>
      </c>
    </row>
    <row r="1241" spans="1:2" x14ac:dyDescent="0.25">
      <c r="A1241" s="17">
        <v>99045</v>
      </c>
      <c r="B1241" t="s">
        <v>994</v>
      </c>
    </row>
    <row r="1242" spans="1:2" x14ac:dyDescent="0.25">
      <c r="A1242" s="17">
        <v>99050</v>
      </c>
      <c r="B1242" t="s">
        <v>995</v>
      </c>
    </row>
    <row r="1243" spans="1:2" x14ac:dyDescent="0.25">
      <c r="A1243" s="17">
        <v>99055</v>
      </c>
      <c r="B1243" t="s">
        <v>996</v>
      </c>
    </row>
    <row r="1244" spans="1:2" x14ac:dyDescent="0.25">
      <c r="A1244" s="17">
        <v>99060</v>
      </c>
      <c r="B1244" t="s">
        <v>997</v>
      </c>
    </row>
    <row r="1245" spans="1:2" x14ac:dyDescent="0.25">
      <c r="A1245" s="17">
        <v>99065</v>
      </c>
      <c r="B1245" t="s">
        <v>962</v>
      </c>
    </row>
    <row r="1246" spans="1:2" x14ac:dyDescent="0.25">
      <c r="A1246" s="17">
        <v>99070</v>
      </c>
      <c r="B1246" t="s">
        <v>998</v>
      </c>
    </row>
    <row r="1247" spans="1:2" x14ac:dyDescent="0.25">
      <c r="A1247" s="17">
        <v>99075</v>
      </c>
      <c r="B1247" t="s">
        <v>999</v>
      </c>
    </row>
    <row r="1248" spans="1:2" x14ac:dyDescent="0.25">
      <c r="A1248" s="17">
        <v>99080</v>
      </c>
      <c r="B1248" t="s">
        <v>1000</v>
      </c>
    </row>
    <row r="1249" spans="1:2" x14ac:dyDescent="0.25">
      <c r="A1249" s="17">
        <v>99085</v>
      </c>
      <c r="B1249" t="s">
        <v>1001</v>
      </c>
    </row>
    <row r="1250" spans="1:2" x14ac:dyDescent="0.25">
      <c r="A1250" s="17">
        <v>99090</v>
      </c>
      <c r="B1250" t="s">
        <v>1002</v>
      </c>
    </row>
    <row r="1251" spans="1:2" x14ac:dyDescent="0.25">
      <c r="A1251" s="17">
        <v>99095</v>
      </c>
      <c r="B1251" t="s">
        <v>1003</v>
      </c>
    </row>
    <row r="1252" spans="1:2" x14ac:dyDescent="0.25">
      <c r="A1252" s="17">
        <v>99100</v>
      </c>
      <c r="B1252" t="s">
        <v>1004</v>
      </c>
    </row>
    <row r="1253" spans="1:2" x14ac:dyDescent="0.25">
      <c r="A1253" s="17">
        <v>99105</v>
      </c>
      <c r="B1253" t="s">
        <v>1005</v>
      </c>
    </row>
    <row r="1254" spans="1:2" x14ac:dyDescent="0.25">
      <c r="A1254" s="17">
        <v>99110</v>
      </c>
      <c r="B1254" t="s">
        <v>1006</v>
      </c>
    </row>
    <row r="1255" spans="1:2" x14ac:dyDescent="0.25">
      <c r="A1255" s="17">
        <v>99115</v>
      </c>
      <c r="B1255" t="s">
        <v>1007</v>
      </c>
    </row>
    <row r="1256" spans="1:2" x14ac:dyDescent="0.25">
      <c r="A1256" s="17">
        <v>99120</v>
      </c>
      <c r="B1256" t="s">
        <v>1008</v>
      </c>
    </row>
    <row r="1257" spans="1:2" x14ac:dyDescent="0.25">
      <c r="A1257" s="17">
        <v>99125</v>
      </c>
      <c r="B1257" t="s">
        <v>1009</v>
      </c>
    </row>
    <row r="1258" spans="1:2" x14ac:dyDescent="0.25">
      <c r="A1258" s="17">
        <v>99130</v>
      </c>
      <c r="B1258" t="s">
        <v>1010</v>
      </c>
    </row>
    <row r="1259" spans="1:2" x14ac:dyDescent="0.25">
      <c r="A1259" s="17">
        <v>99135</v>
      </c>
      <c r="B1259" t="s">
        <v>1011</v>
      </c>
    </row>
    <row r="1260" spans="1:2" x14ac:dyDescent="0.25">
      <c r="A1260" s="17">
        <v>99140</v>
      </c>
      <c r="B1260" t="s">
        <v>1012</v>
      </c>
    </row>
    <row r="1261" spans="1:2" x14ac:dyDescent="0.25">
      <c r="A1261" s="17">
        <v>99802</v>
      </c>
      <c r="B1261" t="s">
        <v>987</v>
      </c>
    </row>
    <row r="1262" spans="1:2" x14ac:dyDescent="0.25">
      <c r="A1262" s="17">
        <v>99804</v>
      </c>
      <c r="B1262" t="s">
        <v>991</v>
      </c>
    </row>
    <row r="1263" spans="1:2" x14ac:dyDescent="0.25">
      <c r="A1263" s="17">
        <v>99806</v>
      </c>
      <c r="B1263" t="s">
        <v>992</v>
      </c>
    </row>
    <row r="1264" spans="1:2" x14ac:dyDescent="0.25">
      <c r="A1264" s="17">
        <v>99808</v>
      </c>
      <c r="B1264" t="s">
        <v>993</v>
      </c>
    </row>
    <row r="1265" spans="1:2" x14ac:dyDescent="0.25">
      <c r="A1265" s="17">
        <v>99810</v>
      </c>
      <c r="B1265" t="s">
        <v>994</v>
      </c>
    </row>
    <row r="1266" spans="1:2" x14ac:dyDescent="0.25">
      <c r="A1266" s="17">
        <v>99812</v>
      </c>
      <c r="B1266" t="s">
        <v>995</v>
      </c>
    </row>
    <row r="1267" spans="1:2" x14ac:dyDescent="0.25">
      <c r="A1267" s="17">
        <v>99814</v>
      </c>
      <c r="B1267" t="s">
        <v>996</v>
      </c>
    </row>
    <row r="1268" spans="1:2" x14ac:dyDescent="0.25">
      <c r="A1268" s="17">
        <v>99816</v>
      </c>
      <c r="B1268" t="s">
        <v>998</v>
      </c>
    </row>
    <row r="1269" spans="1:2" x14ac:dyDescent="0.25">
      <c r="A1269" s="17">
        <v>99877</v>
      </c>
      <c r="B1269" t="s">
        <v>999</v>
      </c>
    </row>
    <row r="1270" spans="1:2" x14ac:dyDescent="0.25">
      <c r="A1270" s="17">
        <v>99878</v>
      </c>
      <c r="B1270" t="s">
        <v>1000</v>
      </c>
    </row>
    <row r="1271" spans="1:2" x14ac:dyDescent="0.25">
      <c r="A1271" s="17">
        <v>99879</v>
      </c>
      <c r="B1271" t="s">
        <v>1001</v>
      </c>
    </row>
    <row r="1272" spans="1:2" x14ac:dyDescent="0.25">
      <c r="A1272" s="17">
        <v>99883</v>
      </c>
      <c r="B1272" t="s">
        <v>1009</v>
      </c>
    </row>
    <row r="1273" spans="1:2" x14ac:dyDescent="0.25">
      <c r="A1273" s="17">
        <v>99887</v>
      </c>
      <c r="B1273" t="s">
        <v>1011</v>
      </c>
    </row>
    <row r="1274" spans="1:2" x14ac:dyDescent="0.25">
      <c r="A1274" s="17">
        <v>99888</v>
      </c>
      <c r="B1274" t="s">
        <v>1010</v>
      </c>
    </row>
    <row r="1275" spans="1:2" x14ac:dyDescent="0.25">
      <c r="A1275" s="17">
        <v>99889</v>
      </c>
      <c r="B1275" t="s">
        <v>1007</v>
      </c>
    </row>
    <row r="1276" spans="1:2" x14ac:dyDescent="0.25">
      <c r="A1276" s="17">
        <v>99890</v>
      </c>
      <c r="B1276" t="s">
        <v>1006</v>
      </c>
    </row>
    <row r="1277" spans="1:2" x14ac:dyDescent="0.25">
      <c r="A1277" s="17">
        <v>99891</v>
      </c>
      <c r="B1277" t="s">
        <v>1005</v>
      </c>
    </row>
    <row r="1278" spans="1:2" x14ac:dyDescent="0.25">
      <c r="A1278" s="17">
        <v>99892</v>
      </c>
      <c r="B1278" t="s">
        <v>1004</v>
      </c>
    </row>
    <row r="1279" spans="1:2" x14ac:dyDescent="0.25">
      <c r="A1279" s="17">
        <v>99893</v>
      </c>
      <c r="B1279" t="s">
        <v>1003</v>
      </c>
    </row>
    <row r="1280" spans="1:2" x14ac:dyDescent="0.25">
      <c r="A1280" s="17">
        <v>99894</v>
      </c>
      <c r="B1280" t="s">
        <v>1002</v>
      </c>
    </row>
    <row r="1281" spans="1:2" x14ac:dyDescent="0.25">
      <c r="A1281" s="17">
        <v>99902</v>
      </c>
      <c r="B1281" t="s">
        <v>1013</v>
      </c>
    </row>
    <row r="1282" spans="1:2" x14ac:dyDescent="0.25">
      <c r="A1282" s="17">
        <v>99904</v>
      </c>
      <c r="B1282" t="s">
        <v>1014</v>
      </c>
    </row>
  </sheetData>
  <customSheetViews>
    <customSheetView guid="{365A4B53-0F9B-4E16-872D-B4CE741B671E}">
      <selection activeCell="B5" sqref="B5"/>
      <pageMargins left="0.38" right="0.33" top="0.31496062992125984" bottom="0.39370078740157483" header="0.15748031496062992" footer="0.19685039370078741"/>
      <printOptions horizontalCentered="1"/>
      <pageSetup paperSize="5" scale="94" orientation="landscape" r:id="rId1"/>
      <headerFooter alignWithMargins="0">
        <oddFooter>&amp;R&amp;8Page &amp;P de &amp;N</oddFooter>
      </headerFooter>
    </customSheetView>
  </customSheetViews>
  <phoneticPr fontId="7" type="noConversion"/>
  <printOptions horizontalCentered="1"/>
  <pageMargins left="0.38" right="0.33" top="0.31496062992125984" bottom="0.39370078740157483" header="0.15748031496062992" footer="0.19685039370078741"/>
  <pageSetup paperSize="5" scale="94" orientation="landscape" r:id="rId2"/>
  <headerFooter alignWithMargins="0">
    <oddFooter>&amp;R&amp;8Page &amp;P de &amp;N</oddFooter>
  </headerFooter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Feuil1"/>
  <dimension ref="A3:B7"/>
  <sheetViews>
    <sheetView workbookViewId="0">
      <selection activeCell="A3" sqref="A3"/>
    </sheetView>
  </sheetViews>
  <sheetFormatPr baseColWidth="10" defaultRowHeight="12.5" x14ac:dyDescent="0.25"/>
  <cols>
    <col min="1" max="1" width="21.08984375" customWidth="1"/>
    <col min="2" max="2" width="19.36328125" customWidth="1"/>
    <col min="3" max="3" width="13.08984375" bestFit="1" customWidth="1"/>
  </cols>
  <sheetData>
    <row r="3" spans="1:2" x14ac:dyDescent="0.25">
      <c r="A3" s="63" t="s">
        <v>3042</v>
      </c>
      <c r="B3" t="s">
        <v>3045</v>
      </c>
    </row>
    <row r="4" spans="1:2" x14ac:dyDescent="0.25">
      <c r="A4" s="64" t="s">
        <v>3044</v>
      </c>
      <c r="B4" s="65">
        <v>1705</v>
      </c>
    </row>
    <row r="5" spans="1:2" x14ac:dyDescent="0.25">
      <c r="A5" s="66"/>
      <c r="B5" s="65">
        <v>62</v>
      </c>
    </row>
    <row r="6" spans="1:2" x14ac:dyDescent="0.25">
      <c r="A6" s="66" t="s">
        <v>3044</v>
      </c>
      <c r="B6" s="65">
        <v>1643</v>
      </c>
    </row>
    <row r="7" spans="1:2" x14ac:dyDescent="0.25">
      <c r="A7" s="64" t="s">
        <v>3043</v>
      </c>
      <c r="B7" s="65">
        <v>1705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36</vt:i4>
      </vt:variant>
      <vt:variant>
        <vt:lpstr>Plages nommées</vt:lpstr>
      </vt:variant>
      <vt:variant>
        <vt:i4>66</vt:i4>
      </vt:variant>
    </vt:vector>
  </HeadingPairs>
  <TitlesOfParts>
    <vt:vector size="102" baseType="lpstr">
      <vt:lpstr>01</vt:lpstr>
      <vt:lpstr>02</vt:lpstr>
      <vt:lpstr>03</vt:lpstr>
      <vt:lpstr>04</vt:lpstr>
      <vt:lpstr>05</vt:lpstr>
      <vt:lpstr>06</vt:lpstr>
      <vt:lpstr>07</vt:lpstr>
      <vt:lpstr>08</vt:lpstr>
      <vt:lpstr>09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Employés</vt:lpstr>
      <vt:lpstr>Codes</vt:lpstr>
      <vt:lpstr>BD</vt:lpstr>
      <vt:lpstr>Municipalités</vt:lpstr>
      <vt:lpstr>statistique</vt:lpstr>
      <vt:lpstr>Codes</vt:lpstr>
      <vt:lpstr>CodesMip</vt:lpstr>
      <vt:lpstr>'01'!Impression_des_titres</vt:lpstr>
      <vt:lpstr>'02'!Impression_des_titres</vt:lpstr>
      <vt:lpstr>'03'!Impression_des_titres</vt:lpstr>
      <vt:lpstr>'04'!Impression_des_titres</vt:lpstr>
      <vt:lpstr>'05'!Impression_des_titres</vt:lpstr>
      <vt:lpstr>'06'!Impression_des_titres</vt:lpstr>
      <vt:lpstr>'07'!Impression_des_titres</vt:lpstr>
      <vt:lpstr>'08'!Impression_des_titres</vt:lpstr>
      <vt:lpstr>'09'!Impression_des_titres</vt:lpstr>
      <vt:lpstr>'10'!Impression_des_titres</vt:lpstr>
      <vt:lpstr>'11'!Impression_des_titres</vt:lpstr>
      <vt:lpstr>'12'!Impression_des_titres</vt:lpstr>
      <vt:lpstr>'13'!Impression_des_titres</vt:lpstr>
      <vt:lpstr>'14'!Impression_des_titres</vt:lpstr>
      <vt:lpstr>'15'!Impression_des_titres</vt:lpstr>
      <vt:lpstr>'16'!Impression_des_titres</vt:lpstr>
      <vt:lpstr>'17'!Impression_des_titres</vt:lpstr>
      <vt:lpstr>'18'!Impression_des_titres</vt:lpstr>
      <vt:lpstr>'19'!Impression_des_titres</vt:lpstr>
      <vt:lpstr>'20'!Impression_des_titres</vt:lpstr>
      <vt:lpstr>'21'!Impression_des_titres</vt:lpstr>
      <vt:lpstr>'22'!Impression_des_titres</vt:lpstr>
      <vt:lpstr>'23'!Impression_des_titres</vt:lpstr>
      <vt:lpstr>'24'!Impression_des_titres</vt:lpstr>
      <vt:lpstr>'25'!Impression_des_titres</vt:lpstr>
      <vt:lpstr>'26'!Impression_des_titres</vt:lpstr>
      <vt:lpstr>'27'!Impression_des_titres</vt:lpstr>
      <vt:lpstr>'28'!Impression_des_titres</vt:lpstr>
      <vt:lpstr>'29'!Impression_des_titres</vt:lpstr>
      <vt:lpstr>'30'!Impression_des_titres</vt:lpstr>
      <vt:lpstr>'31'!Impression_des_titres</vt:lpstr>
      <vt:lpstr>LibellesCodes</vt:lpstr>
      <vt:lpstr>liste</vt:lpstr>
      <vt:lpstr>'01'!Zone_d_impression</vt:lpstr>
      <vt:lpstr>'02'!Zone_d_impression</vt:lpstr>
      <vt:lpstr>'03'!Zone_d_impression</vt:lpstr>
      <vt:lpstr>'04'!Zone_d_impression</vt:lpstr>
      <vt:lpstr>'05'!Zone_d_impression</vt:lpstr>
      <vt:lpstr>'06'!Zone_d_impression</vt:lpstr>
      <vt:lpstr>'07'!Zone_d_impression</vt:lpstr>
      <vt:lpstr>'08'!Zone_d_impression</vt:lpstr>
      <vt:lpstr>'09'!Zone_d_impression</vt:lpstr>
      <vt:lpstr>'10'!Zone_d_impression</vt:lpstr>
      <vt:lpstr>'11'!Zone_d_impression</vt:lpstr>
      <vt:lpstr>'12'!Zone_d_impression</vt:lpstr>
      <vt:lpstr>'13'!Zone_d_impression</vt:lpstr>
      <vt:lpstr>'14'!Zone_d_impression</vt:lpstr>
      <vt:lpstr>'15'!Zone_d_impression</vt:lpstr>
      <vt:lpstr>'16'!Zone_d_impression</vt:lpstr>
      <vt:lpstr>'17'!Zone_d_impression</vt:lpstr>
      <vt:lpstr>'18'!Zone_d_impression</vt:lpstr>
      <vt:lpstr>'19'!Zone_d_impression</vt:lpstr>
      <vt:lpstr>'20'!Zone_d_impression</vt:lpstr>
      <vt:lpstr>'21'!Zone_d_impression</vt:lpstr>
      <vt:lpstr>'22'!Zone_d_impression</vt:lpstr>
      <vt:lpstr>'23'!Zone_d_impression</vt:lpstr>
      <vt:lpstr>'24'!Zone_d_impression</vt:lpstr>
      <vt:lpstr>'25'!Zone_d_impression</vt:lpstr>
      <vt:lpstr>'26'!Zone_d_impression</vt:lpstr>
      <vt:lpstr>'27'!Zone_d_impression</vt:lpstr>
      <vt:lpstr>'28'!Zone_d_impression</vt:lpstr>
      <vt:lpstr>'29'!Zone_d_impression</vt:lpstr>
      <vt:lpstr>'30'!Zone_d_impression</vt:lpstr>
      <vt:lpstr>'31'!Zone_d_impression</vt:lpstr>
    </vt:vector>
  </TitlesOfParts>
  <Manager>Jacques Auger</Manager>
  <Company>Sûreté du Québec - Poste de Shawinigan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Registre de l'unité</dc:title>
  <dc:subject>Séquentiel</dc:subject>
  <dc:creator>Sylvie Lafontaine - 62275</dc:creator>
  <cp:lastModifiedBy>Stéphane Denis</cp:lastModifiedBy>
  <cp:lastPrinted>2022-09-22T19:28:46Z</cp:lastPrinted>
  <dcterms:created xsi:type="dcterms:W3CDTF">2003-10-23T11:24:06Z</dcterms:created>
  <dcterms:modified xsi:type="dcterms:W3CDTF">2022-10-04T14:07:43Z</dcterms:modified>
</cp:coreProperties>
</file>